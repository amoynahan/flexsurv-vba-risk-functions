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ExcelAddIn\"/>
    </mc:Choice>
  </mc:AlternateContent>
  <xr:revisionPtr revIDLastSave="0" documentId="13_ncr:1_{E8B5EB86-882B-4533-96F4-7A2D8FF54C85}" xr6:coauthVersionLast="47" xr6:coauthVersionMax="47" xr10:uidLastSave="{00000000-0000-0000-0000-000000000000}"/>
  <bookViews>
    <workbookView xWindow="0" yWindow="360" windowWidth="29040" windowHeight="15720" activeTab="1" xr2:uid="{2A754220-3503-4BC0-986D-395D52E9F5BD}"/>
  </bookViews>
  <sheets>
    <sheet name="Data" sheetId="2" r:id="rId1"/>
    <sheet name="RCS-test" sheetId="1" r:id="rId2"/>
    <sheet name="RCS-Plot" sheetId="3" r:id="rId3"/>
    <sheet name="Survival-Test" sheetId="5" r:id="rId4"/>
    <sheet name="Survival-Plot" sheetId="6" r:id="rId5"/>
    <sheet name="Data Cure" sheetId="7" r:id="rId6"/>
    <sheet name="Cure Test" sheetId="8" r:id="rId7"/>
    <sheet name="Cure Plot" sheetId="10" r:id="rId8"/>
    <sheet name="Guyot Algorithm" sheetId="11" r:id="rId9"/>
    <sheet name="Data Cure Estimate" sheetId="9" state="hidden" r:id="rId10"/>
  </sheets>
  <functionGroups builtInGroupCount="19"/>
  <definedNames>
    <definedName name="_xleta.EXP" hidden="1" xlm="1">#NAME?</definedName>
    <definedName name="_xleta.MONTH" hidden="1" xlm="1">#NAME?</definedName>
    <definedName name="_xleta.ODD" hidden="1" xlm="1">#NAME?</definedName>
    <definedName name="Lambda">'Data Cure Estimate'!$J$2</definedName>
    <definedName name="solver_adj" localSheetId="9" hidden="1">'Data Cure Estimate'!$I$2:$J$2</definedName>
    <definedName name="solver_cvg" localSheetId="9" hidden="1">0.0001</definedName>
    <definedName name="solver_drv" localSheetId="9" hidden="1">1</definedName>
    <definedName name="solver_eng" localSheetId="9" hidden="1">1</definedName>
    <definedName name="solver_est" localSheetId="9" hidden="1">1</definedName>
    <definedName name="solver_itr" localSheetId="9" hidden="1">2147483647</definedName>
    <definedName name="solver_lhs1" localSheetId="9" hidden="1">'Data Cure Estimate'!$J$2</definedName>
    <definedName name="solver_lhs2" localSheetId="9" hidden="1">'Data Cure Estimate'!$I$2</definedName>
    <definedName name="solver_lhs3" localSheetId="9" hidden="1">'Data Cure Estimate'!$I$2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2</definedName>
    <definedName name="solver_neg" localSheetId="9" hidden="1">1</definedName>
    <definedName name="solver_nod" localSheetId="9" hidden="1">2147483647</definedName>
    <definedName name="solver_num" localSheetId="9" hidden="1">3</definedName>
    <definedName name="solver_nwt" localSheetId="9" hidden="1">1</definedName>
    <definedName name="solver_opt" localSheetId="9" hidden="1">'Data Cure Estimate'!$L$2</definedName>
    <definedName name="solver_pre" localSheetId="9" hidden="1">0.000001</definedName>
    <definedName name="solver_rbv" localSheetId="9" hidden="1">1</definedName>
    <definedName name="solver_rel1" localSheetId="9" hidden="1">3</definedName>
    <definedName name="solver_rel2" localSheetId="9" hidden="1">1</definedName>
    <definedName name="solver_rel3" localSheetId="9" hidden="1">3</definedName>
    <definedName name="solver_rhs1" localSheetId="9" hidden="1">0.0001</definedName>
    <definedName name="solver_rhs2" localSheetId="9" hidden="1">0.999</definedName>
    <definedName name="solver_rhs3" localSheetId="9" hidden="1">0.001</definedName>
    <definedName name="solver_rlx" localSheetId="9" hidden="1">2</definedName>
    <definedName name="solver_rsd" localSheetId="9" hidden="1">0</definedName>
    <definedName name="solver_scl" localSheetId="9" hidden="1">1</definedName>
    <definedName name="solver_sho" localSheetId="9" hidden="1">2</definedName>
    <definedName name="solver_ssz" localSheetId="9" hidden="1">100</definedName>
    <definedName name="solver_tim" localSheetId="9" hidden="1">2147483647</definedName>
    <definedName name="solver_tol" localSheetId="9" hidden="1">0.01</definedName>
    <definedName name="solver_typ" localSheetId="9" hidden="1">1</definedName>
    <definedName name="solver_val" localSheetId="9" hidden="1">0</definedName>
    <definedName name="solver_ver" localSheetId="9" hidden="1">3</definedName>
    <definedName name="Theta">'Data Cure Estimate'!$I$2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J6" i="11" l="1" a="1"/>
  <c r="CJ6" i="11" s="1"/>
  <c r="CP6" i="11" a="1"/>
  <c r="CP6" i="11" s="1"/>
  <c r="CC6" i="11" a="1"/>
  <c r="CC6" i="11" s="1"/>
  <c r="BT6" i="11" a="1"/>
  <c r="BT6" i="11" s="1"/>
  <c r="CR6" i="11" a="1"/>
  <c r="CR6" i="11" s="1"/>
  <c r="CL6" i="11" a="1"/>
  <c r="CL6" i="11" s="1"/>
  <c r="AH7" i="11" a="1"/>
  <c r="AH7" i="11" s="1"/>
  <c r="Y7" i="11" a="1"/>
  <c r="AS6" i="11" a="1"/>
  <c r="AS6" i="11" s="1"/>
  <c r="AY6" i="11" a="1"/>
  <c r="AY6" i="11" s="1"/>
  <c r="BD13" i="1"/>
  <c r="BD14" i="1" s="1"/>
  <c r="BD15" i="1" s="1"/>
  <c r="BD16" i="1" s="1"/>
  <c r="BD17" i="1" s="1"/>
  <c r="DC17" i="8" a="1"/>
  <c r="DC17" i="8" s="1"/>
  <c r="DD17" i="8" a="1"/>
  <c r="DD17" i="8" s="1"/>
  <c r="DE17" i="8" a="1"/>
  <c r="DE17" i="8" s="1"/>
  <c r="DF17" i="8" a="1"/>
  <c r="DF17" i="8" s="1"/>
  <c r="DG17" i="8" a="1"/>
  <c r="DG17" i="8" s="1"/>
  <c r="DH17" i="8" a="1"/>
  <c r="DH17" i="8" s="1"/>
  <c r="DI17" i="8" a="1"/>
  <c r="DI17" i="8" s="1"/>
  <c r="DJ17" i="8" a="1"/>
  <c r="DJ17" i="8" s="1"/>
  <c r="DK17" i="8" a="1"/>
  <c r="DK17" i="8" s="1"/>
  <c r="DL17" i="8" a="1"/>
  <c r="DL17" i="8" s="1"/>
  <c r="DM17" i="8" a="1"/>
  <c r="DM17" i="8" s="1"/>
  <c r="BP11" i="1" a="1"/>
  <c r="BP11" i="1" s="1"/>
  <c r="BR11" i="1" a="1"/>
  <c r="BR11" i="1" s="1"/>
  <c r="BQ11" i="1" a="1"/>
  <c r="BQ11" i="1" s="1"/>
  <c r="A18" i="10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EM17" i="8" a="1"/>
  <c r="EM17" i="8" s="1"/>
  <c r="EN17" i="8" a="1"/>
  <c r="EN17" i="8" s="1"/>
  <c r="EO17" i="8" a="1"/>
  <c r="EO17" i="8" s="1"/>
  <c r="EP17" i="8" a="1"/>
  <c r="EP17" i="8" s="1"/>
  <c r="EQ17" i="8" a="1"/>
  <c r="EQ17" i="8" s="1"/>
  <c r="ER17" i="8" a="1"/>
  <c r="ER17" i="8" s="1"/>
  <c r="ES17" i="8" a="1"/>
  <c r="ES17" i="8" s="1"/>
  <c r="ET17" i="8" a="1"/>
  <c r="ET17" i="8" s="1"/>
  <c r="EU17" i="8" a="1"/>
  <c r="EU17" i="8" s="1"/>
  <c r="EV17" i="8" a="1"/>
  <c r="EV17" i="8" s="1"/>
  <c r="EW17" i="8" a="1"/>
  <c r="EW17" i="8" s="1"/>
  <c r="BT17" i="8" a="1"/>
  <c r="BT17" i="8" s="1"/>
  <c r="BU17" i="8" a="1"/>
  <c r="BU17" i="8" s="1"/>
  <c r="BV17" i="8" a="1"/>
  <c r="BV17" i="8" s="1"/>
  <c r="BW17" i="8" a="1"/>
  <c r="BW17" i="8" s="1"/>
  <c r="BX17" i="8" a="1"/>
  <c r="BX17" i="8" s="1"/>
  <c r="BY17" i="8" a="1"/>
  <c r="BY17" i="8" s="1"/>
  <c r="BZ17" i="8" a="1"/>
  <c r="BZ17" i="8" s="1"/>
  <c r="CA17" i="8" a="1"/>
  <c r="CA17" i="8" s="1"/>
  <c r="CB17" i="8" a="1"/>
  <c r="CB17" i="8" s="1"/>
  <c r="CC17" i="8" a="1"/>
  <c r="CC17" i="8" s="1"/>
  <c r="CD17" i="8" a="1"/>
  <c r="CD17" i="8" s="1"/>
  <c r="AK17" i="8" a="1"/>
  <c r="AK17" i="8" s="1"/>
  <c r="AL17" i="8" a="1"/>
  <c r="AL17" i="8" s="1"/>
  <c r="AM17" i="8" a="1"/>
  <c r="AM17" i="8" s="1"/>
  <c r="AN17" i="8" a="1"/>
  <c r="AN17" i="8" s="1"/>
  <c r="AO17" i="8" a="1"/>
  <c r="AO17" i="8" s="1"/>
  <c r="AP17" i="8" a="1"/>
  <c r="AP17" i="8" s="1"/>
  <c r="AQ17" i="8" a="1"/>
  <c r="AQ17" i="8" s="1"/>
  <c r="AR17" i="8" a="1"/>
  <c r="AR17" i="8" s="1"/>
  <c r="AS17" i="8" a="1"/>
  <c r="AS17" i="8" s="1"/>
  <c r="AT17" i="8" a="1"/>
  <c r="AT17" i="8" s="1"/>
  <c r="AU17" i="8" a="1"/>
  <c r="AU17" i="8" s="1"/>
  <c r="B17" i="8" a="1"/>
  <c r="B17" i="8" s="1"/>
  <c r="F38" i="9"/>
  <c r="G38" i="9" s="1"/>
  <c r="F39" i="9"/>
  <c r="G39" i="9" s="1"/>
  <c r="F40" i="9"/>
  <c r="G40" i="9" s="1"/>
  <c r="F41" i="9"/>
  <c r="G41" i="9" s="1"/>
  <c r="F42" i="9"/>
  <c r="G42" i="9" s="1"/>
  <c r="F43" i="9"/>
  <c r="G43" i="9" s="1"/>
  <c r="F44" i="9"/>
  <c r="G44" i="9" s="1"/>
  <c r="F45" i="9"/>
  <c r="G45" i="9" s="1"/>
  <c r="F46" i="9"/>
  <c r="G46" i="9" s="1"/>
  <c r="F47" i="9"/>
  <c r="G47" i="9" s="1"/>
  <c r="F48" i="9"/>
  <c r="G48" i="9" s="1"/>
  <c r="F49" i="9"/>
  <c r="G49" i="9" s="1"/>
  <c r="F50" i="9"/>
  <c r="G50" i="9" s="1"/>
  <c r="F51" i="9"/>
  <c r="G51" i="9" s="1"/>
  <c r="F52" i="9"/>
  <c r="G52" i="9" s="1"/>
  <c r="F53" i="9"/>
  <c r="G53" i="9" s="1"/>
  <c r="F54" i="9"/>
  <c r="G54" i="9" s="1"/>
  <c r="F55" i="9"/>
  <c r="G55" i="9" s="1"/>
  <c r="F56" i="9"/>
  <c r="G56" i="9" s="1"/>
  <c r="F57" i="9"/>
  <c r="G57" i="9" s="1"/>
  <c r="F58" i="9"/>
  <c r="G58" i="9" s="1"/>
  <c r="F59" i="9"/>
  <c r="G59" i="9" s="1"/>
  <c r="F60" i="9"/>
  <c r="G60" i="9" s="1"/>
  <c r="F61" i="9"/>
  <c r="G61" i="9" s="1"/>
  <c r="F62" i="9"/>
  <c r="G62" i="9" s="1"/>
  <c r="F63" i="9"/>
  <c r="G63" i="9" s="1"/>
  <c r="F64" i="9"/>
  <c r="G64" i="9" s="1"/>
  <c r="F65" i="9"/>
  <c r="G65" i="9" s="1"/>
  <c r="F66" i="9"/>
  <c r="G66" i="9" s="1"/>
  <c r="F67" i="9"/>
  <c r="G67" i="9" s="1"/>
  <c r="F68" i="9"/>
  <c r="G68" i="9" s="1"/>
  <c r="F69" i="9"/>
  <c r="G69" i="9" s="1"/>
  <c r="F70" i="9"/>
  <c r="G70" i="9" s="1"/>
  <c r="F71" i="9"/>
  <c r="G71" i="9" s="1"/>
  <c r="F72" i="9"/>
  <c r="G72" i="9" s="1"/>
  <c r="F73" i="9"/>
  <c r="G73" i="9" s="1"/>
  <c r="F74" i="9"/>
  <c r="G74" i="9" s="1"/>
  <c r="F75" i="9"/>
  <c r="G75" i="9" s="1"/>
  <c r="F76" i="9"/>
  <c r="G76" i="9" s="1"/>
  <c r="F77" i="9"/>
  <c r="G77" i="9" s="1"/>
  <c r="F78" i="9"/>
  <c r="G78" i="9" s="1"/>
  <c r="F79" i="9"/>
  <c r="G79" i="9" s="1"/>
  <c r="F80" i="9"/>
  <c r="G80" i="9" s="1"/>
  <c r="F81" i="9"/>
  <c r="G81" i="9" s="1"/>
  <c r="F82" i="9"/>
  <c r="G82" i="9" s="1"/>
  <c r="F83" i="9"/>
  <c r="G83" i="9" s="1"/>
  <c r="F84" i="9"/>
  <c r="G84" i="9" s="1"/>
  <c r="F85" i="9"/>
  <c r="G85" i="9" s="1"/>
  <c r="F86" i="9"/>
  <c r="G86" i="9" s="1"/>
  <c r="F87" i="9"/>
  <c r="G87" i="9" s="1"/>
  <c r="F88" i="9"/>
  <c r="G88" i="9" s="1"/>
  <c r="F89" i="9"/>
  <c r="G89" i="9" s="1"/>
  <c r="F90" i="9"/>
  <c r="G90" i="9" s="1"/>
  <c r="F91" i="9"/>
  <c r="G91" i="9" s="1"/>
  <c r="F92" i="9"/>
  <c r="G92" i="9" s="1"/>
  <c r="F93" i="9"/>
  <c r="G93" i="9" s="1"/>
  <c r="F94" i="9"/>
  <c r="G94" i="9" s="1"/>
  <c r="F95" i="9"/>
  <c r="G95" i="9" s="1"/>
  <c r="F96" i="9"/>
  <c r="G96" i="9" s="1"/>
  <c r="F97" i="9"/>
  <c r="G97" i="9" s="1"/>
  <c r="F98" i="9"/>
  <c r="G98" i="9" s="1"/>
  <c r="F99" i="9"/>
  <c r="G99" i="9" s="1"/>
  <c r="F100" i="9"/>
  <c r="G100" i="9" s="1"/>
  <c r="F101" i="9"/>
  <c r="G101" i="9" s="1"/>
  <c r="F102" i="9"/>
  <c r="G102" i="9" s="1"/>
  <c r="F103" i="9"/>
  <c r="G103" i="9" s="1"/>
  <c r="F104" i="9"/>
  <c r="G104" i="9" s="1"/>
  <c r="F105" i="9"/>
  <c r="G105" i="9" s="1"/>
  <c r="F106" i="9"/>
  <c r="G106" i="9" s="1"/>
  <c r="F107" i="9"/>
  <c r="G107" i="9" s="1"/>
  <c r="F108" i="9"/>
  <c r="G108" i="9" s="1"/>
  <c r="F109" i="9"/>
  <c r="G109" i="9" s="1"/>
  <c r="F110" i="9"/>
  <c r="G110" i="9" s="1"/>
  <c r="F111" i="9"/>
  <c r="G111" i="9" s="1"/>
  <c r="F112" i="9"/>
  <c r="G112" i="9" s="1"/>
  <c r="F113" i="9"/>
  <c r="G113" i="9" s="1"/>
  <c r="F114" i="9"/>
  <c r="G114" i="9" s="1"/>
  <c r="F115" i="9"/>
  <c r="G115" i="9" s="1"/>
  <c r="F116" i="9"/>
  <c r="G116" i="9" s="1"/>
  <c r="F117" i="9"/>
  <c r="G117" i="9" s="1"/>
  <c r="F118" i="9"/>
  <c r="G118" i="9" s="1"/>
  <c r="F119" i="9"/>
  <c r="G119" i="9" s="1"/>
  <c r="F120" i="9"/>
  <c r="G120" i="9" s="1"/>
  <c r="F121" i="9"/>
  <c r="G121" i="9" s="1"/>
  <c r="F122" i="9"/>
  <c r="G122" i="9" s="1"/>
  <c r="F123" i="9"/>
  <c r="G123" i="9" s="1"/>
  <c r="F124" i="9"/>
  <c r="G124" i="9" s="1"/>
  <c r="F125" i="9"/>
  <c r="G125" i="9" s="1"/>
  <c r="F126" i="9"/>
  <c r="G126" i="9" s="1"/>
  <c r="F127" i="9"/>
  <c r="G127" i="9" s="1"/>
  <c r="F128" i="9"/>
  <c r="G128" i="9" s="1"/>
  <c r="F129" i="9"/>
  <c r="G129" i="9" s="1"/>
  <c r="F130" i="9"/>
  <c r="G130" i="9" s="1"/>
  <c r="F131" i="9"/>
  <c r="G131" i="9" s="1"/>
  <c r="F132" i="9"/>
  <c r="G132" i="9" s="1"/>
  <c r="F133" i="9"/>
  <c r="G133" i="9" s="1"/>
  <c r="F134" i="9"/>
  <c r="G134" i="9" s="1"/>
  <c r="F135" i="9"/>
  <c r="G135" i="9" s="1"/>
  <c r="F136" i="9"/>
  <c r="G136" i="9" s="1"/>
  <c r="F137" i="9"/>
  <c r="G137" i="9" s="1"/>
  <c r="F138" i="9"/>
  <c r="G138" i="9" s="1"/>
  <c r="F139" i="9"/>
  <c r="G139" i="9" s="1"/>
  <c r="F140" i="9"/>
  <c r="G140" i="9" s="1"/>
  <c r="F141" i="9"/>
  <c r="G141" i="9" s="1"/>
  <c r="F142" i="9"/>
  <c r="G142" i="9" s="1"/>
  <c r="F143" i="9"/>
  <c r="G143" i="9" s="1"/>
  <c r="F144" i="9"/>
  <c r="G144" i="9" s="1"/>
  <c r="F145" i="9"/>
  <c r="G145" i="9" s="1"/>
  <c r="F146" i="9"/>
  <c r="G146" i="9" s="1"/>
  <c r="F147" i="9"/>
  <c r="G147" i="9" s="1"/>
  <c r="F148" i="9"/>
  <c r="G148" i="9" s="1"/>
  <c r="F149" i="9"/>
  <c r="G149" i="9" s="1"/>
  <c r="F150" i="9"/>
  <c r="G150" i="9" s="1"/>
  <c r="F151" i="9"/>
  <c r="G151" i="9" s="1"/>
  <c r="F152" i="9"/>
  <c r="G152" i="9" s="1"/>
  <c r="F153" i="9"/>
  <c r="G153" i="9" s="1"/>
  <c r="F154" i="9"/>
  <c r="G154" i="9" s="1"/>
  <c r="F155" i="9"/>
  <c r="G155" i="9" s="1"/>
  <c r="F156" i="9"/>
  <c r="G156" i="9" s="1"/>
  <c r="F157" i="9"/>
  <c r="G157" i="9" s="1"/>
  <c r="F158" i="9"/>
  <c r="G158" i="9" s="1"/>
  <c r="F159" i="9"/>
  <c r="G159" i="9" s="1"/>
  <c r="F160" i="9"/>
  <c r="G160" i="9" s="1"/>
  <c r="F161" i="9"/>
  <c r="G161" i="9" s="1"/>
  <c r="F162" i="9"/>
  <c r="G162" i="9" s="1"/>
  <c r="F163" i="9"/>
  <c r="G163" i="9" s="1"/>
  <c r="F164" i="9"/>
  <c r="G164" i="9" s="1"/>
  <c r="F165" i="9"/>
  <c r="G165" i="9" s="1"/>
  <c r="F166" i="9"/>
  <c r="G166" i="9" s="1"/>
  <c r="F167" i="9"/>
  <c r="G167" i="9" s="1"/>
  <c r="F168" i="9"/>
  <c r="G168" i="9" s="1"/>
  <c r="F169" i="9"/>
  <c r="G169" i="9" s="1"/>
  <c r="F170" i="9"/>
  <c r="G170" i="9" s="1"/>
  <c r="F171" i="9"/>
  <c r="G171" i="9" s="1"/>
  <c r="F172" i="9"/>
  <c r="G172" i="9" s="1"/>
  <c r="F173" i="9"/>
  <c r="G173" i="9" s="1"/>
  <c r="F174" i="9"/>
  <c r="G174" i="9" s="1"/>
  <c r="F175" i="9"/>
  <c r="G175" i="9" s="1"/>
  <c r="F176" i="9"/>
  <c r="G176" i="9" s="1"/>
  <c r="F177" i="9"/>
  <c r="G177" i="9" s="1"/>
  <c r="F178" i="9"/>
  <c r="G178" i="9" s="1"/>
  <c r="F179" i="9"/>
  <c r="G179" i="9" s="1"/>
  <c r="F180" i="9"/>
  <c r="G180" i="9" s="1"/>
  <c r="F181" i="9"/>
  <c r="G181" i="9" s="1"/>
  <c r="F182" i="9"/>
  <c r="G182" i="9" s="1"/>
  <c r="F183" i="9"/>
  <c r="G183" i="9" s="1"/>
  <c r="F184" i="9"/>
  <c r="G184" i="9" s="1"/>
  <c r="F185" i="9"/>
  <c r="G185" i="9" s="1"/>
  <c r="F186" i="9"/>
  <c r="G186" i="9" s="1"/>
  <c r="F187" i="9"/>
  <c r="G187" i="9" s="1"/>
  <c r="F188" i="9"/>
  <c r="G188" i="9" s="1"/>
  <c r="F189" i="9"/>
  <c r="G189" i="9" s="1"/>
  <c r="F190" i="9"/>
  <c r="G190" i="9" s="1"/>
  <c r="F191" i="9"/>
  <c r="G191" i="9" s="1"/>
  <c r="F192" i="9"/>
  <c r="G192" i="9" s="1"/>
  <c r="F193" i="9"/>
  <c r="G193" i="9" s="1"/>
  <c r="F194" i="9"/>
  <c r="G194" i="9" s="1"/>
  <c r="F195" i="9"/>
  <c r="G195" i="9" s="1"/>
  <c r="F196" i="9"/>
  <c r="G196" i="9" s="1"/>
  <c r="F197" i="9"/>
  <c r="G197" i="9" s="1"/>
  <c r="F198" i="9"/>
  <c r="G198" i="9" s="1"/>
  <c r="F199" i="9"/>
  <c r="G199" i="9" s="1"/>
  <c r="F200" i="9"/>
  <c r="G200" i="9" s="1"/>
  <c r="F201" i="9"/>
  <c r="G201" i="9" s="1"/>
  <c r="F202" i="9"/>
  <c r="G202" i="9" s="1"/>
  <c r="F203" i="9"/>
  <c r="G203" i="9" s="1"/>
  <c r="F204" i="9"/>
  <c r="G204" i="9" s="1"/>
  <c r="F205" i="9"/>
  <c r="G205" i="9" s="1"/>
  <c r="F206" i="9"/>
  <c r="G206" i="9" s="1"/>
  <c r="F207" i="9"/>
  <c r="G207" i="9" s="1"/>
  <c r="F208" i="9"/>
  <c r="G208" i="9" s="1"/>
  <c r="F5" i="9"/>
  <c r="G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 s="1"/>
  <c r="F12" i="9"/>
  <c r="G12" i="9" s="1"/>
  <c r="F13" i="9"/>
  <c r="G13" i="9" s="1"/>
  <c r="F14" i="9"/>
  <c r="G14" i="9" s="1"/>
  <c r="F15" i="9"/>
  <c r="G15" i="9" s="1"/>
  <c r="F16" i="9"/>
  <c r="G16" i="9" s="1"/>
  <c r="F17" i="9"/>
  <c r="G17" i="9" s="1"/>
  <c r="F18" i="9"/>
  <c r="G18" i="9" s="1"/>
  <c r="F19" i="9"/>
  <c r="G19" i="9" s="1"/>
  <c r="F20" i="9"/>
  <c r="G20" i="9" s="1"/>
  <c r="F21" i="9"/>
  <c r="G21" i="9" s="1"/>
  <c r="F22" i="9"/>
  <c r="G22" i="9" s="1"/>
  <c r="F23" i="9"/>
  <c r="G23" i="9" s="1"/>
  <c r="F24" i="9"/>
  <c r="G24" i="9" s="1"/>
  <c r="F25" i="9"/>
  <c r="G25" i="9" s="1"/>
  <c r="F26" i="9"/>
  <c r="G26" i="9" s="1"/>
  <c r="F27" i="9"/>
  <c r="G27" i="9" s="1"/>
  <c r="F28" i="9"/>
  <c r="G28" i="9" s="1"/>
  <c r="F29" i="9"/>
  <c r="G29" i="9" s="1"/>
  <c r="F30" i="9"/>
  <c r="G30" i="9" s="1"/>
  <c r="F31" i="9"/>
  <c r="G31" i="9" s="1"/>
  <c r="F32" i="9"/>
  <c r="G32" i="9" s="1"/>
  <c r="F33" i="9"/>
  <c r="G33" i="9" s="1"/>
  <c r="F34" i="9"/>
  <c r="G34" i="9" s="1"/>
  <c r="F35" i="9"/>
  <c r="G35" i="9" s="1"/>
  <c r="F36" i="9"/>
  <c r="G36" i="9" s="1"/>
  <c r="F37" i="9"/>
  <c r="G37" i="9" s="1"/>
  <c r="F4" i="9"/>
  <c r="G4" i="9" s="1"/>
  <c r="D17" i="8" a="1"/>
  <c r="D17" i="8" s="1"/>
  <c r="L17" i="8" a="1"/>
  <c r="L17" i="8" s="1"/>
  <c r="K17" i="8" a="1"/>
  <c r="K17" i="8" s="1"/>
  <c r="J17" i="8" a="1"/>
  <c r="J17" i="8" s="1"/>
  <c r="I17" i="8" a="1"/>
  <c r="I17" i="8" s="1"/>
  <c r="H17" i="8" a="1"/>
  <c r="H17" i="8" s="1"/>
  <c r="G17" i="8" a="1"/>
  <c r="G17" i="8" s="1"/>
  <c r="F17" i="8" a="1"/>
  <c r="F17" i="8" s="1"/>
  <c r="E17" i="8" a="1"/>
  <c r="E17" i="8" s="1"/>
  <c r="C17" i="8" a="1"/>
  <c r="C17" i="8" s="1"/>
  <c r="EL18" i="8"/>
  <c r="EL19" i="8" s="1"/>
  <c r="BS18" i="8"/>
  <c r="BS19" i="8" s="1"/>
  <c r="BS20" i="8" s="1"/>
  <c r="BS21" i="8" s="1"/>
  <c r="BS22" i="8" s="1"/>
  <c r="BS23" i="8" s="1"/>
  <c r="BS24" i="8" s="1"/>
  <c r="BS25" i="8" s="1"/>
  <c r="BS26" i="8" s="1"/>
  <c r="BS27" i="8" s="1"/>
  <c r="BS28" i="8" s="1"/>
  <c r="BS29" i="8" s="1"/>
  <c r="BS30" i="8" s="1"/>
  <c r="BS31" i="8" s="1"/>
  <c r="BS32" i="8" s="1"/>
  <c r="BS33" i="8" s="1"/>
  <c r="BS34" i="8" s="1"/>
  <c r="BS35" i="8" s="1"/>
  <c r="BS36" i="8" s="1"/>
  <c r="BS37" i="8" s="1"/>
  <c r="BS38" i="8" s="1"/>
  <c r="BS39" i="8" s="1"/>
  <c r="BS40" i="8" s="1"/>
  <c r="BS41" i="8" s="1"/>
  <c r="BS42" i="8" s="1"/>
  <c r="BS43" i="8" s="1"/>
  <c r="BS44" i="8" s="1"/>
  <c r="BS45" i="8" s="1"/>
  <c r="BS46" i="8" s="1"/>
  <c r="BS47" i="8" s="1"/>
  <c r="BS48" i="8" s="1"/>
  <c r="BS49" i="8" s="1"/>
  <c r="BS50" i="8" s="1"/>
  <c r="BS51" i="8" s="1"/>
  <c r="BS52" i="8" s="1"/>
  <c r="BS53" i="8" s="1"/>
  <c r="BS54" i="8" s="1"/>
  <c r="BS55" i="8" s="1"/>
  <c r="BS56" i="8" s="1"/>
  <c r="BS57" i="8" s="1"/>
  <c r="AJ18" i="8"/>
  <c r="AJ19" i="8" s="1"/>
  <c r="AJ20" i="8" s="1"/>
  <c r="AJ21" i="8" s="1"/>
  <c r="AJ22" i="8" s="1"/>
  <c r="AJ23" i="8" s="1"/>
  <c r="AJ24" i="8" s="1"/>
  <c r="AJ25" i="8" s="1"/>
  <c r="AJ26" i="8" s="1"/>
  <c r="AJ27" i="8" s="1"/>
  <c r="AJ28" i="8" s="1"/>
  <c r="AJ29" i="8" s="1"/>
  <c r="AJ30" i="8" s="1"/>
  <c r="AJ31" i="8" s="1"/>
  <c r="AJ32" i="8" s="1"/>
  <c r="AJ33" i="8" s="1"/>
  <c r="AJ34" i="8" s="1"/>
  <c r="AJ35" i="8" s="1"/>
  <c r="AJ36" i="8" s="1"/>
  <c r="AJ37" i="8" s="1"/>
  <c r="AJ38" i="8" s="1"/>
  <c r="AJ39" i="8" s="1"/>
  <c r="AJ40" i="8" s="1"/>
  <c r="AJ41" i="8" s="1"/>
  <c r="AJ42" i="8" s="1"/>
  <c r="AJ43" i="8" s="1"/>
  <c r="AJ44" i="8" s="1"/>
  <c r="AJ45" i="8" s="1"/>
  <c r="AJ46" i="8" s="1"/>
  <c r="AJ47" i="8" s="1"/>
  <c r="AJ48" i="8" s="1"/>
  <c r="AJ49" i="8" s="1"/>
  <c r="AJ50" i="8" s="1"/>
  <c r="AJ51" i="8" s="1"/>
  <c r="AJ52" i="8" s="1"/>
  <c r="AJ53" i="8" s="1"/>
  <c r="AJ54" i="8" s="1"/>
  <c r="AJ55" i="8" s="1"/>
  <c r="AJ56" i="8" s="1"/>
  <c r="AJ57" i="8" s="1"/>
  <c r="A18" i="8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BT18" i="5" a="1"/>
  <c r="BT18" i="5" s="1"/>
  <c r="F3" i="7" a="1"/>
  <c r="M3" i="7" s="1" a="1"/>
  <c r="M3" i="7" s="1"/>
  <c r="EJ19" i="5"/>
  <c r="EJ20" i="5" s="1"/>
  <c r="EJ21" i="5" s="1"/>
  <c r="EJ22" i="5" s="1"/>
  <c r="EJ23" i="5" s="1"/>
  <c r="EJ24" i="5" s="1"/>
  <c r="EJ25" i="5" s="1"/>
  <c r="EJ26" i="5" s="1"/>
  <c r="CC18" i="5" a="1"/>
  <c r="CC18" i="5" s="1"/>
  <c r="CB18" i="5" a="1"/>
  <c r="CB18" i="5" s="1"/>
  <c r="CA18" i="5" a="1"/>
  <c r="CA18" i="5" s="1"/>
  <c r="BZ18" i="5" a="1"/>
  <c r="BZ18" i="5" s="1"/>
  <c r="BY18" i="5" a="1"/>
  <c r="BY18" i="5" s="1"/>
  <c r="BX18" i="5" a="1"/>
  <c r="BX18" i="5" s="1"/>
  <c r="BW18" i="5" a="1"/>
  <c r="BW18" i="5" s="1"/>
  <c r="BV18" i="5" a="1"/>
  <c r="BV18" i="5" s="1"/>
  <c r="BU18" i="5" a="1"/>
  <c r="BU18" i="5" s="1"/>
  <c r="BS18" i="5" a="1"/>
  <c r="BS18" i="5" s="1"/>
  <c r="AT18" i="5" a="1"/>
  <c r="AT18" i="5" s="1"/>
  <c r="AS18" i="5" a="1"/>
  <c r="AS18" i="5" s="1"/>
  <c r="AR18" i="5" a="1"/>
  <c r="AR18" i="5" s="1"/>
  <c r="AQ18" i="5" a="1"/>
  <c r="AQ18" i="5" s="1"/>
  <c r="AP18" i="5" a="1"/>
  <c r="AP18" i="5" s="1"/>
  <c r="AO18" i="5" a="1"/>
  <c r="AO18" i="5" s="1"/>
  <c r="AN18" i="5" a="1"/>
  <c r="AN18" i="5" s="1"/>
  <c r="AM18" i="5" a="1"/>
  <c r="AM18" i="5" s="1"/>
  <c r="AL18" i="5" a="1"/>
  <c r="AL18" i="5" s="1"/>
  <c r="AK18" i="5" a="1"/>
  <c r="AK18" i="5" s="1"/>
  <c r="AJ18" i="5" a="1"/>
  <c r="B18" i="5" a="1"/>
  <c r="B18" i="5" s="1"/>
  <c r="BR19" i="5"/>
  <c r="BR20" i="5" s="1"/>
  <c r="BR21" i="5" s="1"/>
  <c r="BR22" i="5" s="1"/>
  <c r="BR23" i="5" s="1"/>
  <c r="BR24" i="5" s="1"/>
  <c r="BR25" i="5" s="1"/>
  <c r="BR26" i="5" s="1"/>
  <c r="BR27" i="5" s="1"/>
  <c r="BR28" i="5" s="1"/>
  <c r="BR29" i="5" s="1"/>
  <c r="BR30" i="5" s="1"/>
  <c r="BR31" i="5" s="1"/>
  <c r="BR32" i="5" s="1"/>
  <c r="BR33" i="5" s="1"/>
  <c r="BR34" i="5" s="1"/>
  <c r="BR35" i="5" s="1"/>
  <c r="BR36" i="5" s="1"/>
  <c r="BR37" i="5" s="1"/>
  <c r="BR38" i="5" s="1"/>
  <c r="BR39" i="5" s="1"/>
  <c r="BR40" i="5" s="1"/>
  <c r="BR41" i="5" s="1"/>
  <c r="BR42" i="5" s="1"/>
  <c r="BR43" i="5" s="1"/>
  <c r="BR44" i="5" s="1"/>
  <c r="BR45" i="5" s="1"/>
  <c r="BR46" i="5" s="1"/>
  <c r="BR47" i="5" s="1"/>
  <c r="BR48" i="5" s="1"/>
  <c r="BR49" i="5" s="1"/>
  <c r="BR50" i="5" s="1"/>
  <c r="BR51" i="5" s="1"/>
  <c r="BR52" i="5" s="1"/>
  <c r="BR53" i="5" s="1"/>
  <c r="BR54" i="5" s="1"/>
  <c r="BR55" i="5" s="1"/>
  <c r="BR56" i="5" s="1"/>
  <c r="BR57" i="5" s="1"/>
  <c r="BR58" i="5" s="1"/>
  <c r="A18" i="6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L18" i="5" a="1"/>
  <c r="J18" i="5" a="1"/>
  <c r="K18" i="5" a="1"/>
  <c r="I18" i="5" a="1"/>
  <c r="H18" i="5" a="1"/>
  <c r="G18" i="5" a="1"/>
  <c r="F18" i="5" a="1"/>
  <c r="E18" i="5" a="1"/>
  <c r="D18" i="5" a="1"/>
  <c r="C18" i="5" a="1"/>
  <c r="A19" i="5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D11" i="3" a="1"/>
  <c r="D11" i="3" s="1"/>
  <c r="C11" i="3" a="1"/>
  <c r="C11" i="3" s="1"/>
  <c r="B11" i="3" a="1"/>
  <c r="B11" i="3" s="1"/>
  <c r="F5" i="2" a="1"/>
  <c r="M5" i="2" s="1" a="1"/>
  <c r="M5" i="2" s="1"/>
  <c r="AS12" i="1"/>
  <c r="AS13" i="1" s="1"/>
  <c r="AS14" i="1" s="1"/>
  <c r="AS15" i="1" s="1"/>
  <c r="AS16" i="1" s="1"/>
  <c r="AS17" i="1" s="1"/>
  <c r="AS18" i="1" s="1"/>
  <c r="AS19" i="1" s="1"/>
  <c r="AS20" i="1" s="1"/>
  <c r="AS21" i="1" s="1"/>
  <c r="AS22" i="1" s="1"/>
  <c r="AS23" i="1" s="1"/>
  <c r="AS24" i="1" s="1"/>
  <c r="AS25" i="1" s="1"/>
  <c r="AS26" i="1" s="1"/>
  <c r="AS27" i="1" s="1"/>
  <c r="AS28" i="1" s="1"/>
  <c r="AS29" i="1" s="1"/>
  <c r="AS30" i="1" s="1"/>
  <c r="AS31" i="1" s="1"/>
  <c r="AS32" i="1" s="1"/>
  <c r="AS33" i="1" s="1"/>
  <c r="AS34" i="1" s="1"/>
  <c r="AS35" i="1" s="1"/>
  <c r="AS36" i="1" s="1"/>
  <c r="AS37" i="1" s="1"/>
  <c r="AS38" i="1" s="1"/>
  <c r="AS39" i="1" s="1"/>
  <c r="AS40" i="1" s="1"/>
  <c r="AS41" i="1" s="1"/>
  <c r="AS42" i="1" s="1"/>
  <c r="AS43" i="1" s="1"/>
  <c r="AS44" i="1" s="1"/>
  <c r="AS45" i="1" s="1"/>
  <c r="AS46" i="1" s="1"/>
  <c r="AS47" i="1" s="1"/>
  <c r="AS48" i="1" s="1"/>
  <c r="AS49" i="1" s="1"/>
  <c r="AS50" i="1" s="1"/>
  <c r="AS51" i="1" s="1"/>
  <c r="AH12" i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W12" i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A12" i="1"/>
  <c r="A13" i="1" s="1"/>
  <c r="Y7" i="11" l="1"/>
  <c r="AA6" i="11" a="1"/>
  <c r="AJ6" i="11" a="1"/>
  <c r="BG11" i="1" a="1"/>
  <c r="BF11" i="1" a="1"/>
  <c r="BE11" i="1" a="1"/>
  <c r="EI20" i="8"/>
  <c r="EI23" i="8"/>
  <c r="EI22" i="8"/>
  <c r="EI17" i="8"/>
  <c r="EI18" i="8"/>
  <c r="EI21" i="8"/>
  <c r="EI19" i="8"/>
  <c r="EH23" i="8"/>
  <c r="EH20" i="8"/>
  <c r="EH17" i="8"/>
  <c r="EH22" i="8"/>
  <c r="EH18" i="8"/>
  <c r="EH21" i="8"/>
  <c r="EH19" i="8"/>
  <c r="EG17" i="8"/>
  <c r="EG23" i="8"/>
  <c r="EG22" i="8"/>
  <c r="EG20" i="8"/>
  <c r="EG18" i="8"/>
  <c r="EG21" i="8"/>
  <c r="EG19" i="8"/>
  <c r="EF23" i="8"/>
  <c r="EF20" i="8"/>
  <c r="EF22" i="8"/>
  <c r="EF17" i="8"/>
  <c r="EF18" i="8"/>
  <c r="EF21" i="8"/>
  <c r="EF19" i="8"/>
  <c r="EE21" i="8"/>
  <c r="EE17" i="8"/>
  <c r="EE19" i="8"/>
  <c r="EE22" i="8"/>
  <c r="EE23" i="8"/>
  <c r="EE18" i="8"/>
  <c r="EE20" i="8"/>
  <c r="ED17" i="8"/>
  <c r="ED23" i="8"/>
  <c r="ED18" i="8"/>
  <c r="ED22" i="8"/>
  <c r="ED20" i="8"/>
  <c r="ED21" i="8"/>
  <c r="ED19" i="8"/>
  <c r="EC23" i="8"/>
  <c r="EC17" i="8"/>
  <c r="EC22" i="8"/>
  <c r="EC21" i="8"/>
  <c r="EC20" i="8"/>
  <c r="EC19" i="8"/>
  <c r="EC18" i="8"/>
  <c r="EB20" i="8"/>
  <c r="EB17" i="8"/>
  <c r="EB23" i="8"/>
  <c r="EB18" i="8"/>
  <c r="EB21" i="8"/>
  <c r="EB19" i="8"/>
  <c r="EB22" i="8"/>
  <c r="EA20" i="8"/>
  <c r="EA21" i="8"/>
  <c r="EA19" i="8"/>
  <c r="EA22" i="8"/>
  <c r="EA18" i="8"/>
  <c r="EA23" i="8"/>
  <c r="EA17" i="8"/>
  <c r="DZ19" i="8"/>
  <c r="DZ22" i="8"/>
  <c r="DZ18" i="8"/>
  <c r="DZ21" i="8"/>
  <c r="DZ23" i="8"/>
  <c r="DZ20" i="8"/>
  <c r="DZ17" i="8"/>
  <c r="DY21" i="8"/>
  <c r="DY18" i="8"/>
  <c r="DY23" i="8"/>
  <c r="DY22" i="8"/>
  <c r="DY20" i="8"/>
  <c r="DY19" i="8"/>
  <c r="DY17" i="8"/>
  <c r="DB18" i="5" a="1"/>
  <c r="DC18" i="5" a="1"/>
  <c r="DD18" i="5" a="1"/>
  <c r="DE18" i="5" a="1"/>
  <c r="DF18" i="5" a="1"/>
  <c r="DG18" i="5" a="1"/>
  <c r="DH18" i="5" a="1"/>
  <c r="DI18" i="5" a="1"/>
  <c r="DJ18" i="5" a="1"/>
  <c r="DK18" i="5" a="1"/>
  <c r="DL18" i="5" a="1"/>
  <c r="B17" i="10" a="1"/>
  <c r="C17" i="10" a="1"/>
  <c r="E17" i="10" a="1"/>
  <c r="F17" i="10" a="1"/>
  <c r="I17" i="10" a="1"/>
  <c r="L17" i="10" a="1"/>
  <c r="D17" i="10" a="1"/>
  <c r="G17" i="10" a="1"/>
  <c r="H17" i="10" a="1"/>
  <c r="K17" i="10" a="1"/>
  <c r="J17" i="10" a="1"/>
  <c r="L2" i="9"/>
  <c r="AJ18" i="5"/>
  <c r="BF18" i="5" s="1"/>
  <c r="BF52" i="5"/>
  <c r="BF22" i="5"/>
  <c r="BF23" i="5"/>
  <c r="BF26" i="5"/>
  <c r="BF28" i="5"/>
  <c r="BF29" i="5"/>
  <c r="BF32" i="5"/>
  <c r="BF36" i="5"/>
  <c r="BF39" i="5"/>
  <c r="BF43" i="5"/>
  <c r="BF46" i="5"/>
  <c r="BF48" i="5"/>
  <c r="BF55" i="5"/>
  <c r="BF20" i="5"/>
  <c r="BF34" i="5"/>
  <c r="BF41" i="5"/>
  <c r="BF49" i="5"/>
  <c r="BF53" i="5"/>
  <c r="BF58" i="5"/>
  <c r="BF57" i="5"/>
  <c r="BF24" i="5"/>
  <c r="BF30" i="5"/>
  <c r="BF35" i="5"/>
  <c r="BF40" i="5"/>
  <c r="BF45" i="5"/>
  <c r="BF50" i="5"/>
  <c r="BF54" i="5"/>
  <c r="BF21" i="5"/>
  <c r="BF25" i="5"/>
  <c r="BF31" i="5"/>
  <c r="BF37" i="5"/>
  <c r="BF42" i="5"/>
  <c r="BF47" i="5"/>
  <c r="BF56" i="5"/>
  <c r="BF19" i="5"/>
  <c r="BF27" i="5"/>
  <c r="BF33" i="5"/>
  <c r="BF38" i="5"/>
  <c r="BF44" i="5"/>
  <c r="BF51" i="5"/>
  <c r="F3" i="7"/>
  <c r="P3" i="7" a="1"/>
  <c r="P3" i="7" s="1"/>
  <c r="EU18" i="5" a="1"/>
  <c r="ET18" i="5" a="1"/>
  <c r="ES18" i="5" a="1"/>
  <c r="ER18" i="5" a="1"/>
  <c r="EQ18" i="5" a="1"/>
  <c r="EP18" i="5" a="1"/>
  <c r="EO18" i="5" a="1"/>
  <c r="EN18" i="5" a="1"/>
  <c r="EM18" i="5" a="1"/>
  <c r="EL18" i="5" a="1"/>
  <c r="EK18" i="5" a="1"/>
  <c r="L18" i="5"/>
  <c r="AH18" i="5" s="1"/>
  <c r="AH52" i="5"/>
  <c r="AH54" i="5"/>
  <c r="AH28" i="5"/>
  <c r="AH49" i="5"/>
  <c r="AH53" i="5"/>
  <c r="AH50" i="5"/>
  <c r="AH58" i="5"/>
  <c r="AH34" i="5"/>
  <c r="AH51" i="5"/>
  <c r="AH36" i="5"/>
  <c r="AH26" i="5"/>
  <c r="AH37" i="5"/>
  <c r="AH42" i="5"/>
  <c r="AH43" i="5"/>
  <c r="AH46" i="5"/>
  <c r="AH27" i="5"/>
  <c r="AH47" i="5"/>
  <c r="AH48" i="5"/>
  <c r="AH25" i="5"/>
  <c r="AH24" i="5"/>
  <c r="AH23" i="5"/>
  <c r="AH22" i="5"/>
  <c r="AH21" i="5"/>
  <c r="AH20" i="5"/>
  <c r="AH19" i="5"/>
  <c r="AH29" i="5"/>
  <c r="AH30" i="5"/>
  <c r="AH31" i="5"/>
  <c r="AH32" i="5"/>
  <c r="AH35" i="5"/>
  <c r="AH38" i="5"/>
  <c r="AH33" i="5"/>
  <c r="AH39" i="5"/>
  <c r="AH40" i="5"/>
  <c r="AH41" i="5"/>
  <c r="AH44" i="5"/>
  <c r="AH45" i="5"/>
  <c r="AH55" i="5"/>
  <c r="AH57" i="5"/>
  <c r="AH56" i="5"/>
  <c r="J18" i="5"/>
  <c r="AF18" i="5" s="1"/>
  <c r="AF50" i="5"/>
  <c r="AF34" i="5"/>
  <c r="AF26" i="5"/>
  <c r="AF37" i="5"/>
  <c r="AF31" i="5"/>
  <c r="AF45" i="5"/>
  <c r="AF39" i="5"/>
  <c r="AF41" i="5"/>
  <c r="AF30" i="5"/>
  <c r="AF29" i="5"/>
  <c r="AF40" i="5"/>
  <c r="AF28" i="5"/>
  <c r="AF23" i="5"/>
  <c r="AF27" i="5"/>
  <c r="AF43" i="5"/>
  <c r="AF24" i="5"/>
  <c r="AF48" i="5"/>
  <c r="AF44" i="5"/>
  <c r="AF56" i="5"/>
  <c r="AF32" i="5"/>
  <c r="AF55" i="5"/>
  <c r="AF20" i="5"/>
  <c r="AF51" i="5"/>
  <c r="AF33" i="5"/>
  <c r="AF58" i="5"/>
  <c r="AF46" i="5"/>
  <c r="AF25" i="5"/>
  <c r="AF57" i="5"/>
  <c r="AF38" i="5"/>
  <c r="AF21" i="5"/>
  <c r="AF54" i="5"/>
  <c r="AF19" i="5"/>
  <c r="AF49" i="5"/>
  <c r="AF53" i="5"/>
  <c r="AF47" i="5"/>
  <c r="AF42" i="5"/>
  <c r="AF36" i="5"/>
  <c r="AF22" i="5"/>
  <c r="AF52" i="5"/>
  <c r="AF35" i="5"/>
  <c r="K18" i="5"/>
  <c r="AG18" i="5" s="1"/>
  <c r="AG58" i="5"/>
  <c r="AG48" i="5"/>
  <c r="AG47" i="5"/>
  <c r="AG55" i="5"/>
  <c r="AG43" i="5"/>
  <c r="AG38" i="5"/>
  <c r="AG36" i="5"/>
  <c r="AG35" i="5"/>
  <c r="AG32" i="5"/>
  <c r="AG29" i="5"/>
  <c r="AG56" i="5"/>
  <c r="AG42" i="5"/>
  <c r="AG37" i="5"/>
  <c r="AG34" i="5"/>
  <c r="AG45" i="5"/>
  <c r="AG46" i="5"/>
  <c r="AG44" i="5"/>
  <c r="AG41" i="5"/>
  <c r="AG40" i="5"/>
  <c r="AG39" i="5"/>
  <c r="AG33" i="5"/>
  <c r="AG31" i="5"/>
  <c r="AG30" i="5"/>
  <c r="AG57" i="5"/>
  <c r="AG54" i="5"/>
  <c r="AG28" i="5"/>
  <c r="AG27" i="5"/>
  <c r="AG26" i="5"/>
  <c r="AG25" i="5"/>
  <c r="AG24" i="5"/>
  <c r="AG23" i="5"/>
  <c r="AG22" i="5"/>
  <c r="AG21" i="5"/>
  <c r="AG20" i="5"/>
  <c r="AG19" i="5"/>
  <c r="AG53" i="5"/>
  <c r="AG52" i="5"/>
  <c r="AG51" i="5"/>
  <c r="AG50" i="5"/>
  <c r="AG49" i="5"/>
  <c r="I18" i="5"/>
  <c r="AE18" i="5" s="1"/>
  <c r="AE48" i="5"/>
  <c r="AE42" i="5"/>
  <c r="AE22" i="5"/>
  <c r="AE27" i="5"/>
  <c r="AE51" i="5"/>
  <c r="AE37" i="5"/>
  <c r="AE39" i="5"/>
  <c r="AE26" i="5"/>
  <c r="AE44" i="5"/>
  <c r="AE46" i="5"/>
  <c r="AE24" i="5"/>
  <c r="AE36" i="5"/>
  <c r="AE35" i="5"/>
  <c r="AE50" i="5"/>
  <c r="AE33" i="5"/>
  <c r="AE49" i="5"/>
  <c r="AE25" i="5"/>
  <c r="AE30" i="5"/>
  <c r="AE43" i="5"/>
  <c r="AE28" i="5"/>
  <c r="AE38" i="5"/>
  <c r="AE53" i="5"/>
  <c r="AE29" i="5"/>
  <c r="AE34" i="5"/>
  <c r="AE23" i="5"/>
  <c r="AE41" i="5"/>
  <c r="AE32" i="5"/>
  <c r="AE31" i="5"/>
  <c r="AE57" i="5"/>
  <c r="AE45" i="5"/>
  <c r="AE47" i="5"/>
  <c r="AE20" i="5"/>
  <c r="AE52" i="5"/>
  <c r="AE40" i="5"/>
  <c r="AE54" i="5"/>
  <c r="AE56" i="5"/>
  <c r="AE19" i="5"/>
  <c r="AE21" i="5"/>
  <c r="AE58" i="5"/>
  <c r="AE55" i="5"/>
  <c r="H18" i="5"/>
  <c r="AD18" i="5" s="1"/>
  <c r="AD39" i="5"/>
  <c r="AD40" i="5"/>
  <c r="AD56" i="5"/>
  <c r="AD41" i="5"/>
  <c r="AD42" i="5"/>
  <c r="AD48" i="5"/>
  <c r="AD43" i="5"/>
  <c r="AD45" i="5"/>
  <c r="AD46" i="5"/>
  <c r="AD55" i="5"/>
  <c r="AD51" i="5"/>
  <c r="AD54" i="5"/>
  <c r="AD36" i="5"/>
  <c r="AD52" i="5"/>
  <c r="AD37" i="5"/>
  <c r="AD30" i="5"/>
  <c r="AD20" i="5"/>
  <c r="AD31" i="5"/>
  <c r="AD53" i="5"/>
  <c r="AD21" i="5"/>
  <c r="AD50" i="5"/>
  <c r="AD27" i="5"/>
  <c r="AD57" i="5"/>
  <c r="AD33" i="5"/>
  <c r="AD29" i="5"/>
  <c r="AD26" i="5"/>
  <c r="AD19" i="5"/>
  <c r="AD34" i="5"/>
  <c r="AD24" i="5"/>
  <c r="AD22" i="5"/>
  <c r="AD32" i="5"/>
  <c r="AD35" i="5"/>
  <c r="AD49" i="5"/>
  <c r="AD28" i="5"/>
  <c r="AD47" i="5"/>
  <c r="AD23" i="5"/>
  <c r="AD38" i="5"/>
  <c r="AD44" i="5"/>
  <c r="AD58" i="5"/>
  <c r="AD25" i="5"/>
  <c r="G18" i="5"/>
  <c r="AC18" i="5" s="1"/>
  <c r="AC28" i="5"/>
  <c r="AC27" i="5"/>
  <c r="AC40" i="5"/>
  <c r="AC42" i="5"/>
  <c r="AC39" i="5"/>
  <c r="AC49" i="5"/>
  <c r="AC50" i="5"/>
  <c r="AC51" i="5"/>
  <c r="AC52" i="5"/>
  <c r="AC20" i="5"/>
  <c r="AC21" i="5"/>
  <c r="AC22" i="5"/>
  <c r="AC54" i="5"/>
  <c r="AC23" i="5"/>
  <c r="AC24" i="5"/>
  <c r="AC55" i="5"/>
  <c r="AC25" i="5"/>
  <c r="AC26" i="5"/>
  <c r="AC47" i="5"/>
  <c r="AC46" i="5"/>
  <c r="AC30" i="5"/>
  <c r="AC31" i="5"/>
  <c r="AC56" i="5"/>
  <c r="AC32" i="5"/>
  <c r="AC34" i="5"/>
  <c r="AC35" i="5"/>
  <c r="AC36" i="5"/>
  <c r="AC41" i="5"/>
  <c r="AC43" i="5"/>
  <c r="AC37" i="5"/>
  <c r="AC38" i="5"/>
  <c r="AC57" i="5"/>
  <c r="AC58" i="5"/>
  <c r="AC19" i="5"/>
  <c r="AC29" i="5"/>
  <c r="AC33" i="5"/>
  <c r="AC45" i="5"/>
  <c r="AC48" i="5"/>
  <c r="AC53" i="5"/>
  <c r="AC44" i="5"/>
  <c r="F18" i="5"/>
  <c r="AB18" i="5" s="1"/>
  <c r="AB57" i="5"/>
  <c r="AB33" i="5"/>
  <c r="AB19" i="5"/>
  <c r="AB54" i="5"/>
  <c r="AB48" i="5"/>
  <c r="AB26" i="5"/>
  <c r="AB55" i="5"/>
  <c r="AB44" i="5"/>
  <c r="AB53" i="5"/>
  <c r="AB38" i="5"/>
  <c r="AB49" i="5"/>
  <c r="AB22" i="5"/>
  <c r="AB37" i="5"/>
  <c r="AB58" i="5"/>
  <c r="AB40" i="5"/>
  <c r="AB39" i="5"/>
  <c r="AB36" i="5"/>
  <c r="AB51" i="5"/>
  <c r="AB43" i="5"/>
  <c r="AB25" i="5"/>
  <c r="AB50" i="5"/>
  <c r="AB24" i="5"/>
  <c r="AB41" i="5"/>
  <c r="AB56" i="5"/>
  <c r="AB42" i="5"/>
  <c r="AB34" i="5"/>
  <c r="AB23" i="5"/>
  <c r="AB45" i="5"/>
  <c r="AB21" i="5"/>
  <c r="AB28" i="5"/>
  <c r="AB35" i="5"/>
  <c r="AB29" i="5"/>
  <c r="AB27" i="5"/>
  <c r="AB30" i="5"/>
  <c r="AB20" i="5"/>
  <c r="AB31" i="5"/>
  <c r="AB32" i="5"/>
  <c r="AB46" i="5"/>
  <c r="AB52" i="5"/>
  <c r="AB47" i="5"/>
  <c r="E18" i="5"/>
  <c r="AA18" i="5" s="1"/>
  <c r="AA29" i="5"/>
  <c r="AA50" i="5"/>
  <c r="AA24" i="5"/>
  <c r="AA40" i="5"/>
  <c r="AA56" i="5"/>
  <c r="AA32" i="5"/>
  <c r="AA43" i="5"/>
  <c r="AA23" i="5"/>
  <c r="AA44" i="5"/>
  <c r="AA28" i="5"/>
  <c r="AA22" i="5"/>
  <c r="AA46" i="5"/>
  <c r="AA38" i="5"/>
  <c r="AA21" i="5"/>
  <c r="AA31" i="5"/>
  <c r="AA30" i="5"/>
  <c r="AA41" i="5"/>
  <c r="AA57" i="5"/>
  <c r="AA58" i="5"/>
  <c r="AA19" i="5"/>
  <c r="AA34" i="5"/>
  <c r="AA37" i="5"/>
  <c r="AA20" i="5"/>
  <c r="AA49" i="5"/>
  <c r="AA52" i="5"/>
  <c r="AA33" i="5"/>
  <c r="AA55" i="5"/>
  <c r="AA35" i="5"/>
  <c r="AA54" i="5"/>
  <c r="AA53" i="5"/>
  <c r="AA36" i="5"/>
  <c r="AA27" i="5"/>
  <c r="AA25" i="5"/>
  <c r="AA39" i="5"/>
  <c r="AA45" i="5"/>
  <c r="AA47" i="5"/>
  <c r="AA48" i="5"/>
  <c r="AA26" i="5"/>
  <c r="AA51" i="5"/>
  <c r="AA42" i="5"/>
  <c r="D18" i="5"/>
  <c r="Z18" i="5" s="1"/>
  <c r="Z31" i="5"/>
  <c r="Z19" i="5"/>
  <c r="Z49" i="5"/>
  <c r="Z20" i="5"/>
  <c r="Z21" i="5"/>
  <c r="Z22" i="5"/>
  <c r="Z23" i="5"/>
  <c r="Z24" i="5"/>
  <c r="Z25" i="5"/>
  <c r="Z26" i="5"/>
  <c r="Z27" i="5"/>
  <c r="Z32" i="5"/>
  <c r="Z33" i="5"/>
  <c r="Z34" i="5"/>
  <c r="Z35" i="5"/>
  <c r="Z41" i="5"/>
  <c r="Z30" i="5"/>
  <c r="Z38" i="5"/>
  <c r="Z28" i="5"/>
  <c r="Z39" i="5"/>
  <c r="Z29" i="5"/>
  <c r="Z40" i="5"/>
  <c r="Z43" i="5"/>
  <c r="Z44" i="5"/>
  <c r="Z47" i="5"/>
  <c r="Z51" i="5"/>
  <c r="Z36" i="5"/>
  <c r="Z37" i="5"/>
  <c r="Z52" i="5"/>
  <c r="Z53" i="5"/>
  <c r="Z50" i="5"/>
  <c r="Z54" i="5"/>
  <c r="Z55" i="5"/>
  <c r="Z42" i="5"/>
  <c r="Z45" i="5"/>
  <c r="Z48" i="5"/>
  <c r="Z46" i="5"/>
  <c r="Z56" i="5"/>
  <c r="Z57" i="5"/>
  <c r="Z58" i="5"/>
  <c r="C18" i="5"/>
  <c r="Y18" i="5" s="1"/>
  <c r="Y24" i="5"/>
  <c r="Y23" i="5"/>
  <c r="Y22" i="5"/>
  <c r="Y21" i="5"/>
  <c r="Y53" i="5"/>
  <c r="Y39" i="5"/>
  <c r="Y20" i="5"/>
  <c r="Y57" i="5"/>
  <c r="Y56" i="5"/>
  <c r="Y55" i="5"/>
  <c r="Y54" i="5"/>
  <c r="Y50" i="5"/>
  <c r="Y19" i="5"/>
  <c r="Y58" i="5"/>
  <c r="Y49" i="5"/>
  <c r="Y46" i="5"/>
  <c r="Y44" i="5"/>
  <c r="Y43" i="5"/>
  <c r="Y41" i="5"/>
  <c r="Y35" i="5"/>
  <c r="Y30" i="5"/>
  <c r="Y25" i="5"/>
  <c r="Y32" i="5"/>
  <c r="Y48" i="5"/>
  <c r="Y34" i="5"/>
  <c r="Y27" i="5"/>
  <c r="Y42" i="5"/>
  <c r="Y37" i="5"/>
  <c r="Y36" i="5"/>
  <c r="Y28" i="5"/>
  <c r="Y33" i="5"/>
  <c r="Y29" i="5"/>
  <c r="Y40" i="5"/>
  <c r="Y31" i="5"/>
  <c r="Y26" i="5"/>
  <c r="Y45" i="5"/>
  <c r="Y47" i="5"/>
  <c r="Y38" i="5"/>
  <c r="Y51" i="5"/>
  <c r="Y52" i="5"/>
  <c r="X18" i="5"/>
  <c r="X39" i="5"/>
  <c r="X31" i="5"/>
  <c r="X32" i="5"/>
  <c r="X33" i="5"/>
  <c r="X30" i="5"/>
  <c r="X34" i="5"/>
  <c r="X35" i="5"/>
  <c r="X36" i="5"/>
  <c r="X37" i="5"/>
  <c r="X38" i="5"/>
  <c r="X40" i="5"/>
  <c r="X41" i="5"/>
  <c r="X20" i="5"/>
  <c r="X42" i="5"/>
  <c r="X43" i="5"/>
  <c r="X21" i="5"/>
  <c r="X44" i="5"/>
  <c r="X45" i="5"/>
  <c r="X22" i="5"/>
  <c r="X46" i="5"/>
  <c r="X23" i="5"/>
  <c r="X48" i="5"/>
  <c r="X49" i="5"/>
  <c r="X24" i="5"/>
  <c r="X50" i="5"/>
  <c r="X51" i="5"/>
  <c r="X25" i="5"/>
  <c r="X52" i="5"/>
  <c r="X53" i="5"/>
  <c r="X26" i="5"/>
  <c r="X47" i="5"/>
  <c r="X27" i="5"/>
  <c r="X29" i="5"/>
  <c r="X55" i="5"/>
  <c r="X56" i="5"/>
  <c r="X57" i="5"/>
  <c r="X58" i="5"/>
  <c r="X19" i="5"/>
  <c r="X28" i="5"/>
  <c r="X54" i="5"/>
  <c r="G17" i="6" a="1"/>
  <c r="H17" i="6" a="1"/>
  <c r="F17" i="6" a="1"/>
  <c r="B17" i="6" a="1"/>
  <c r="J17" i="6" a="1"/>
  <c r="E17" i="6" a="1"/>
  <c r="K17" i="6" a="1"/>
  <c r="D17" i="6" a="1"/>
  <c r="I17" i="6" a="1"/>
  <c r="C17" i="6" a="1"/>
  <c r="L17" i="6" a="1"/>
  <c r="Q6" i="2" a="1"/>
  <c r="Q6" i="2" s="1"/>
  <c r="BX11" i="1"/>
  <c r="BX12" i="1"/>
  <c r="BX13" i="1"/>
  <c r="BX14" i="1"/>
  <c r="BX15" i="1"/>
  <c r="BX16" i="1"/>
  <c r="BX17" i="1"/>
  <c r="BX18" i="1"/>
  <c r="BX19" i="1"/>
  <c r="BW11" i="1"/>
  <c r="BW12" i="1"/>
  <c r="BW13" i="1"/>
  <c r="BW14" i="1"/>
  <c r="BW15" i="1"/>
  <c r="BW16" i="1"/>
  <c r="BW17" i="1"/>
  <c r="BW18" i="1"/>
  <c r="BW19" i="1"/>
  <c r="BV11" i="1"/>
  <c r="BV12" i="1"/>
  <c r="BV13" i="1"/>
  <c r="BV14" i="1"/>
  <c r="BV15" i="1"/>
  <c r="BV16" i="1"/>
  <c r="BV17" i="1"/>
  <c r="BV18" i="1"/>
  <c r="BV19" i="1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B11" i="1" a="1"/>
  <c r="B11" i="1" s="1"/>
  <c r="C11" i="1" a="1"/>
  <c r="C11" i="1" s="1"/>
  <c r="D11" i="1" a="1"/>
  <c r="D11" i="1" s="1"/>
  <c r="M11" i="1" a="1"/>
  <c r="N11" i="1" a="1"/>
  <c r="O11" i="1" a="1"/>
  <c r="X11" i="1" a="1"/>
  <c r="Y11" i="1" a="1"/>
  <c r="Z11" i="1" a="1"/>
  <c r="AI11" i="1" a="1"/>
  <c r="AJ11" i="1" a="1"/>
  <c r="AK11" i="1" a="1"/>
  <c r="AT11" i="1" a="1"/>
  <c r="AU11" i="1" a="1"/>
  <c r="AV11" i="1" a="1"/>
  <c r="F5" i="2"/>
  <c r="AQ6" i="11" l="1" a="1"/>
  <c r="AQ6" i="11" s="1"/>
  <c r="AA6" i="11"/>
  <c r="AJ6" i="11"/>
  <c r="AW6" i="11" a="1"/>
  <c r="AW6" i="11" s="1"/>
  <c r="BM14" i="1"/>
  <c r="BM12" i="1"/>
  <c r="BM17" i="1"/>
  <c r="BM16" i="1"/>
  <c r="BM15" i="1"/>
  <c r="BM13" i="1"/>
  <c r="BG11" i="1"/>
  <c r="BM11" i="1" s="1"/>
  <c r="BL14" i="1"/>
  <c r="BL12" i="1"/>
  <c r="BL17" i="1"/>
  <c r="BL16" i="1"/>
  <c r="BL15" i="1"/>
  <c r="BL13" i="1"/>
  <c r="BF11" i="1"/>
  <c r="BL11" i="1" s="1"/>
  <c r="BK14" i="1"/>
  <c r="BK12" i="1"/>
  <c r="BK15" i="1"/>
  <c r="BK17" i="1"/>
  <c r="BK16" i="1"/>
  <c r="BK13" i="1"/>
  <c r="BE11" i="1"/>
  <c r="BK11" i="1" s="1"/>
  <c r="DX19" i="5"/>
  <c r="DX20" i="5"/>
  <c r="DX22" i="5"/>
  <c r="DX23" i="5"/>
  <c r="DX21" i="5"/>
  <c r="DX24" i="5"/>
  <c r="DY20" i="5"/>
  <c r="DY22" i="5"/>
  <c r="DY21" i="5"/>
  <c r="DY23" i="5"/>
  <c r="DY24" i="5"/>
  <c r="DY19" i="5"/>
  <c r="DZ20" i="5"/>
  <c r="DZ22" i="5"/>
  <c r="DZ24" i="5"/>
  <c r="DZ23" i="5"/>
  <c r="DZ21" i="5"/>
  <c r="DZ19" i="5"/>
  <c r="EA24" i="5"/>
  <c r="EA21" i="5"/>
  <c r="EA22" i="5"/>
  <c r="EA19" i="5"/>
  <c r="EA20" i="5"/>
  <c r="EA23" i="5"/>
  <c r="EB24" i="5"/>
  <c r="EB21" i="5"/>
  <c r="EB23" i="5"/>
  <c r="EB20" i="5"/>
  <c r="EB22" i="5"/>
  <c r="EB19" i="5"/>
  <c r="EC24" i="5"/>
  <c r="EC23" i="5"/>
  <c r="EC21" i="5"/>
  <c r="EC22" i="5"/>
  <c r="EC19" i="5"/>
  <c r="EC20" i="5"/>
  <c r="ED24" i="5"/>
  <c r="ED23" i="5"/>
  <c r="ED22" i="5"/>
  <c r="ED19" i="5"/>
  <c r="ED21" i="5"/>
  <c r="ED20" i="5"/>
  <c r="EE23" i="5"/>
  <c r="EE20" i="5"/>
  <c r="EE24" i="5"/>
  <c r="EE22" i="5"/>
  <c r="EE21" i="5"/>
  <c r="EE19" i="5"/>
  <c r="EF20" i="5"/>
  <c r="EF21" i="5"/>
  <c r="EF23" i="5"/>
  <c r="EF24" i="5"/>
  <c r="EF19" i="5"/>
  <c r="EF22" i="5"/>
  <c r="EG20" i="5"/>
  <c r="EG23" i="5"/>
  <c r="EG24" i="5"/>
  <c r="EG21" i="5"/>
  <c r="EG22" i="5"/>
  <c r="EG19" i="5"/>
  <c r="EH24" i="5"/>
  <c r="EH20" i="5"/>
  <c r="EH23" i="5"/>
  <c r="EH19" i="5"/>
  <c r="EH22" i="5"/>
  <c r="EH21" i="5"/>
  <c r="DB18" i="5"/>
  <c r="DX18" i="5" s="1"/>
  <c r="DC18" i="5"/>
  <c r="DY18" i="5" s="1"/>
  <c r="DD18" i="5"/>
  <c r="DZ18" i="5" s="1"/>
  <c r="DE18" i="5"/>
  <c r="EA18" i="5" s="1"/>
  <c r="DF18" i="5"/>
  <c r="EB18" i="5" s="1"/>
  <c r="DG18" i="5"/>
  <c r="EC18" i="5" s="1"/>
  <c r="DH18" i="5"/>
  <c r="ED18" i="5" s="1"/>
  <c r="DI18" i="5"/>
  <c r="EE18" i="5" s="1"/>
  <c r="DJ18" i="5"/>
  <c r="EF18" i="5" s="1"/>
  <c r="DK18" i="5"/>
  <c r="EG18" i="5" s="1"/>
  <c r="DL18" i="5"/>
  <c r="EH18" i="5" s="1"/>
  <c r="B17" i="10"/>
  <c r="C17" i="10"/>
  <c r="E17" i="10"/>
  <c r="F17" i="10"/>
  <c r="I17" i="10"/>
  <c r="L17" i="10"/>
  <c r="D17" i="10"/>
  <c r="G17" i="10"/>
  <c r="H17" i="10"/>
  <c r="K17" i="10"/>
  <c r="J17" i="10"/>
  <c r="FI17" i="8"/>
  <c r="FI19" i="8"/>
  <c r="FI18" i="8"/>
  <c r="FJ17" i="8"/>
  <c r="FJ18" i="8"/>
  <c r="FJ19" i="8"/>
  <c r="FK17" i="8"/>
  <c r="FK19" i="8"/>
  <c r="FK18" i="8"/>
  <c r="FR18" i="8"/>
  <c r="FR17" i="8"/>
  <c r="FR19" i="8"/>
  <c r="FS19" i="8"/>
  <c r="FS18" i="8"/>
  <c r="FS17" i="8"/>
  <c r="FN19" i="8"/>
  <c r="FN17" i="8"/>
  <c r="FN18" i="8"/>
  <c r="FM18" i="8"/>
  <c r="FM17" i="8"/>
  <c r="FM19" i="8"/>
  <c r="FP18" i="8"/>
  <c r="FP17" i="8"/>
  <c r="FP19" i="8"/>
  <c r="FQ19" i="8"/>
  <c r="FQ18" i="8"/>
  <c r="FQ17" i="8"/>
  <c r="FO17" i="8"/>
  <c r="FO18" i="8"/>
  <c r="FO19" i="8"/>
  <c r="FL19" i="8"/>
  <c r="FL17" i="8"/>
  <c r="FL18" i="8"/>
  <c r="AD20" i="8"/>
  <c r="AD21" i="8"/>
  <c r="AD22" i="8"/>
  <c r="AD26" i="8"/>
  <c r="AD30" i="8"/>
  <c r="AD35" i="8"/>
  <c r="AD41" i="8"/>
  <c r="AD17" i="8"/>
  <c r="AD18" i="8"/>
  <c r="AD28" i="8"/>
  <c r="AD29" i="8"/>
  <c r="AD31" i="8"/>
  <c r="AD34" i="8"/>
  <c r="AD24" i="8"/>
  <c r="AD27" i="8"/>
  <c r="AD23" i="8"/>
  <c r="AD37" i="8"/>
  <c r="AD38" i="8"/>
  <c r="AD43" i="8"/>
  <c r="AD45" i="8"/>
  <c r="AD47" i="8"/>
  <c r="AD48" i="8"/>
  <c r="AD49" i="8"/>
  <c r="AD50" i="8"/>
  <c r="AD19" i="8"/>
  <c r="AD25" i="8"/>
  <c r="AD32" i="8"/>
  <c r="AD33" i="8"/>
  <c r="AD36" i="8"/>
  <c r="AD39" i="8"/>
  <c r="AD40" i="8"/>
  <c r="AD42" i="8"/>
  <c r="AD44" i="8"/>
  <c r="AD46" i="8"/>
  <c r="AD51" i="8"/>
  <c r="AD52" i="8"/>
  <c r="AD53" i="8"/>
  <c r="AD54" i="8"/>
  <c r="AD55" i="8"/>
  <c r="AD56" i="8"/>
  <c r="AD57" i="8"/>
  <c r="BL21" i="8"/>
  <c r="BL23" i="8"/>
  <c r="BL19" i="8"/>
  <c r="BL20" i="8"/>
  <c r="BL27" i="8"/>
  <c r="BL26" i="8"/>
  <c r="BL29" i="8"/>
  <c r="BL34" i="8"/>
  <c r="BL38" i="8"/>
  <c r="BL40" i="8"/>
  <c r="BL42" i="8"/>
  <c r="BL22" i="8"/>
  <c r="BL31" i="8"/>
  <c r="BL37" i="8"/>
  <c r="BL41" i="8"/>
  <c r="BL17" i="8"/>
  <c r="BL30" i="8"/>
  <c r="BL32" i="8"/>
  <c r="BL35" i="8"/>
  <c r="BL24" i="8"/>
  <c r="BL25" i="8"/>
  <c r="BL28" i="8"/>
  <c r="BL36" i="8"/>
  <c r="BL44" i="8"/>
  <c r="BL45" i="8"/>
  <c r="BL47" i="8"/>
  <c r="BL48" i="8"/>
  <c r="BL49" i="8"/>
  <c r="BL50" i="8"/>
  <c r="BL18" i="8"/>
  <c r="BL33" i="8"/>
  <c r="BL39" i="8"/>
  <c r="BL43" i="8"/>
  <c r="BL46" i="8"/>
  <c r="BL51" i="8"/>
  <c r="BL52" i="8"/>
  <c r="BL53" i="8"/>
  <c r="BL54" i="8"/>
  <c r="BL55" i="8"/>
  <c r="BL56" i="8"/>
  <c r="BL57" i="8"/>
  <c r="CY18" i="8"/>
  <c r="CY19" i="8"/>
  <c r="CY21" i="8"/>
  <c r="CY23" i="8"/>
  <c r="CY17" i="8"/>
  <c r="CY20" i="8"/>
  <c r="CY22" i="8"/>
  <c r="CY27" i="8"/>
  <c r="CY36" i="8"/>
  <c r="CY41" i="8"/>
  <c r="CY28" i="8"/>
  <c r="CY34" i="8"/>
  <c r="CY38" i="8"/>
  <c r="CY40" i="8"/>
  <c r="CY24" i="8"/>
  <c r="CY26" i="8"/>
  <c r="CY32" i="8"/>
  <c r="CY33" i="8"/>
  <c r="CY29" i="8"/>
  <c r="CY30" i="8"/>
  <c r="CY37" i="8"/>
  <c r="CY39" i="8"/>
  <c r="CY44" i="8"/>
  <c r="CY45" i="8"/>
  <c r="CY47" i="8"/>
  <c r="CY49" i="8"/>
  <c r="CY25" i="8"/>
  <c r="CY31" i="8"/>
  <c r="CY35" i="8"/>
  <c r="CY42" i="8"/>
  <c r="CY43" i="8"/>
  <c r="CY46" i="8"/>
  <c r="CY48" i="8"/>
  <c r="CY50" i="8"/>
  <c r="CY51" i="8"/>
  <c r="CY52" i="8"/>
  <c r="CY53" i="8"/>
  <c r="CY54" i="8"/>
  <c r="CY55" i="8"/>
  <c r="CY56" i="8"/>
  <c r="CY57" i="8"/>
  <c r="BQ17" i="8"/>
  <c r="BQ18" i="8"/>
  <c r="BQ20" i="8"/>
  <c r="BQ21" i="8"/>
  <c r="BQ24" i="8"/>
  <c r="BQ26" i="8"/>
  <c r="BQ30" i="8"/>
  <c r="BQ38" i="8"/>
  <c r="BQ42" i="8"/>
  <c r="BQ29" i="8"/>
  <c r="BQ31" i="8"/>
  <c r="BQ34" i="8"/>
  <c r="BQ35" i="8"/>
  <c r="BQ36" i="8"/>
  <c r="BQ40" i="8"/>
  <c r="BQ19" i="8"/>
  <c r="BQ25" i="8"/>
  <c r="BQ27" i="8"/>
  <c r="BQ32" i="8"/>
  <c r="BQ22" i="8"/>
  <c r="BQ28" i="8"/>
  <c r="BQ39" i="8"/>
  <c r="BQ44" i="8"/>
  <c r="BQ45" i="8"/>
  <c r="BQ47" i="8"/>
  <c r="BQ51" i="8"/>
  <c r="BQ23" i="8"/>
  <c r="BQ33" i="8"/>
  <c r="BQ37" i="8"/>
  <c r="BQ41" i="8"/>
  <c r="BQ43" i="8"/>
  <c r="BQ46" i="8"/>
  <c r="BQ48" i="8"/>
  <c r="BQ49" i="8"/>
  <c r="BQ50" i="8"/>
  <c r="BQ52" i="8"/>
  <c r="BQ53" i="8"/>
  <c r="BQ54" i="8"/>
  <c r="BQ55" i="8"/>
  <c r="BQ56" i="8"/>
  <c r="BQ57" i="8"/>
  <c r="CP17" i="8"/>
  <c r="CP23" i="8"/>
  <c r="CP20" i="8"/>
  <c r="CP21" i="8"/>
  <c r="CP22" i="8"/>
  <c r="CP25" i="8"/>
  <c r="CP36" i="8"/>
  <c r="CP38" i="8"/>
  <c r="CP40" i="8"/>
  <c r="CP28" i="8"/>
  <c r="CP31" i="8"/>
  <c r="CP33" i="8"/>
  <c r="CP41" i="8"/>
  <c r="CP19" i="8"/>
  <c r="CP24" i="8"/>
  <c r="CP26" i="8"/>
  <c r="CP27" i="8"/>
  <c r="CP29" i="8"/>
  <c r="CP18" i="8"/>
  <c r="CP30" i="8"/>
  <c r="CP32" i="8"/>
  <c r="CP37" i="8"/>
  <c r="CP39" i="8"/>
  <c r="CP44" i="8"/>
  <c r="CP45" i="8"/>
  <c r="CP47" i="8"/>
  <c r="CP34" i="8"/>
  <c r="CP35" i="8"/>
  <c r="CP42" i="8"/>
  <c r="CP43" i="8"/>
  <c r="CP46" i="8"/>
  <c r="CP48" i="8"/>
  <c r="CP49" i="8"/>
  <c r="CP50" i="8"/>
  <c r="CP51" i="8"/>
  <c r="CP52" i="8"/>
  <c r="CP53" i="8"/>
  <c r="CP54" i="8"/>
  <c r="CP55" i="8"/>
  <c r="CP56" i="8"/>
  <c r="CP57" i="8"/>
  <c r="CU21" i="8"/>
  <c r="CU23" i="8"/>
  <c r="CU25" i="8"/>
  <c r="CU26" i="8"/>
  <c r="CU18" i="8"/>
  <c r="CU22" i="8"/>
  <c r="CU24" i="8"/>
  <c r="CU27" i="8"/>
  <c r="CU36" i="8"/>
  <c r="CU39" i="8"/>
  <c r="CU17" i="8"/>
  <c r="CU29" i="8"/>
  <c r="CU33" i="8"/>
  <c r="CU37" i="8"/>
  <c r="CU40" i="8"/>
  <c r="CU41" i="8"/>
  <c r="CU19" i="8"/>
  <c r="CU28" i="8"/>
  <c r="CU30" i="8"/>
  <c r="CU31" i="8"/>
  <c r="CU32" i="8"/>
  <c r="CU34" i="8"/>
  <c r="CU35" i="8"/>
  <c r="CU38" i="8"/>
  <c r="CU42" i="8"/>
  <c r="CU45" i="8"/>
  <c r="CU47" i="8"/>
  <c r="CU48" i="8"/>
  <c r="CU20" i="8"/>
  <c r="CU43" i="8"/>
  <c r="CU44" i="8"/>
  <c r="CU46" i="8"/>
  <c r="CU49" i="8"/>
  <c r="CU50" i="8"/>
  <c r="CU51" i="8"/>
  <c r="CU52" i="8"/>
  <c r="CU53" i="8"/>
  <c r="CU54" i="8"/>
  <c r="CU55" i="8"/>
  <c r="CU56" i="8"/>
  <c r="CU57" i="8"/>
  <c r="Y17" i="8"/>
  <c r="Y19" i="8"/>
  <c r="Y20" i="8"/>
  <c r="Y25" i="8"/>
  <c r="Y26" i="8"/>
  <c r="Y22" i="8"/>
  <c r="Y29" i="8"/>
  <c r="Y37" i="8"/>
  <c r="Y40" i="8"/>
  <c r="Y23" i="8"/>
  <c r="Y30" i="8"/>
  <c r="Y31" i="8"/>
  <c r="Y39" i="8"/>
  <c r="Y42" i="8"/>
  <c r="Y24" i="8"/>
  <c r="Y28" i="8"/>
  <c r="Y32" i="8"/>
  <c r="Y34" i="8"/>
  <c r="Y18" i="8"/>
  <c r="Y27" i="8"/>
  <c r="Y33" i="8"/>
  <c r="Y35" i="8"/>
  <c r="Y36" i="8"/>
  <c r="Y43" i="8"/>
  <c r="Y44" i="8"/>
  <c r="Y45" i="8"/>
  <c r="Y46" i="8"/>
  <c r="Y48" i="8"/>
  <c r="Y49" i="8"/>
  <c r="Y51" i="8"/>
  <c r="Y21" i="8"/>
  <c r="Y38" i="8"/>
  <c r="Y41" i="8"/>
  <c r="Y47" i="8"/>
  <c r="Y50" i="8"/>
  <c r="Y52" i="8"/>
  <c r="Y53" i="8"/>
  <c r="Y54" i="8"/>
  <c r="Y55" i="8"/>
  <c r="Y56" i="8"/>
  <c r="Y57" i="8"/>
  <c r="AA21" i="8"/>
  <c r="AA18" i="8"/>
  <c r="AA26" i="8"/>
  <c r="AA22" i="8"/>
  <c r="AA24" i="8"/>
  <c r="AA27" i="8"/>
  <c r="AA30" i="8"/>
  <c r="AA34" i="8"/>
  <c r="AA37" i="8"/>
  <c r="AA40" i="8"/>
  <c r="AA23" i="8"/>
  <c r="AA35" i="8"/>
  <c r="AA39" i="8"/>
  <c r="AA32" i="8"/>
  <c r="AA19" i="8"/>
  <c r="AA25" i="8"/>
  <c r="AA28" i="8"/>
  <c r="AA33" i="8"/>
  <c r="AA42" i="8"/>
  <c r="AA44" i="8"/>
  <c r="AA45" i="8"/>
  <c r="AA48" i="8"/>
  <c r="AA49" i="8"/>
  <c r="AA17" i="8"/>
  <c r="AA20" i="8"/>
  <c r="AA29" i="8"/>
  <c r="AA31" i="8"/>
  <c r="AA36" i="8"/>
  <c r="AA38" i="8"/>
  <c r="AA41" i="8"/>
  <c r="AA43" i="8"/>
  <c r="AA46" i="8"/>
  <c r="AA47" i="8"/>
  <c r="AA50" i="8"/>
  <c r="AA51" i="8"/>
  <c r="AA52" i="8"/>
  <c r="AA53" i="8"/>
  <c r="AA54" i="8"/>
  <c r="AA55" i="8"/>
  <c r="AA56" i="8"/>
  <c r="AA57" i="8"/>
  <c r="AE23" i="8"/>
  <c r="AE20" i="8"/>
  <c r="AE21" i="8"/>
  <c r="AE25" i="8"/>
  <c r="AE28" i="8"/>
  <c r="AE31" i="8"/>
  <c r="AE40" i="8"/>
  <c r="AE42" i="8"/>
  <c r="AE43" i="8"/>
  <c r="AE26" i="8"/>
  <c r="AE30" i="8"/>
  <c r="AE41" i="8"/>
  <c r="AE17" i="8"/>
  <c r="AE19" i="8"/>
  <c r="AE29" i="8"/>
  <c r="AE18" i="8"/>
  <c r="AE27" i="8"/>
  <c r="AE32" i="8"/>
  <c r="AE33" i="8"/>
  <c r="AE34" i="8"/>
  <c r="AE35" i="8"/>
  <c r="AE36" i="8"/>
  <c r="AE39" i="8"/>
  <c r="AE44" i="8"/>
  <c r="AE45" i="8"/>
  <c r="AE51" i="8"/>
  <c r="AE22" i="8"/>
  <c r="AE24" i="8"/>
  <c r="AE37" i="8"/>
  <c r="AE38" i="8"/>
  <c r="AE46" i="8"/>
  <c r="AE47" i="8"/>
  <c r="AE48" i="8"/>
  <c r="AE49" i="8"/>
  <c r="AE50" i="8"/>
  <c r="AE52" i="8"/>
  <c r="AE53" i="8"/>
  <c r="AE54" i="8"/>
  <c r="AE55" i="8"/>
  <c r="AE56" i="8"/>
  <c r="AE57" i="8"/>
  <c r="AH21" i="8"/>
  <c r="AH18" i="8"/>
  <c r="AH19" i="8"/>
  <c r="AH20" i="8"/>
  <c r="AH22" i="8"/>
  <c r="AH24" i="8"/>
  <c r="AH17" i="8"/>
  <c r="AH23" i="8"/>
  <c r="AH35" i="8"/>
  <c r="AH37" i="8"/>
  <c r="AH38" i="8"/>
  <c r="AH42" i="8"/>
  <c r="AH25" i="8"/>
  <c r="AH27" i="8"/>
  <c r="AH28" i="8"/>
  <c r="AH29" i="8"/>
  <c r="AH30" i="8"/>
  <c r="AH34" i="8"/>
  <c r="AH36" i="8"/>
  <c r="AH41" i="8"/>
  <c r="AH31" i="8"/>
  <c r="AH26" i="8"/>
  <c r="AH32" i="8"/>
  <c r="AH33" i="8"/>
  <c r="AH44" i="8"/>
  <c r="AH45" i="8"/>
  <c r="AH48" i="8"/>
  <c r="AH49" i="8"/>
  <c r="AH51" i="8"/>
  <c r="AH39" i="8"/>
  <c r="AH40" i="8"/>
  <c r="AH43" i="8"/>
  <c r="AH46" i="8"/>
  <c r="AH47" i="8"/>
  <c r="AH50" i="8"/>
  <c r="AH52" i="8"/>
  <c r="AH53" i="8"/>
  <c r="AH54" i="8"/>
  <c r="AH55" i="8"/>
  <c r="AH56" i="8"/>
  <c r="AH57" i="8"/>
  <c r="BK21" i="8"/>
  <c r="BK22" i="8"/>
  <c r="BK20" i="8"/>
  <c r="BK23" i="8"/>
  <c r="BK27" i="8"/>
  <c r="BK31" i="8"/>
  <c r="BK35" i="8"/>
  <c r="BK36" i="8"/>
  <c r="BK39" i="8"/>
  <c r="BK17" i="8"/>
  <c r="BK18" i="8"/>
  <c r="BK40" i="8"/>
  <c r="BK42" i="8"/>
  <c r="BK24" i="8"/>
  <c r="BK26" i="8"/>
  <c r="BK28" i="8"/>
  <c r="BK33" i="8"/>
  <c r="BK29" i="8"/>
  <c r="BK32" i="8"/>
  <c r="BK34" i="8"/>
  <c r="BK41" i="8"/>
  <c r="BK43" i="8"/>
  <c r="BK44" i="8"/>
  <c r="BK45" i="8"/>
  <c r="BK51" i="8"/>
  <c r="BK19" i="8"/>
  <c r="BK25" i="8"/>
  <c r="BK30" i="8"/>
  <c r="BK37" i="8"/>
  <c r="BK38" i="8"/>
  <c r="BK46" i="8"/>
  <c r="BK47" i="8"/>
  <c r="BK48" i="8"/>
  <c r="BK49" i="8"/>
  <c r="BK50" i="8"/>
  <c r="BK52" i="8"/>
  <c r="BK53" i="8"/>
  <c r="BK54" i="8"/>
  <c r="BK55" i="8"/>
  <c r="BK56" i="8"/>
  <c r="BK57" i="8"/>
  <c r="CV19" i="8"/>
  <c r="CV20" i="8"/>
  <c r="CV22" i="8"/>
  <c r="CV23" i="8"/>
  <c r="CV25" i="8"/>
  <c r="CV27" i="8"/>
  <c r="CV38" i="8"/>
  <c r="CV40" i="8"/>
  <c r="CV42" i="8"/>
  <c r="CV18" i="8"/>
  <c r="CV31" i="8"/>
  <c r="CV33" i="8"/>
  <c r="CV35" i="8"/>
  <c r="CV21" i="8"/>
  <c r="CV26" i="8"/>
  <c r="CV29" i="8"/>
  <c r="CV30" i="8"/>
  <c r="CV36" i="8"/>
  <c r="CV41" i="8"/>
  <c r="CV43" i="8"/>
  <c r="CV44" i="8"/>
  <c r="CV45" i="8"/>
  <c r="CV48" i="8"/>
  <c r="CV49" i="8"/>
  <c r="CV50" i="8"/>
  <c r="CV17" i="8"/>
  <c r="CV24" i="8"/>
  <c r="CV28" i="8"/>
  <c r="CV32" i="8"/>
  <c r="CV34" i="8"/>
  <c r="CV37" i="8"/>
  <c r="CV39" i="8"/>
  <c r="CV46" i="8"/>
  <c r="CV47" i="8"/>
  <c r="CV51" i="8"/>
  <c r="CV52" i="8"/>
  <c r="CV53" i="8"/>
  <c r="CV54" i="8"/>
  <c r="CV55" i="8"/>
  <c r="CV56" i="8"/>
  <c r="CV57" i="8"/>
  <c r="X23" i="8"/>
  <c r="X25" i="8"/>
  <c r="X19" i="8"/>
  <c r="X22" i="8"/>
  <c r="X24" i="8"/>
  <c r="X27" i="8"/>
  <c r="X28" i="8"/>
  <c r="X35" i="8"/>
  <c r="X36" i="8"/>
  <c r="X26" i="8"/>
  <c r="X32" i="8"/>
  <c r="X37" i="8"/>
  <c r="X40" i="8"/>
  <c r="X18" i="8"/>
  <c r="X31" i="8"/>
  <c r="X33" i="8"/>
  <c r="X29" i="8"/>
  <c r="X38" i="8"/>
  <c r="X39" i="8"/>
  <c r="X41" i="8"/>
  <c r="X46" i="8"/>
  <c r="X50" i="8"/>
  <c r="X17" i="8"/>
  <c r="X20" i="8"/>
  <c r="X21" i="8"/>
  <c r="X30" i="8"/>
  <c r="X34" i="8"/>
  <c r="X42" i="8"/>
  <c r="X43" i="8"/>
  <c r="X44" i="8"/>
  <c r="X45" i="8"/>
  <c r="X47" i="8"/>
  <c r="X48" i="8"/>
  <c r="X49" i="8"/>
  <c r="X51" i="8"/>
  <c r="X52" i="8"/>
  <c r="X53" i="8"/>
  <c r="X54" i="8"/>
  <c r="X55" i="8"/>
  <c r="X56" i="8"/>
  <c r="X57" i="8"/>
  <c r="BH21" i="8"/>
  <c r="BH18" i="8"/>
  <c r="BH20" i="8"/>
  <c r="BH26" i="8"/>
  <c r="BH23" i="8"/>
  <c r="BH25" i="8"/>
  <c r="BH31" i="8"/>
  <c r="BH35" i="8"/>
  <c r="BH37" i="8"/>
  <c r="BH39" i="8"/>
  <c r="BH40" i="8"/>
  <c r="BH28" i="8"/>
  <c r="BH36" i="8"/>
  <c r="BH41" i="8"/>
  <c r="BH24" i="8"/>
  <c r="BH30" i="8"/>
  <c r="BH32" i="8"/>
  <c r="BH17" i="8"/>
  <c r="BH19" i="8"/>
  <c r="BH22" i="8"/>
  <c r="BH29" i="8"/>
  <c r="BH33" i="8"/>
  <c r="BH34" i="8"/>
  <c r="BH38" i="8"/>
  <c r="BH42" i="8"/>
  <c r="BH45" i="8"/>
  <c r="BH47" i="8"/>
  <c r="BH50" i="8"/>
  <c r="BH51" i="8"/>
  <c r="BH27" i="8"/>
  <c r="BH43" i="8"/>
  <c r="BH44" i="8"/>
  <c r="BH46" i="8"/>
  <c r="BH48" i="8"/>
  <c r="BH49" i="8"/>
  <c r="BH52" i="8"/>
  <c r="BH53" i="8"/>
  <c r="BH54" i="8"/>
  <c r="BH55" i="8"/>
  <c r="BH56" i="8"/>
  <c r="BH57" i="8"/>
  <c r="BN26" i="8"/>
  <c r="BN25" i="8"/>
  <c r="BN41" i="8"/>
  <c r="BN21" i="8"/>
  <c r="BN23" i="8"/>
  <c r="BN36" i="8"/>
  <c r="BN37" i="8"/>
  <c r="BN40" i="8"/>
  <c r="BN27" i="8"/>
  <c r="BN28" i="8"/>
  <c r="BN32" i="8"/>
  <c r="BN33" i="8"/>
  <c r="BN34" i="8"/>
  <c r="BN17" i="8"/>
  <c r="BN24" i="8"/>
  <c r="BN29" i="8"/>
  <c r="BN30" i="8"/>
  <c r="BN35" i="8"/>
  <c r="BN44" i="8"/>
  <c r="BN45" i="8"/>
  <c r="BN48" i="8"/>
  <c r="BN49" i="8"/>
  <c r="BN50" i="8"/>
  <c r="BN18" i="8"/>
  <c r="BN19" i="8"/>
  <c r="BN20" i="8"/>
  <c r="BN22" i="8"/>
  <c r="BN31" i="8"/>
  <c r="BN38" i="8"/>
  <c r="BN39" i="8"/>
  <c r="BN42" i="8"/>
  <c r="BN43" i="8"/>
  <c r="BN46" i="8"/>
  <c r="BN47" i="8"/>
  <c r="BN51" i="8"/>
  <c r="BN52" i="8"/>
  <c r="BN53" i="8"/>
  <c r="BN54" i="8"/>
  <c r="BN55" i="8"/>
  <c r="BN56" i="8"/>
  <c r="BN57" i="8"/>
  <c r="BP23" i="8"/>
  <c r="BP19" i="8"/>
  <c r="BP22" i="8"/>
  <c r="BP20" i="8"/>
  <c r="BP21" i="8"/>
  <c r="BP27" i="8"/>
  <c r="BP28" i="8"/>
  <c r="BP30" i="8"/>
  <c r="BP40" i="8"/>
  <c r="BP42" i="8"/>
  <c r="BP35" i="8"/>
  <c r="BP39" i="8"/>
  <c r="BP25" i="8"/>
  <c r="BP31" i="8"/>
  <c r="BP33" i="8"/>
  <c r="BP18" i="8"/>
  <c r="BP24" i="8"/>
  <c r="BP37" i="8"/>
  <c r="BP38" i="8"/>
  <c r="BP41" i="8"/>
  <c r="BP44" i="8"/>
  <c r="BP45" i="8"/>
  <c r="BP47" i="8"/>
  <c r="BP48" i="8"/>
  <c r="BP49" i="8"/>
  <c r="BP50" i="8"/>
  <c r="BP17" i="8"/>
  <c r="BP26" i="8"/>
  <c r="BP29" i="8"/>
  <c r="BP32" i="8"/>
  <c r="BP34" i="8"/>
  <c r="BP36" i="8"/>
  <c r="BP43" i="8"/>
  <c r="BP46" i="8"/>
  <c r="BP51" i="8"/>
  <c r="BP52" i="8"/>
  <c r="BP53" i="8"/>
  <c r="BP54" i="8"/>
  <c r="BP55" i="8"/>
  <c r="BP56" i="8"/>
  <c r="BP57" i="8"/>
  <c r="CW19" i="8"/>
  <c r="CW17" i="8"/>
  <c r="CW21" i="8"/>
  <c r="CW22" i="8"/>
  <c r="CW29" i="8"/>
  <c r="CW33" i="8"/>
  <c r="CW34" i="8"/>
  <c r="CW39" i="8"/>
  <c r="CW37" i="8"/>
  <c r="CW38" i="8"/>
  <c r="CW40" i="8"/>
  <c r="CW42" i="8"/>
  <c r="CW20" i="8"/>
  <c r="CW23" i="8"/>
  <c r="CW28" i="8"/>
  <c r="CW31" i="8"/>
  <c r="CW24" i="8"/>
  <c r="CW25" i="8"/>
  <c r="CW26" i="8"/>
  <c r="CW32" i="8"/>
  <c r="CW45" i="8"/>
  <c r="CW47" i="8"/>
  <c r="CW18" i="8"/>
  <c r="CW27" i="8"/>
  <c r="CW30" i="8"/>
  <c r="CW35" i="8"/>
  <c r="CW36" i="8"/>
  <c r="CW41" i="8"/>
  <c r="CW43" i="8"/>
  <c r="CW44" i="8"/>
  <c r="CW46" i="8"/>
  <c r="CW48" i="8"/>
  <c r="CW49" i="8"/>
  <c r="CW50" i="8"/>
  <c r="CW51" i="8"/>
  <c r="CW52" i="8"/>
  <c r="CW53" i="8"/>
  <c r="CW54" i="8"/>
  <c r="CW55" i="8"/>
  <c r="CW56" i="8"/>
  <c r="CW57" i="8"/>
  <c r="Z19" i="8"/>
  <c r="Z21" i="8"/>
  <c r="Z25" i="8"/>
  <c r="Z22" i="8"/>
  <c r="Z23" i="8"/>
  <c r="Z28" i="8"/>
  <c r="Z39" i="8"/>
  <c r="Z42" i="8"/>
  <c r="Z18" i="8"/>
  <c r="Z41" i="8"/>
  <c r="Z20" i="8"/>
  <c r="Z26" i="8"/>
  <c r="Z27" i="8"/>
  <c r="Z30" i="8"/>
  <c r="Z33" i="8"/>
  <c r="Z17" i="8"/>
  <c r="Z29" i="8"/>
  <c r="Z31" i="8"/>
  <c r="Z32" i="8"/>
  <c r="Z36" i="8"/>
  <c r="Z38" i="8"/>
  <c r="Z40" i="8"/>
  <c r="Z43" i="8"/>
  <c r="Z46" i="8"/>
  <c r="Z47" i="8"/>
  <c r="Z50" i="8"/>
  <c r="Z51" i="8"/>
  <c r="Z53" i="8"/>
  <c r="Z24" i="8"/>
  <c r="Z34" i="8"/>
  <c r="Z35" i="8"/>
  <c r="Z37" i="8"/>
  <c r="Z44" i="8"/>
  <c r="Z45" i="8"/>
  <c r="Z48" i="8"/>
  <c r="Z49" i="8"/>
  <c r="Z52" i="8"/>
  <c r="Z54" i="8"/>
  <c r="Z55" i="8"/>
  <c r="Z56" i="8"/>
  <c r="Z57" i="8"/>
  <c r="BG19" i="8"/>
  <c r="BG23" i="8"/>
  <c r="BG24" i="8"/>
  <c r="BG21" i="8"/>
  <c r="BG20" i="8"/>
  <c r="BG26" i="8"/>
  <c r="BG36" i="8"/>
  <c r="BG41" i="8"/>
  <c r="BG44" i="8"/>
  <c r="BG17" i="8"/>
  <c r="BG25" i="8"/>
  <c r="BG31" i="8"/>
  <c r="BG35" i="8"/>
  <c r="BG42" i="8"/>
  <c r="BG27" i="8"/>
  <c r="BG28" i="8"/>
  <c r="BG29" i="8"/>
  <c r="BG33" i="8"/>
  <c r="BG34" i="8"/>
  <c r="BG18" i="8"/>
  <c r="BG37" i="8"/>
  <c r="BG38" i="8"/>
  <c r="BG39" i="8"/>
  <c r="BG40" i="8"/>
  <c r="BG43" i="8"/>
  <c r="BG45" i="8"/>
  <c r="BG48" i="8"/>
  <c r="BG49" i="8"/>
  <c r="BG22" i="8"/>
  <c r="BG30" i="8"/>
  <c r="BG32" i="8"/>
  <c r="BG46" i="8"/>
  <c r="BG47" i="8"/>
  <c r="BG50" i="8"/>
  <c r="BG51" i="8"/>
  <c r="BG52" i="8"/>
  <c r="BG53" i="8"/>
  <c r="BG54" i="8"/>
  <c r="BG55" i="8"/>
  <c r="BG56" i="8"/>
  <c r="BG57" i="8"/>
  <c r="BO20" i="8"/>
  <c r="BO19" i="8"/>
  <c r="BO23" i="8"/>
  <c r="BO18" i="8"/>
  <c r="BO22" i="8"/>
  <c r="BO26" i="8"/>
  <c r="BO29" i="8"/>
  <c r="BO33" i="8"/>
  <c r="BO34" i="8"/>
  <c r="BO36" i="8"/>
  <c r="BO24" i="8"/>
  <c r="BO25" i="8"/>
  <c r="BO28" i="8"/>
  <c r="BO38" i="8"/>
  <c r="BO41" i="8"/>
  <c r="BO42" i="8"/>
  <c r="BO17" i="8"/>
  <c r="BO27" i="8"/>
  <c r="BO31" i="8"/>
  <c r="BO32" i="8"/>
  <c r="BO37" i="8"/>
  <c r="BO39" i="8"/>
  <c r="BO43" i="8"/>
  <c r="BO45" i="8"/>
  <c r="BO47" i="8"/>
  <c r="BO51" i="8"/>
  <c r="BO21" i="8"/>
  <c r="BO30" i="8"/>
  <c r="BO35" i="8"/>
  <c r="BO40" i="8"/>
  <c r="BO44" i="8"/>
  <c r="BO46" i="8"/>
  <c r="BO48" i="8"/>
  <c r="BO49" i="8"/>
  <c r="BO50" i="8"/>
  <c r="BO52" i="8"/>
  <c r="BO53" i="8"/>
  <c r="BO54" i="8"/>
  <c r="BO55" i="8"/>
  <c r="BO56" i="8"/>
  <c r="BO57" i="8"/>
  <c r="CT20" i="8"/>
  <c r="CT24" i="8"/>
  <c r="CT27" i="8"/>
  <c r="CT21" i="8"/>
  <c r="CT34" i="8"/>
  <c r="CT35" i="8"/>
  <c r="CT41" i="8"/>
  <c r="CT17" i="8"/>
  <c r="CT19" i="8"/>
  <c r="CT28" i="8"/>
  <c r="CT30" i="8"/>
  <c r="CT36" i="8"/>
  <c r="CT38" i="8"/>
  <c r="CT42" i="8"/>
  <c r="CT25" i="8"/>
  <c r="CT32" i="8"/>
  <c r="CT18" i="8"/>
  <c r="CT22" i="8"/>
  <c r="CT23" i="8"/>
  <c r="CT26" i="8"/>
  <c r="CT37" i="8"/>
  <c r="CT39" i="8"/>
  <c r="CT40" i="8"/>
  <c r="CT44" i="8"/>
  <c r="CT45" i="8"/>
  <c r="CT47" i="8"/>
  <c r="CT29" i="8"/>
  <c r="CT31" i="8"/>
  <c r="CT33" i="8"/>
  <c r="CT43" i="8"/>
  <c r="CT46" i="8"/>
  <c r="CT48" i="8"/>
  <c r="CT49" i="8"/>
  <c r="CT50" i="8"/>
  <c r="CT51" i="8"/>
  <c r="CT52" i="8"/>
  <c r="CT53" i="8"/>
  <c r="CT54" i="8"/>
  <c r="CT55" i="8"/>
  <c r="CT56" i="8"/>
  <c r="CT57" i="8"/>
  <c r="AB24" i="8"/>
  <c r="AB18" i="8"/>
  <c r="AB19" i="8"/>
  <c r="AB20" i="8"/>
  <c r="AB23" i="8"/>
  <c r="AB28" i="8"/>
  <c r="AB29" i="8"/>
  <c r="AB31" i="8"/>
  <c r="AB36" i="8"/>
  <c r="AB41" i="8"/>
  <c r="AB25" i="8"/>
  <c r="AB27" i="8"/>
  <c r="AB35" i="8"/>
  <c r="AB37" i="8"/>
  <c r="AB42" i="8"/>
  <c r="AB17" i="8"/>
  <c r="AB22" i="8"/>
  <c r="AB26" i="8"/>
  <c r="AB34" i="8"/>
  <c r="AB38" i="8"/>
  <c r="AB39" i="8"/>
  <c r="AB40" i="8"/>
  <c r="AB43" i="8"/>
  <c r="AB47" i="8"/>
  <c r="AB48" i="8"/>
  <c r="AB50" i="8"/>
  <c r="AB21" i="8"/>
  <c r="AB30" i="8"/>
  <c r="AB32" i="8"/>
  <c r="AB33" i="8"/>
  <c r="AB44" i="8"/>
  <c r="AB45" i="8"/>
  <c r="AB46" i="8"/>
  <c r="AB49" i="8"/>
  <c r="AB51" i="8"/>
  <c r="AB52" i="8"/>
  <c r="AB53" i="8"/>
  <c r="AB54" i="8"/>
  <c r="AB55" i="8"/>
  <c r="AB56" i="8"/>
  <c r="AB57" i="8"/>
  <c r="BI26" i="8"/>
  <c r="BI18" i="8"/>
  <c r="BI21" i="8"/>
  <c r="BI42" i="8"/>
  <c r="BI19" i="8"/>
  <c r="BI23" i="8"/>
  <c r="BI24" i="8"/>
  <c r="BI34" i="8"/>
  <c r="BI36" i="8"/>
  <c r="BI37" i="8"/>
  <c r="BI38" i="8"/>
  <c r="BI39" i="8"/>
  <c r="BI20" i="8"/>
  <c r="BI22" i="8"/>
  <c r="BI25" i="8"/>
  <c r="BI27" i="8"/>
  <c r="BI17" i="8"/>
  <c r="BI29" i="8"/>
  <c r="BI30" i="8"/>
  <c r="BI32" i="8"/>
  <c r="BI35" i="8"/>
  <c r="BI40" i="8"/>
  <c r="BI43" i="8"/>
  <c r="BI44" i="8"/>
  <c r="BI45" i="8"/>
  <c r="BI47" i="8"/>
  <c r="BI48" i="8"/>
  <c r="BI49" i="8"/>
  <c r="BI28" i="8"/>
  <c r="BI31" i="8"/>
  <c r="BI33" i="8"/>
  <c r="BI41" i="8"/>
  <c r="BI46" i="8"/>
  <c r="BI50" i="8"/>
  <c r="BI51" i="8"/>
  <c r="BI52" i="8"/>
  <c r="BI53" i="8"/>
  <c r="BI54" i="8"/>
  <c r="BI55" i="8"/>
  <c r="BI56" i="8"/>
  <c r="BI57" i="8"/>
  <c r="CQ18" i="8"/>
  <c r="CQ22" i="8"/>
  <c r="CQ24" i="8"/>
  <c r="CQ21" i="8"/>
  <c r="CQ27" i="8"/>
  <c r="CQ30" i="8"/>
  <c r="CQ19" i="8"/>
  <c r="CQ20" i="8"/>
  <c r="CQ26" i="8"/>
  <c r="CQ29" i="8"/>
  <c r="CQ34" i="8"/>
  <c r="CQ35" i="8"/>
  <c r="CQ39" i="8"/>
  <c r="CQ42" i="8"/>
  <c r="CQ17" i="8"/>
  <c r="CQ23" i="8"/>
  <c r="CQ33" i="8"/>
  <c r="CQ38" i="8"/>
  <c r="CQ40" i="8"/>
  <c r="CQ41" i="8"/>
  <c r="CQ43" i="8"/>
  <c r="CQ45" i="8"/>
  <c r="CQ48" i="8"/>
  <c r="CQ49" i="8"/>
  <c r="CQ50" i="8"/>
  <c r="CQ25" i="8"/>
  <c r="CQ28" i="8"/>
  <c r="CQ31" i="8"/>
  <c r="CQ32" i="8"/>
  <c r="CQ36" i="8"/>
  <c r="CQ37" i="8"/>
  <c r="CQ44" i="8"/>
  <c r="CQ46" i="8"/>
  <c r="CQ47" i="8"/>
  <c r="CQ51" i="8"/>
  <c r="CQ52" i="8"/>
  <c r="CQ53" i="8"/>
  <c r="CQ54" i="8"/>
  <c r="CQ55" i="8"/>
  <c r="CQ56" i="8"/>
  <c r="CQ57" i="8"/>
  <c r="CX18" i="8"/>
  <c r="CX23" i="8"/>
  <c r="CX17" i="8"/>
  <c r="CX28" i="8"/>
  <c r="CX30" i="8"/>
  <c r="CX35" i="8"/>
  <c r="CX37" i="8"/>
  <c r="CX19" i="8"/>
  <c r="CX21" i="8"/>
  <c r="CX24" i="8"/>
  <c r="CX25" i="8"/>
  <c r="CX31" i="8"/>
  <c r="CX36" i="8"/>
  <c r="CX41" i="8"/>
  <c r="CX27" i="8"/>
  <c r="CX34" i="8"/>
  <c r="CX38" i="8"/>
  <c r="CX40" i="8"/>
  <c r="CX42" i="8"/>
  <c r="CX43" i="8"/>
  <c r="CX45" i="8"/>
  <c r="CX48" i="8"/>
  <c r="CX20" i="8"/>
  <c r="CX22" i="8"/>
  <c r="CX26" i="8"/>
  <c r="CX29" i="8"/>
  <c r="CX32" i="8"/>
  <c r="CX33" i="8"/>
  <c r="CX39" i="8"/>
  <c r="CX44" i="8"/>
  <c r="CX46" i="8"/>
  <c r="CX47" i="8"/>
  <c r="CX49" i="8"/>
  <c r="CX50" i="8"/>
  <c r="CX51" i="8"/>
  <c r="CX52" i="8"/>
  <c r="CX53" i="8"/>
  <c r="CX54" i="8"/>
  <c r="CX55" i="8"/>
  <c r="CX56" i="8"/>
  <c r="CX57" i="8"/>
  <c r="AC22" i="8"/>
  <c r="AC17" i="8"/>
  <c r="AC37" i="8"/>
  <c r="AC39" i="8"/>
  <c r="AC42" i="8"/>
  <c r="AC19" i="8"/>
  <c r="AC21" i="8"/>
  <c r="AC23" i="8"/>
  <c r="AC27" i="8"/>
  <c r="AC28" i="8"/>
  <c r="AC32" i="8"/>
  <c r="AC36" i="8"/>
  <c r="AC38" i="8"/>
  <c r="AC40" i="8"/>
  <c r="AC20" i="8"/>
  <c r="AC26" i="8"/>
  <c r="AC30" i="8"/>
  <c r="AC33" i="8"/>
  <c r="AC25" i="8"/>
  <c r="AC29" i="8"/>
  <c r="AC34" i="8"/>
  <c r="AC41" i="8"/>
  <c r="AC43" i="8"/>
  <c r="AC44" i="8"/>
  <c r="AC45" i="8"/>
  <c r="AC51" i="8"/>
  <c r="AC18" i="8"/>
  <c r="AC24" i="8"/>
  <c r="AC31" i="8"/>
  <c r="AC35" i="8"/>
  <c r="AC46" i="8"/>
  <c r="AC47" i="8"/>
  <c r="AC48" i="8"/>
  <c r="AC49" i="8"/>
  <c r="AC50" i="8"/>
  <c r="AC52" i="8"/>
  <c r="AC53" i="8"/>
  <c r="AC54" i="8"/>
  <c r="AC55" i="8"/>
  <c r="AC56" i="8"/>
  <c r="AC57" i="8"/>
  <c r="AF18" i="8"/>
  <c r="AF22" i="8"/>
  <c r="AF24" i="8"/>
  <c r="AF21" i="8"/>
  <c r="AF27" i="8"/>
  <c r="AF36" i="8"/>
  <c r="AF37" i="8"/>
  <c r="AF38" i="8"/>
  <c r="AF39" i="8"/>
  <c r="AF19" i="8"/>
  <c r="AF20" i="8"/>
  <c r="AF23" i="8"/>
  <c r="AF25" i="8"/>
  <c r="AF32" i="8"/>
  <c r="AF34" i="8"/>
  <c r="AF35" i="8"/>
  <c r="AF17" i="8"/>
  <c r="AF26" i="8"/>
  <c r="AF33" i="8"/>
  <c r="AF28" i="8"/>
  <c r="AF29" i="8"/>
  <c r="AF30" i="8"/>
  <c r="AF31" i="8"/>
  <c r="AF40" i="8"/>
  <c r="AF43" i="8"/>
  <c r="AF45" i="8"/>
  <c r="AF47" i="8"/>
  <c r="AF48" i="8"/>
  <c r="AF49" i="8"/>
  <c r="AF50" i="8"/>
  <c r="AF41" i="8"/>
  <c r="AF42" i="8"/>
  <c r="AF44" i="8"/>
  <c r="AF46" i="8"/>
  <c r="AF51" i="8"/>
  <c r="AF52" i="8"/>
  <c r="AF53" i="8"/>
  <c r="AF54" i="8"/>
  <c r="AF55" i="8"/>
  <c r="AF56" i="8"/>
  <c r="AF57" i="8"/>
  <c r="CS18" i="8"/>
  <c r="CS19" i="8"/>
  <c r="CS20" i="8"/>
  <c r="CS23" i="8"/>
  <c r="CS28" i="8"/>
  <c r="CS29" i="8"/>
  <c r="CS39" i="8"/>
  <c r="CS41" i="8"/>
  <c r="CS25" i="8"/>
  <c r="CS26" i="8"/>
  <c r="CS31" i="8"/>
  <c r="CS35" i="8"/>
  <c r="CS37" i="8"/>
  <c r="CS22" i="8"/>
  <c r="CS30" i="8"/>
  <c r="CS24" i="8"/>
  <c r="CS33" i="8"/>
  <c r="CS36" i="8"/>
  <c r="CS38" i="8"/>
  <c r="CS43" i="8"/>
  <c r="CS45" i="8"/>
  <c r="CS48" i="8"/>
  <c r="CS49" i="8"/>
  <c r="CS50" i="8"/>
  <c r="CS17" i="8"/>
  <c r="CS21" i="8"/>
  <c r="CS27" i="8"/>
  <c r="CS32" i="8"/>
  <c r="CS34" i="8"/>
  <c r="CS40" i="8"/>
  <c r="CS42" i="8"/>
  <c r="CS44" i="8"/>
  <c r="CS46" i="8"/>
  <c r="CS47" i="8"/>
  <c r="CS51" i="8"/>
  <c r="CS52" i="8"/>
  <c r="CS53" i="8"/>
  <c r="CS54" i="8"/>
  <c r="CS55" i="8"/>
  <c r="CS56" i="8"/>
  <c r="CS57" i="8"/>
  <c r="CZ20" i="8"/>
  <c r="CZ21" i="8"/>
  <c r="CZ26" i="8"/>
  <c r="CZ23" i="8"/>
  <c r="CZ39" i="8"/>
  <c r="CZ27" i="8"/>
  <c r="CZ30" i="8"/>
  <c r="CZ31" i="8"/>
  <c r="CZ33" i="8"/>
  <c r="CZ34" i="8"/>
  <c r="CZ35" i="8"/>
  <c r="CZ41" i="8"/>
  <c r="CZ19" i="8"/>
  <c r="CZ24" i="8"/>
  <c r="CZ25" i="8"/>
  <c r="CZ29" i="8"/>
  <c r="CZ17" i="8"/>
  <c r="CZ18" i="8"/>
  <c r="CZ22" i="8"/>
  <c r="CZ32" i="8"/>
  <c r="CZ38" i="8"/>
  <c r="CZ42" i="8"/>
  <c r="CZ45" i="8"/>
  <c r="CZ48" i="8"/>
  <c r="CZ49" i="8"/>
  <c r="CZ28" i="8"/>
  <c r="CZ36" i="8"/>
  <c r="CZ37" i="8"/>
  <c r="CZ40" i="8"/>
  <c r="CZ43" i="8"/>
  <c r="CZ44" i="8"/>
  <c r="CZ46" i="8"/>
  <c r="CZ47" i="8"/>
  <c r="CZ50" i="8"/>
  <c r="CZ51" i="8"/>
  <c r="CZ52" i="8"/>
  <c r="CZ53" i="8"/>
  <c r="CZ54" i="8"/>
  <c r="CZ55" i="8"/>
  <c r="CZ56" i="8"/>
  <c r="CZ57" i="8"/>
  <c r="AG21" i="8"/>
  <c r="AG25" i="8"/>
  <c r="AG24" i="8"/>
  <c r="AG29" i="8"/>
  <c r="AG30" i="8"/>
  <c r="AG40" i="8"/>
  <c r="AG41" i="8"/>
  <c r="AG22" i="8"/>
  <c r="AG42" i="8"/>
  <c r="AG44" i="8"/>
  <c r="AG20" i="8"/>
  <c r="AG17" i="8"/>
  <c r="AG18" i="8"/>
  <c r="AG19" i="8"/>
  <c r="AG34" i="8"/>
  <c r="AG37" i="8"/>
  <c r="AG38" i="8"/>
  <c r="AG39" i="8"/>
  <c r="AG45" i="8"/>
  <c r="AG49" i="8"/>
  <c r="AG51" i="8"/>
  <c r="AG23" i="8"/>
  <c r="AG26" i="8"/>
  <c r="AG27" i="8"/>
  <c r="AG28" i="8"/>
  <c r="AG31" i="8"/>
  <c r="AG32" i="8"/>
  <c r="AG33" i="8"/>
  <c r="AG35" i="8"/>
  <c r="AG36" i="8"/>
  <c r="AG43" i="8"/>
  <c r="AG46" i="8"/>
  <c r="AG47" i="8"/>
  <c r="AG48" i="8"/>
  <c r="AG50" i="8"/>
  <c r="AG52" i="8"/>
  <c r="AG53" i="8"/>
  <c r="AG54" i="8"/>
  <c r="AG55" i="8"/>
  <c r="AG56" i="8"/>
  <c r="AG57" i="8"/>
  <c r="BJ22" i="8"/>
  <c r="BJ25" i="8"/>
  <c r="BJ18" i="8"/>
  <c r="BJ26" i="8"/>
  <c r="BJ17" i="8"/>
  <c r="BJ41" i="8"/>
  <c r="BJ30" i="8"/>
  <c r="BJ19" i="8"/>
  <c r="BJ32" i="8"/>
  <c r="BJ23" i="8"/>
  <c r="BJ27" i="8"/>
  <c r="BJ28" i="8"/>
  <c r="BJ31" i="8"/>
  <c r="BJ33" i="8"/>
  <c r="BJ36" i="8"/>
  <c r="BJ37" i="8"/>
  <c r="BJ38" i="8"/>
  <c r="BJ39" i="8"/>
  <c r="BJ42" i="8"/>
  <c r="BJ45" i="8"/>
  <c r="BJ47" i="8"/>
  <c r="BJ48" i="8"/>
  <c r="BJ50" i="8"/>
  <c r="BJ20" i="8"/>
  <c r="BJ21" i="8"/>
  <c r="BJ24" i="8"/>
  <c r="BJ29" i="8"/>
  <c r="BJ34" i="8"/>
  <c r="BJ35" i="8"/>
  <c r="BJ40" i="8"/>
  <c r="BJ43" i="8"/>
  <c r="BJ44" i="8"/>
  <c r="BJ46" i="8"/>
  <c r="BJ49" i="8"/>
  <c r="BJ51" i="8"/>
  <c r="BJ52" i="8"/>
  <c r="BJ53" i="8"/>
  <c r="BJ54" i="8"/>
  <c r="BJ55" i="8"/>
  <c r="BJ56" i="8"/>
  <c r="BJ57" i="8"/>
  <c r="BM17" i="8"/>
  <c r="BM19" i="8"/>
  <c r="BM24" i="8"/>
  <c r="BM25" i="8"/>
  <c r="BM31" i="8"/>
  <c r="BM33" i="8"/>
  <c r="BM35" i="8"/>
  <c r="BM18" i="8"/>
  <c r="BM26" i="8"/>
  <c r="BM27" i="8"/>
  <c r="BM34" i="8"/>
  <c r="BM36" i="8"/>
  <c r="BM39" i="8"/>
  <c r="BM20" i="8"/>
  <c r="BM22" i="8"/>
  <c r="BM29" i="8"/>
  <c r="BM30" i="8"/>
  <c r="BM21" i="8"/>
  <c r="BM23" i="8"/>
  <c r="BM32" i="8"/>
  <c r="BM38" i="8"/>
  <c r="BM40" i="8"/>
  <c r="BM42" i="8"/>
  <c r="BM43" i="8"/>
  <c r="BM45" i="8"/>
  <c r="BM47" i="8"/>
  <c r="BM50" i="8"/>
  <c r="BM51" i="8"/>
  <c r="BM28" i="8"/>
  <c r="BM37" i="8"/>
  <c r="BM41" i="8"/>
  <c r="BM44" i="8"/>
  <c r="BM46" i="8"/>
  <c r="BM48" i="8"/>
  <c r="BM49" i="8"/>
  <c r="BM52" i="8"/>
  <c r="BM53" i="8"/>
  <c r="BM54" i="8"/>
  <c r="BM55" i="8"/>
  <c r="BM56" i="8"/>
  <c r="BM57" i="8"/>
  <c r="CR21" i="8"/>
  <c r="CR22" i="8"/>
  <c r="CR25" i="8"/>
  <c r="CR18" i="8"/>
  <c r="CR19" i="8"/>
  <c r="CR26" i="8"/>
  <c r="CR34" i="8"/>
  <c r="CR36" i="8"/>
  <c r="CR37" i="8"/>
  <c r="CR42" i="8"/>
  <c r="CR24" i="8"/>
  <c r="CR27" i="8"/>
  <c r="CR28" i="8"/>
  <c r="CR29" i="8"/>
  <c r="CR40" i="8"/>
  <c r="CR33" i="8"/>
  <c r="CR23" i="8"/>
  <c r="CR31" i="8"/>
  <c r="CR32" i="8"/>
  <c r="CR35" i="8"/>
  <c r="CR39" i="8"/>
  <c r="CR44" i="8"/>
  <c r="CR45" i="8"/>
  <c r="CR47" i="8"/>
  <c r="CR17" i="8"/>
  <c r="CR20" i="8"/>
  <c r="CR30" i="8"/>
  <c r="CR38" i="8"/>
  <c r="CR41" i="8"/>
  <c r="CR43" i="8"/>
  <c r="CR46" i="8"/>
  <c r="CR48" i="8"/>
  <c r="CR49" i="8"/>
  <c r="CR50" i="8"/>
  <c r="CR51" i="8"/>
  <c r="CR52" i="8"/>
  <c r="CR53" i="8"/>
  <c r="CR54" i="8"/>
  <c r="CR55" i="8"/>
  <c r="CR56" i="8"/>
  <c r="CR57" i="8"/>
  <c r="EU18" i="5"/>
  <c r="FQ18" i="5" s="1"/>
  <c r="FQ26" i="5"/>
  <c r="FQ21" i="5"/>
  <c r="FQ19" i="5"/>
  <c r="FQ25" i="5"/>
  <c r="FQ23" i="5"/>
  <c r="FQ22" i="5"/>
  <c r="FQ24" i="5"/>
  <c r="FQ20" i="5"/>
  <c r="ET18" i="5"/>
  <c r="FP18" i="5" s="1"/>
  <c r="FP19" i="5"/>
  <c r="FP24" i="5"/>
  <c r="FP21" i="5"/>
  <c r="FP25" i="5"/>
  <c r="FP23" i="5"/>
  <c r="FP22" i="5"/>
  <c r="FP26" i="5"/>
  <c r="FP20" i="5"/>
  <c r="ES18" i="5"/>
  <c r="FO18" i="5" s="1"/>
  <c r="FO25" i="5"/>
  <c r="FO22" i="5"/>
  <c r="FO20" i="5"/>
  <c r="FO23" i="5"/>
  <c r="FO21" i="5"/>
  <c r="FO19" i="5"/>
  <c r="FO26" i="5"/>
  <c r="FO24" i="5"/>
  <c r="ER18" i="5"/>
  <c r="FN18" i="5" s="1"/>
  <c r="FN25" i="5"/>
  <c r="FN19" i="5"/>
  <c r="FN22" i="5"/>
  <c r="FN20" i="5"/>
  <c r="FN24" i="5"/>
  <c r="FN21" i="5"/>
  <c r="FN26" i="5"/>
  <c r="FN23" i="5"/>
  <c r="EQ18" i="5"/>
  <c r="FM18" i="5" s="1"/>
  <c r="FM20" i="5"/>
  <c r="FM25" i="5"/>
  <c r="FM21" i="5"/>
  <c r="FM23" i="5"/>
  <c r="FM26" i="5"/>
  <c r="FM19" i="5"/>
  <c r="FM22" i="5"/>
  <c r="FM24" i="5"/>
  <c r="EP18" i="5"/>
  <c r="FL18" i="5" s="1"/>
  <c r="FL20" i="5"/>
  <c r="FL25" i="5"/>
  <c r="FL21" i="5"/>
  <c r="FL26" i="5"/>
  <c r="FL24" i="5"/>
  <c r="FL23" i="5"/>
  <c r="FL19" i="5"/>
  <c r="FL22" i="5"/>
  <c r="EO18" i="5"/>
  <c r="FK18" i="5" s="1"/>
  <c r="FK21" i="5"/>
  <c r="FK24" i="5"/>
  <c r="FK19" i="5"/>
  <c r="FK26" i="5"/>
  <c r="FK20" i="5"/>
  <c r="FK23" i="5"/>
  <c r="FK22" i="5"/>
  <c r="FK25" i="5"/>
  <c r="EN18" i="5"/>
  <c r="FJ18" i="5" s="1"/>
  <c r="FJ19" i="5"/>
  <c r="FJ20" i="5"/>
  <c r="FJ21" i="5"/>
  <c r="FJ22" i="5"/>
  <c r="FJ23" i="5"/>
  <c r="FJ24" i="5"/>
  <c r="FJ25" i="5"/>
  <c r="FJ26" i="5"/>
  <c r="EM18" i="5"/>
  <c r="FI18" i="5" s="1"/>
  <c r="FI19" i="5"/>
  <c r="FI25" i="5"/>
  <c r="FI21" i="5"/>
  <c r="FI26" i="5"/>
  <c r="FI23" i="5"/>
  <c r="FI24" i="5"/>
  <c r="FI20" i="5"/>
  <c r="FI22" i="5"/>
  <c r="EL18" i="5"/>
  <c r="FH18" i="5" s="1"/>
  <c r="FH19" i="5"/>
  <c r="FH22" i="5"/>
  <c r="FH25" i="5"/>
  <c r="FH20" i="5"/>
  <c r="FH21" i="5"/>
  <c r="FH23" i="5"/>
  <c r="FH24" i="5"/>
  <c r="FH26" i="5"/>
  <c r="EK18" i="5"/>
  <c r="FG18" i="5" s="1"/>
  <c r="FG26" i="5"/>
  <c r="FG21" i="5"/>
  <c r="FG19" i="5"/>
  <c r="FG23" i="5"/>
  <c r="FG22" i="5"/>
  <c r="FG20" i="5"/>
  <c r="FG24" i="5"/>
  <c r="FG25" i="5"/>
  <c r="CV18" i="5"/>
  <c r="CV20" i="5"/>
  <c r="CV21" i="5"/>
  <c r="CV26" i="5"/>
  <c r="CV27" i="5"/>
  <c r="CV33" i="5"/>
  <c r="CV37" i="5"/>
  <c r="CV38" i="5"/>
  <c r="CV42" i="5"/>
  <c r="CV43" i="5"/>
  <c r="CV46" i="5"/>
  <c r="CV47" i="5"/>
  <c r="CV48" i="5"/>
  <c r="CV49" i="5"/>
  <c r="CV19" i="5"/>
  <c r="CV25" i="5"/>
  <c r="CV28" i="5"/>
  <c r="CV31" i="5"/>
  <c r="CV35" i="5"/>
  <c r="CV39" i="5"/>
  <c r="CV40" i="5"/>
  <c r="CV41" i="5"/>
  <c r="CV44" i="5"/>
  <c r="CV45" i="5"/>
  <c r="CV50" i="5"/>
  <c r="CV51" i="5"/>
  <c r="CV52" i="5"/>
  <c r="CV53" i="5"/>
  <c r="CV22" i="5"/>
  <c r="CV23" i="5"/>
  <c r="CV24" i="5"/>
  <c r="CV29" i="5"/>
  <c r="CV30" i="5"/>
  <c r="CV32" i="5"/>
  <c r="CV34" i="5"/>
  <c r="CV36" i="5"/>
  <c r="CV54" i="5"/>
  <c r="CV55" i="5"/>
  <c r="CV56" i="5"/>
  <c r="CV57" i="5"/>
  <c r="CV58" i="5"/>
  <c r="CU18" i="5"/>
  <c r="CU19" i="5"/>
  <c r="CU20" i="5"/>
  <c r="CU23" i="5"/>
  <c r="CU24" i="5"/>
  <c r="CU25" i="5"/>
  <c r="CU28" i="5"/>
  <c r="CU32" i="5"/>
  <c r="CU35" i="5"/>
  <c r="CU36" i="5"/>
  <c r="CU37" i="5"/>
  <c r="CU39" i="5"/>
  <c r="CU41" i="5"/>
  <c r="CU45" i="5"/>
  <c r="CU46" i="5"/>
  <c r="CU47" i="5"/>
  <c r="CU48" i="5"/>
  <c r="CU49" i="5"/>
  <c r="CU21" i="5"/>
  <c r="CU22" i="5"/>
  <c r="CU27" i="5"/>
  <c r="CU29" i="5"/>
  <c r="CU30" i="5"/>
  <c r="CU33" i="5"/>
  <c r="CU34" i="5"/>
  <c r="CU50" i="5"/>
  <c r="CU51" i="5"/>
  <c r="CU52" i="5"/>
  <c r="CU53" i="5"/>
  <c r="CU26" i="5"/>
  <c r="CU31" i="5"/>
  <c r="CU38" i="5"/>
  <c r="CU40" i="5"/>
  <c r="CU42" i="5"/>
  <c r="CU43" i="5"/>
  <c r="CU44" i="5"/>
  <c r="CU54" i="5"/>
  <c r="CU55" i="5"/>
  <c r="CU56" i="5"/>
  <c r="CU57" i="5"/>
  <c r="CU58" i="5"/>
  <c r="CP24" i="5"/>
  <c r="CP25" i="5"/>
  <c r="CP27" i="5"/>
  <c r="CP28" i="5"/>
  <c r="CP31" i="5"/>
  <c r="CP32" i="5"/>
  <c r="CP38" i="5"/>
  <c r="CP40" i="5"/>
  <c r="CP41" i="5"/>
  <c r="CP42" i="5"/>
  <c r="CP46" i="5"/>
  <c r="CP47" i="5"/>
  <c r="CP48" i="5"/>
  <c r="CP49" i="5"/>
  <c r="CP18" i="5"/>
  <c r="CP19" i="5"/>
  <c r="CP20" i="5"/>
  <c r="CP21" i="5"/>
  <c r="CP22" i="5"/>
  <c r="CP26" i="5"/>
  <c r="CP30" i="5"/>
  <c r="CP35" i="5"/>
  <c r="CP43" i="5"/>
  <c r="CP44" i="5"/>
  <c r="CP45" i="5"/>
  <c r="CP50" i="5"/>
  <c r="CP51" i="5"/>
  <c r="CP52" i="5"/>
  <c r="CP53" i="5"/>
  <c r="CP54" i="5"/>
  <c r="CP23" i="5"/>
  <c r="CP29" i="5"/>
  <c r="CP33" i="5"/>
  <c r="CP34" i="5"/>
  <c r="CP36" i="5"/>
  <c r="CP37" i="5"/>
  <c r="CP39" i="5"/>
  <c r="CP55" i="5"/>
  <c r="CP56" i="5"/>
  <c r="CP57" i="5"/>
  <c r="CP58" i="5"/>
  <c r="CQ18" i="5"/>
  <c r="CQ20" i="5"/>
  <c r="CQ21" i="5"/>
  <c r="CQ22" i="5"/>
  <c r="CQ23" i="5"/>
  <c r="CQ29" i="5"/>
  <c r="CQ30" i="5"/>
  <c r="CQ34" i="5"/>
  <c r="CQ37" i="5"/>
  <c r="CQ39" i="5"/>
  <c r="CQ43" i="5"/>
  <c r="CQ47" i="5"/>
  <c r="CQ48" i="5"/>
  <c r="CQ49" i="5"/>
  <c r="CQ24" i="5"/>
  <c r="CQ26" i="5"/>
  <c r="CQ27" i="5"/>
  <c r="CQ31" i="5"/>
  <c r="CQ32" i="5"/>
  <c r="CQ33" i="5"/>
  <c r="CQ40" i="5"/>
  <c r="CQ45" i="5"/>
  <c r="CQ46" i="5"/>
  <c r="CQ50" i="5"/>
  <c r="CQ51" i="5"/>
  <c r="CQ52" i="5"/>
  <c r="CQ53" i="5"/>
  <c r="CQ54" i="5"/>
  <c r="CQ19" i="5"/>
  <c r="CQ25" i="5"/>
  <c r="CQ28" i="5"/>
  <c r="CQ35" i="5"/>
  <c r="CQ36" i="5"/>
  <c r="CQ38" i="5"/>
  <c r="CQ41" i="5"/>
  <c r="CQ42" i="5"/>
  <c r="CQ44" i="5"/>
  <c r="CQ55" i="5"/>
  <c r="CQ56" i="5"/>
  <c r="CQ57" i="5"/>
  <c r="CQ58" i="5"/>
  <c r="CT22" i="5"/>
  <c r="CT29" i="5"/>
  <c r="CT30" i="5"/>
  <c r="CT31" i="5"/>
  <c r="CT34" i="5"/>
  <c r="CT37" i="5"/>
  <c r="CT38" i="5"/>
  <c r="CT40" i="5"/>
  <c r="CT42" i="5"/>
  <c r="CT43" i="5"/>
  <c r="CT44" i="5"/>
  <c r="CT46" i="5"/>
  <c r="CT47" i="5"/>
  <c r="CT48" i="5"/>
  <c r="CT49" i="5"/>
  <c r="CT18" i="5"/>
  <c r="CT23" i="5"/>
  <c r="CT24" i="5"/>
  <c r="CT25" i="5"/>
  <c r="CT26" i="5"/>
  <c r="CT32" i="5"/>
  <c r="CT45" i="5"/>
  <c r="CT50" i="5"/>
  <c r="CT51" i="5"/>
  <c r="CT52" i="5"/>
  <c r="CT53" i="5"/>
  <c r="CT19" i="5"/>
  <c r="CT20" i="5"/>
  <c r="CT21" i="5"/>
  <c r="CT27" i="5"/>
  <c r="CT28" i="5"/>
  <c r="CT33" i="5"/>
  <c r="CT35" i="5"/>
  <c r="CT36" i="5"/>
  <c r="CT39" i="5"/>
  <c r="CT41" i="5"/>
  <c r="CT54" i="5"/>
  <c r="CT55" i="5"/>
  <c r="CT56" i="5"/>
  <c r="CT57" i="5"/>
  <c r="CT58" i="5"/>
  <c r="CY18" i="5"/>
  <c r="CY20" i="5"/>
  <c r="CY23" i="5"/>
  <c r="CY26" i="5"/>
  <c r="CY27" i="5"/>
  <c r="CY37" i="5"/>
  <c r="CY38" i="5"/>
  <c r="CY42" i="5"/>
  <c r="CY46" i="5"/>
  <c r="CY47" i="5"/>
  <c r="CY48" i="5"/>
  <c r="CY49" i="5"/>
  <c r="CY21" i="5"/>
  <c r="CY25" i="5"/>
  <c r="CY29" i="5"/>
  <c r="CY35" i="5"/>
  <c r="CY39" i="5"/>
  <c r="CY40" i="5"/>
  <c r="CY43" i="5"/>
  <c r="CY44" i="5"/>
  <c r="CY45" i="5"/>
  <c r="CY50" i="5"/>
  <c r="CY51" i="5"/>
  <c r="CY52" i="5"/>
  <c r="CY53" i="5"/>
  <c r="CY19" i="5"/>
  <c r="CY22" i="5"/>
  <c r="CY24" i="5"/>
  <c r="CY28" i="5"/>
  <c r="CY30" i="5"/>
  <c r="CY31" i="5"/>
  <c r="CY32" i="5"/>
  <c r="CY33" i="5"/>
  <c r="CY34" i="5"/>
  <c r="CY36" i="5"/>
  <c r="CY41" i="5"/>
  <c r="CY54" i="5"/>
  <c r="CY55" i="5"/>
  <c r="CY56" i="5"/>
  <c r="CY57" i="5"/>
  <c r="CY58" i="5"/>
  <c r="CO19" i="5"/>
  <c r="CO22" i="5"/>
  <c r="CO25" i="5"/>
  <c r="CO29" i="5"/>
  <c r="CO30" i="5"/>
  <c r="CO33" i="5"/>
  <c r="CO38" i="5"/>
  <c r="CO39" i="5"/>
  <c r="CO47" i="5"/>
  <c r="CO48" i="5"/>
  <c r="CO49" i="5"/>
  <c r="CO18" i="5"/>
  <c r="CO21" i="5"/>
  <c r="CO23" i="5"/>
  <c r="CO28" i="5"/>
  <c r="CO31" i="5"/>
  <c r="CO32" i="5"/>
  <c r="CO34" i="5"/>
  <c r="CO40" i="5"/>
  <c r="CO41" i="5"/>
  <c r="CO43" i="5"/>
  <c r="CO44" i="5"/>
  <c r="CO46" i="5"/>
  <c r="CO50" i="5"/>
  <c r="CO51" i="5"/>
  <c r="CO52" i="5"/>
  <c r="CO53" i="5"/>
  <c r="CO54" i="5"/>
  <c r="CO20" i="5"/>
  <c r="CO24" i="5"/>
  <c r="CO26" i="5"/>
  <c r="CO27" i="5"/>
  <c r="CO35" i="5"/>
  <c r="CO36" i="5"/>
  <c r="CO37" i="5"/>
  <c r="CO42" i="5"/>
  <c r="CO45" i="5"/>
  <c r="CO55" i="5"/>
  <c r="CO56" i="5"/>
  <c r="CO57" i="5"/>
  <c r="CO58" i="5"/>
  <c r="CR18" i="5"/>
  <c r="CR26" i="5"/>
  <c r="CR28" i="5"/>
  <c r="CR31" i="5"/>
  <c r="CR33" i="5"/>
  <c r="CR35" i="5"/>
  <c r="CR36" i="5"/>
  <c r="CR38" i="5"/>
  <c r="CR44" i="5"/>
  <c r="CR45" i="5"/>
  <c r="CR46" i="5"/>
  <c r="CR47" i="5"/>
  <c r="CR48" i="5"/>
  <c r="CR49" i="5"/>
  <c r="CR19" i="5"/>
  <c r="CR21" i="5"/>
  <c r="CR23" i="5"/>
  <c r="CR25" i="5"/>
  <c r="CR34" i="5"/>
  <c r="CR39" i="5"/>
  <c r="CR41" i="5"/>
  <c r="CR42" i="5"/>
  <c r="CR50" i="5"/>
  <c r="CR51" i="5"/>
  <c r="CR52" i="5"/>
  <c r="CR53" i="5"/>
  <c r="CR54" i="5"/>
  <c r="CR20" i="5"/>
  <c r="CR22" i="5"/>
  <c r="CR24" i="5"/>
  <c r="CR27" i="5"/>
  <c r="CR29" i="5"/>
  <c r="CR30" i="5"/>
  <c r="CR32" i="5"/>
  <c r="CR37" i="5"/>
  <c r="CR40" i="5"/>
  <c r="CR43" i="5"/>
  <c r="CR55" i="5"/>
  <c r="CR56" i="5"/>
  <c r="CR57" i="5"/>
  <c r="CR58" i="5"/>
  <c r="CS22" i="5"/>
  <c r="CS24" i="5"/>
  <c r="CS25" i="5"/>
  <c r="CS26" i="5"/>
  <c r="CS27" i="5"/>
  <c r="CS32" i="5"/>
  <c r="CS41" i="5"/>
  <c r="CS42" i="5"/>
  <c r="CS46" i="5"/>
  <c r="CS47" i="5"/>
  <c r="CS48" i="5"/>
  <c r="CS49" i="5"/>
  <c r="CS18" i="5"/>
  <c r="CS20" i="5"/>
  <c r="CS28" i="5"/>
  <c r="CS29" i="5"/>
  <c r="CS30" i="5"/>
  <c r="CS33" i="5"/>
  <c r="CS35" i="5"/>
  <c r="CS39" i="5"/>
  <c r="CS40" i="5"/>
  <c r="CS43" i="5"/>
  <c r="CS44" i="5"/>
  <c r="CS50" i="5"/>
  <c r="CS51" i="5"/>
  <c r="CS52" i="5"/>
  <c r="CS53" i="5"/>
  <c r="CS54" i="5"/>
  <c r="CS19" i="5"/>
  <c r="CS21" i="5"/>
  <c r="CS23" i="5"/>
  <c r="CS31" i="5"/>
  <c r="CS34" i="5"/>
  <c r="CS36" i="5"/>
  <c r="CS37" i="5"/>
  <c r="CS38" i="5"/>
  <c r="CS45" i="5"/>
  <c r="CS55" i="5"/>
  <c r="CS56" i="5"/>
  <c r="CS57" i="5"/>
  <c r="CS58" i="5"/>
  <c r="CX23" i="5"/>
  <c r="CX24" i="5"/>
  <c r="CX25" i="5"/>
  <c r="CX31" i="5"/>
  <c r="CX32" i="5"/>
  <c r="CX35" i="5"/>
  <c r="CX37" i="5"/>
  <c r="CX38" i="5"/>
  <c r="CX39" i="5"/>
  <c r="CX40" i="5"/>
  <c r="CX41" i="5"/>
  <c r="CX45" i="5"/>
  <c r="CX46" i="5"/>
  <c r="CX47" i="5"/>
  <c r="CX48" i="5"/>
  <c r="CX49" i="5"/>
  <c r="CX18" i="5"/>
  <c r="CX19" i="5"/>
  <c r="CX20" i="5"/>
  <c r="CX22" i="5"/>
  <c r="CX27" i="5"/>
  <c r="CX28" i="5"/>
  <c r="CX29" i="5"/>
  <c r="CX30" i="5"/>
  <c r="CX33" i="5"/>
  <c r="CX34" i="5"/>
  <c r="CX42" i="5"/>
  <c r="CX50" i="5"/>
  <c r="CX51" i="5"/>
  <c r="CX52" i="5"/>
  <c r="CX53" i="5"/>
  <c r="CX21" i="5"/>
  <c r="CX26" i="5"/>
  <c r="CX36" i="5"/>
  <c r="CX43" i="5"/>
  <c r="CX44" i="5"/>
  <c r="CX54" i="5"/>
  <c r="CX55" i="5"/>
  <c r="CX56" i="5"/>
  <c r="CX57" i="5"/>
  <c r="CX58" i="5"/>
  <c r="CW19" i="5"/>
  <c r="CW22" i="5"/>
  <c r="CW29" i="5"/>
  <c r="CW30" i="5"/>
  <c r="CW34" i="5"/>
  <c r="CW36" i="5"/>
  <c r="CW37" i="5"/>
  <c r="CW44" i="5"/>
  <c r="CW46" i="5"/>
  <c r="CW47" i="5"/>
  <c r="CW48" i="5"/>
  <c r="CW49" i="5"/>
  <c r="CW21" i="5"/>
  <c r="CW23" i="5"/>
  <c r="CW24" i="5"/>
  <c r="CW26" i="5"/>
  <c r="CW31" i="5"/>
  <c r="CW32" i="5"/>
  <c r="CW43" i="5"/>
  <c r="CW50" i="5"/>
  <c r="CW51" i="5"/>
  <c r="CW52" i="5"/>
  <c r="CW53" i="5"/>
  <c r="CW18" i="5"/>
  <c r="CW20" i="5"/>
  <c r="CW25" i="5"/>
  <c r="CW27" i="5"/>
  <c r="CW28" i="5"/>
  <c r="CW33" i="5"/>
  <c r="CW35" i="5"/>
  <c r="CW38" i="5"/>
  <c r="CW39" i="5"/>
  <c r="CW40" i="5"/>
  <c r="CW41" i="5"/>
  <c r="CW42" i="5"/>
  <c r="CW45" i="5"/>
  <c r="CW54" i="5"/>
  <c r="CW55" i="5"/>
  <c r="CW56" i="5"/>
  <c r="CW57" i="5"/>
  <c r="CW58" i="5"/>
  <c r="BK18" i="5"/>
  <c r="BK55" i="5"/>
  <c r="BK56" i="5"/>
  <c r="BK57" i="5"/>
  <c r="BK5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BK32" i="5"/>
  <c r="BK33" i="5"/>
  <c r="BK34" i="5"/>
  <c r="BK35" i="5"/>
  <c r="BK36" i="5"/>
  <c r="BK37" i="5"/>
  <c r="BK38" i="5"/>
  <c r="BK39" i="5"/>
  <c r="BK40" i="5"/>
  <c r="BK41" i="5"/>
  <c r="BK42" i="5"/>
  <c r="BK43" i="5"/>
  <c r="BK44" i="5"/>
  <c r="BK45" i="5"/>
  <c r="BK46" i="5"/>
  <c r="BK47" i="5"/>
  <c r="BK48" i="5"/>
  <c r="BK49" i="5"/>
  <c r="BK50" i="5"/>
  <c r="BK51" i="5"/>
  <c r="BK52" i="5"/>
  <c r="BK53" i="5"/>
  <c r="BK54" i="5"/>
  <c r="BH55" i="5"/>
  <c r="BH56" i="5"/>
  <c r="BH57" i="5"/>
  <c r="BH58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53" i="5"/>
  <c r="BH54" i="5"/>
  <c r="BL55" i="5"/>
  <c r="BL56" i="5"/>
  <c r="BL57" i="5"/>
  <c r="BL58" i="5"/>
  <c r="BL18" i="5"/>
  <c r="BL19" i="5"/>
  <c r="BL20" i="5"/>
  <c r="BL21" i="5"/>
  <c r="BL22" i="5"/>
  <c r="BL23" i="5"/>
  <c r="BL24" i="5"/>
  <c r="BL25" i="5"/>
  <c r="BL26" i="5"/>
  <c r="BL27" i="5"/>
  <c r="BL28" i="5"/>
  <c r="BL29" i="5"/>
  <c r="BL30" i="5"/>
  <c r="BL31" i="5"/>
  <c r="BL32" i="5"/>
  <c r="BL33" i="5"/>
  <c r="BL34" i="5"/>
  <c r="BL35" i="5"/>
  <c r="BL36" i="5"/>
  <c r="BL37" i="5"/>
  <c r="BL38" i="5"/>
  <c r="BL39" i="5"/>
  <c r="BL40" i="5"/>
  <c r="BL41" i="5"/>
  <c r="BL42" i="5"/>
  <c r="BL43" i="5"/>
  <c r="BL44" i="5"/>
  <c r="BL45" i="5"/>
  <c r="BL46" i="5"/>
  <c r="BL47" i="5"/>
  <c r="BL48" i="5"/>
  <c r="BL49" i="5"/>
  <c r="BL50" i="5"/>
  <c r="BL51" i="5"/>
  <c r="BL52" i="5"/>
  <c r="BL53" i="5"/>
  <c r="BL54" i="5"/>
  <c r="BG55" i="5"/>
  <c r="BG56" i="5"/>
  <c r="BG57" i="5"/>
  <c r="BG58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I55" i="5"/>
  <c r="BI56" i="5"/>
  <c r="BI57" i="5"/>
  <c r="BI58" i="5"/>
  <c r="BI19" i="5"/>
  <c r="BI20" i="5"/>
  <c r="BI21" i="5"/>
  <c r="BI22" i="5"/>
  <c r="BI23" i="5"/>
  <c r="BI24" i="5"/>
  <c r="BI25" i="5"/>
  <c r="BI26" i="5"/>
  <c r="BI27" i="5"/>
  <c r="BI28" i="5"/>
  <c r="BI29" i="5"/>
  <c r="BI30" i="5"/>
  <c r="BI31" i="5"/>
  <c r="BI32" i="5"/>
  <c r="BI33" i="5"/>
  <c r="BI34" i="5"/>
  <c r="BI35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0" i="5"/>
  <c r="BI51" i="5"/>
  <c r="BI52" i="5"/>
  <c r="BI53" i="5"/>
  <c r="BI54" i="5"/>
  <c r="BI18" i="5"/>
  <c r="BM54" i="5"/>
  <c r="BM55" i="5"/>
  <c r="BM56" i="5"/>
  <c r="BM57" i="5"/>
  <c r="BM58" i="5"/>
  <c r="BM18" i="5"/>
  <c r="BM19" i="5"/>
  <c r="BM20" i="5"/>
  <c r="BM21" i="5"/>
  <c r="BM22" i="5"/>
  <c r="BM23" i="5"/>
  <c r="BM24" i="5"/>
  <c r="BM25" i="5"/>
  <c r="BM26" i="5"/>
  <c r="BM27" i="5"/>
  <c r="BM28" i="5"/>
  <c r="BM29" i="5"/>
  <c r="BM30" i="5"/>
  <c r="BM31" i="5"/>
  <c r="BM32" i="5"/>
  <c r="BM33" i="5"/>
  <c r="BM34" i="5"/>
  <c r="BM35" i="5"/>
  <c r="BM36" i="5"/>
  <c r="BM37" i="5"/>
  <c r="BM38" i="5"/>
  <c r="BM39" i="5"/>
  <c r="BM40" i="5"/>
  <c r="BM41" i="5"/>
  <c r="BM42" i="5"/>
  <c r="BM43" i="5"/>
  <c r="BM44" i="5"/>
  <c r="BM45" i="5"/>
  <c r="BM46" i="5"/>
  <c r="BM47" i="5"/>
  <c r="BM48" i="5"/>
  <c r="BM49" i="5"/>
  <c r="BM50" i="5"/>
  <c r="BM51" i="5"/>
  <c r="BM52" i="5"/>
  <c r="BM53" i="5"/>
  <c r="BN54" i="5"/>
  <c r="BN55" i="5"/>
  <c r="BN56" i="5"/>
  <c r="BN57" i="5"/>
  <c r="BN58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J55" i="5"/>
  <c r="BJ56" i="5"/>
  <c r="BJ57" i="5"/>
  <c r="BJ58" i="5"/>
  <c r="BJ18" i="5"/>
  <c r="BJ19" i="5"/>
  <c r="BJ20" i="5"/>
  <c r="BJ21" i="5"/>
  <c r="BJ22" i="5"/>
  <c r="BJ23" i="5"/>
  <c r="BJ24" i="5"/>
  <c r="BJ25" i="5"/>
  <c r="BJ26" i="5"/>
  <c r="BJ27" i="5"/>
  <c r="BJ28" i="5"/>
  <c r="BJ29" i="5"/>
  <c r="BJ30" i="5"/>
  <c r="BJ31" i="5"/>
  <c r="BJ32" i="5"/>
  <c r="BJ33" i="5"/>
  <c r="BJ34" i="5"/>
  <c r="BJ35" i="5"/>
  <c r="BJ36" i="5"/>
  <c r="BJ37" i="5"/>
  <c r="BJ38" i="5"/>
  <c r="BJ39" i="5"/>
  <c r="BJ40" i="5"/>
  <c r="BJ41" i="5"/>
  <c r="BJ42" i="5"/>
  <c r="BJ43" i="5"/>
  <c r="BJ44" i="5"/>
  <c r="BJ45" i="5"/>
  <c r="BJ46" i="5"/>
  <c r="BJ47" i="5"/>
  <c r="BJ48" i="5"/>
  <c r="BJ49" i="5"/>
  <c r="BJ50" i="5"/>
  <c r="BJ51" i="5"/>
  <c r="BJ52" i="5"/>
  <c r="BJ53" i="5"/>
  <c r="BJ54" i="5"/>
  <c r="BO54" i="5"/>
  <c r="BO55" i="5"/>
  <c r="BO56" i="5"/>
  <c r="BO57" i="5"/>
  <c r="BO58" i="5"/>
  <c r="BO18" i="5"/>
  <c r="BO19" i="5"/>
  <c r="BO20" i="5"/>
  <c r="BO21" i="5"/>
  <c r="BO22" i="5"/>
  <c r="BO23" i="5"/>
  <c r="BO24" i="5"/>
  <c r="BO25" i="5"/>
  <c r="BO26" i="5"/>
  <c r="BO27" i="5"/>
  <c r="BO28" i="5"/>
  <c r="BO29" i="5"/>
  <c r="BO30" i="5"/>
  <c r="BO31" i="5"/>
  <c r="BO32" i="5"/>
  <c r="BO33" i="5"/>
  <c r="BO34" i="5"/>
  <c r="BO35" i="5"/>
  <c r="BO36" i="5"/>
  <c r="BO37" i="5"/>
  <c r="BO38" i="5"/>
  <c r="BO39" i="5"/>
  <c r="BO40" i="5"/>
  <c r="BO41" i="5"/>
  <c r="BO42" i="5"/>
  <c r="BO43" i="5"/>
  <c r="BO44" i="5"/>
  <c r="BO45" i="5"/>
  <c r="BO46" i="5"/>
  <c r="BO47" i="5"/>
  <c r="BO48" i="5"/>
  <c r="BO49" i="5"/>
  <c r="BO50" i="5"/>
  <c r="BO51" i="5"/>
  <c r="BO52" i="5"/>
  <c r="BO53" i="5"/>
  <c r="BP54" i="5"/>
  <c r="BP55" i="5"/>
  <c r="BP56" i="5"/>
  <c r="BP57" i="5"/>
  <c r="BP58" i="5"/>
  <c r="BP18" i="5"/>
  <c r="BP19" i="5"/>
  <c r="BP20" i="5"/>
  <c r="BP21" i="5"/>
  <c r="BP22" i="5"/>
  <c r="BP23" i="5"/>
  <c r="BP24" i="5"/>
  <c r="BP25" i="5"/>
  <c r="BP26" i="5"/>
  <c r="BP27" i="5"/>
  <c r="BP28" i="5"/>
  <c r="BP29" i="5"/>
  <c r="BP30" i="5"/>
  <c r="BP31" i="5"/>
  <c r="BP32" i="5"/>
  <c r="BP33" i="5"/>
  <c r="BP34" i="5"/>
  <c r="BP35" i="5"/>
  <c r="BP36" i="5"/>
  <c r="BP37" i="5"/>
  <c r="BP38" i="5"/>
  <c r="BP39" i="5"/>
  <c r="BP40" i="5"/>
  <c r="BP41" i="5"/>
  <c r="BP42" i="5"/>
  <c r="BP43" i="5"/>
  <c r="BP44" i="5"/>
  <c r="BP45" i="5"/>
  <c r="BP46" i="5"/>
  <c r="BP47" i="5"/>
  <c r="BP48" i="5"/>
  <c r="BP49" i="5"/>
  <c r="BP50" i="5"/>
  <c r="BP51" i="5"/>
  <c r="BP52" i="5"/>
  <c r="BP53" i="5"/>
  <c r="G17" i="6"/>
  <c r="H17" i="6"/>
  <c r="F17" i="6"/>
  <c r="B17" i="6"/>
  <c r="J17" i="6"/>
  <c r="E17" i="6"/>
  <c r="K17" i="6"/>
  <c r="D17" i="6"/>
  <c r="I17" i="6"/>
  <c r="C17" i="6"/>
  <c r="L17" i="6"/>
  <c r="M11" i="1"/>
  <c r="S11" i="1" s="1"/>
  <c r="S42" i="1"/>
  <c r="S49" i="1"/>
  <c r="S51" i="1"/>
  <c r="S40" i="1"/>
  <c r="S33" i="1"/>
  <c r="S29" i="1"/>
  <c r="S34" i="1"/>
  <c r="S43" i="1"/>
  <c r="S48" i="1"/>
  <c r="S44" i="1"/>
  <c r="S38" i="1"/>
  <c r="S39" i="1"/>
  <c r="S41" i="1"/>
  <c r="S37" i="1"/>
  <c r="S13" i="1"/>
  <c r="S25" i="1"/>
  <c r="S12" i="1"/>
  <c r="S18" i="1"/>
  <c r="S23" i="1"/>
  <c r="S35" i="1"/>
  <c r="S16" i="1"/>
  <c r="S19" i="1"/>
  <c r="S17" i="1"/>
  <c r="S28" i="1"/>
  <c r="S32" i="1"/>
  <c r="S27" i="1"/>
  <c r="S21" i="1"/>
  <c r="S46" i="1"/>
  <c r="S20" i="1"/>
  <c r="S45" i="1"/>
  <c r="S14" i="1"/>
  <c r="S24" i="1"/>
  <c r="S22" i="1"/>
  <c r="S26" i="1"/>
  <c r="S30" i="1"/>
  <c r="S36" i="1"/>
  <c r="S47" i="1"/>
  <c r="S31" i="1"/>
  <c r="S15" i="1"/>
  <c r="S50" i="1"/>
  <c r="N11" i="1"/>
  <c r="T11" i="1" s="1"/>
  <c r="T28" i="1"/>
  <c r="T31" i="1"/>
  <c r="T29" i="1"/>
  <c r="T32" i="1"/>
  <c r="T20" i="1"/>
  <c r="T22" i="1"/>
  <c r="T45" i="1"/>
  <c r="T25" i="1"/>
  <c r="T17" i="1"/>
  <c r="T33" i="1"/>
  <c r="T30" i="1"/>
  <c r="T18" i="1"/>
  <c r="T12" i="1"/>
  <c r="T16" i="1"/>
  <c r="T26" i="1"/>
  <c r="T38" i="1"/>
  <c r="T27" i="1"/>
  <c r="T47" i="1"/>
  <c r="T49" i="1"/>
  <c r="T21" i="1"/>
  <c r="T42" i="1"/>
  <c r="T50" i="1"/>
  <c r="T51" i="1"/>
  <c r="T13" i="1"/>
  <c r="T15" i="1"/>
  <c r="T23" i="1"/>
  <c r="T39" i="1"/>
  <c r="T37" i="1"/>
  <c r="T41" i="1"/>
  <c r="T24" i="1"/>
  <c r="T48" i="1"/>
  <c r="T36" i="1"/>
  <c r="T34" i="1"/>
  <c r="T46" i="1"/>
  <c r="T14" i="1"/>
  <c r="T35" i="1"/>
  <c r="T19" i="1"/>
  <c r="T40" i="1"/>
  <c r="T43" i="1"/>
  <c r="T44" i="1"/>
  <c r="O11" i="1"/>
  <c r="U11" i="1" s="1"/>
  <c r="U36" i="1"/>
  <c r="U47" i="1"/>
  <c r="U45" i="1"/>
  <c r="U19" i="1"/>
  <c r="U17" i="1"/>
  <c r="U29" i="1"/>
  <c r="U38" i="1"/>
  <c r="U46" i="1"/>
  <c r="U33" i="1"/>
  <c r="U15" i="1"/>
  <c r="U39" i="1"/>
  <c r="U16" i="1"/>
  <c r="U48" i="1"/>
  <c r="U22" i="1"/>
  <c r="U21" i="1"/>
  <c r="U35" i="1"/>
  <c r="U12" i="1"/>
  <c r="U14" i="1"/>
  <c r="U51" i="1"/>
  <c r="U13" i="1"/>
  <c r="U43" i="1"/>
  <c r="U32" i="1"/>
  <c r="U31" i="1"/>
  <c r="U28" i="1"/>
  <c r="U26" i="1"/>
  <c r="U24" i="1"/>
  <c r="U37" i="1"/>
  <c r="U49" i="1"/>
  <c r="U23" i="1"/>
  <c r="U44" i="1"/>
  <c r="U18" i="1"/>
  <c r="U41" i="1"/>
  <c r="U30" i="1"/>
  <c r="U27" i="1"/>
  <c r="U50" i="1"/>
  <c r="U34" i="1"/>
  <c r="U20" i="1"/>
  <c r="U42" i="1"/>
  <c r="U40" i="1"/>
  <c r="U25" i="1"/>
  <c r="X11" i="1"/>
  <c r="AD11" i="1" s="1"/>
  <c r="AD44" i="1"/>
  <c r="AD16" i="1"/>
  <c r="AD51" i="1"/>
  <c r="AD48" i="1"/>
  <c r="AD45" i="1"/>
  <c r="AD25" i="1"/>
  <c r="AD30" i="1"/>
  <c r="AD29" i="1"/>
  <c r="AD21" i="1"/>
  <c r="AD28" i="1"/>
  <c r="AD33" i="1"/>
  <c r="AD20" i="1"/>
  <c r="AD26" i="1"/>
  <c r="AD15" i="1"/>
  <c r="AD12" i="1"/>
  <c r="AD13" i="1"/>
  <c r="AD14" i="1"/>
  <c r="AD36" i="1"/>
  <c r="AD40" i="1"/>
  <c r="AD46" i="1"/>
  <c r="AD22" i="1"/>
  <c r="AD24" i="1"/>
  <c r="AD19" i="1"/>
  <c r="AD34" i="1"/>
  <c r="AD41" i="1"/>
  <c r="AD47" i="1"/>
  <c r="AD42" i="1"/>
  <c r="AD18" i="1"/>
  <c r="AD38" i="1"/>
  <c r="AD31" i="1"/>
  <c r="AD32" i="1"/>
  <c r="AD27" i="1"/>
  <c r="AD35" i="1"/>
  <c r="AD39" i="1"/>
  <c r="AD37" i="1"/>
  <c r="AD43" i="1"/>
  <c r="AD23" i="1"/>
  <c r="AD50" i="1"/>
  <c r="AD49" i="1"/>
  <c r="AD17" i="1"/>
  <c r="Y11" i="1"/>
  <c r="AE11" i="1" s="1"/>
  <c r="AE22" i="1"/>
  <c r="AE29" i="1"/>
  <c r="AE24" i="1"/>
  <c r="AE20" i="1"/>
  <c r="AE18" i="1"/>
  <c r="AE39" i="1"/>
  <c r="AE37" i="1"/>
  <c r="AE36" i="1"/>
  <c r="AE12" i="1"/>
  <c r="AE31" i="1"/>
  <c r="AE15" i="1"/>
  <c r="AE46" i="1"/>
  <c r="AE25" i="1"/>
  <c r="AE16" i="1"/>
  <c r="AE13" i="1"/>
  <c r="AE33" i="1"/>
  <c r="AE17" i="1"/>
  <c r="AE26" i="1"/>
  <c r="AE21" i="1"/>
  <c r="AE23" i="1"/>
  <c r="AE48" i="1"/>
  <c r="AE50" i="1"/>
  <c r="AE42" i="1"/>
  <c r="AE32" i="1"/>
  <c r="AE47" i="1"/>
  <c r="AE30" i="1"/>
  <c r="AE44" i="1"/>
  <c r="AE19" i="1"/>
  <c r="AE28" i="1"/>
  <c r="AE38" i="1"/>
  <c r="AE35" i="1"/>
  <c r="AE40" i="1"/>
  <c r="AE27" i="1"/>
  <c r="AE45" i="1"/>
  <c r="AE51" i="1"/>
  <c r="AE34" i="1"/>
  <c r="AE49" i="1"/>
  <c r="AE43" i="1"/>
  <c r="AE41" i="1"/>
  <c r="AE14" i="1"/>
  <c r="Z11" i="1"/>
  <c r="AF11" i="1" s="1"/>
  <c r="AF27" i="1"/>
  <c r="AF33" i="1"/>
  <c r="AF44" i="1"/>
  <c r="AF36" i="1"/>
  <c r="AF37" i="1"/>
  <c r="AF22" i="1"/>
  <c r="AF24" i="1"/>
  <c r="AF32" i="1"/>
  <c r="AF16" i="1"/>
  <c r="AF30" i="1"/>
  <c r="AF47" i="1"/>
  <c r="AF25" i="1"/>
  <c r="AF28" i="1"/>
  <c r="AF40" i="1"/>
  <c r="AF41" i="1"/>
  <c r="AF42" i="1"/>
  <c r="AF31" i="1"/>
  <c r="AF34" i="1"/>
  <c r="AF45" i="1"/>
  <c r="AF12" i="1"/>
  <c r="AF48" i="1"/>
  <c r="AF35" i="1"/>
  <c r="AF49" i="1"/>
  <c r="AF18" i="1"/>
  <c r="AF39" i="1"/>
  <c r="AF21" i="1"/>
  <c r="AF19" i="1"/>
  <c r="AF14" i="1"/>
  <c r="AF43" i="1"/>
  <c r="AF29" i="1"/>
  <c r="AF15" i="1"/>
  <c r="AF26" i="1"/>
  <c r="AF51" i="1"/>
  <c r="AF23" i="1"/>
  <c r="AF20" i="1"/>
  <c r="AF46" i="1"/>
  <c r="AF17" i="1"/>
  <c r="AF50" i="1"/>
  <c r="AF38" i="1"/>
  <c r="AF13" i="1"/>
  <c r="AI11" i="1"/>
  <c r="AO11" i="1" s="1"/>
  <c r="AO15" i="1"/>
  <c r="AO12" i="1"/>
  <c r="AO13" i="1"/>
  <c r="AO24" i="1"/>
  <c r="AO32" i="1"/>
  <c r="AO40" i="1"/>
  <c r="AO25" i="1"/>
  <c r="AO47" i="1"/>
  <c r="AO43" i="1"/>
  <c r="AO29" i="1"/>
  <c r="AO16" i="1"/>
  <c r="AO27" i="1"/>
  <c r="AO35" i="1"/>
  <c r="AO30" i="1"/>
  <c r="AO22" i="1"/>
  <c r="AO17" i="1"/>
  <c r="AO28" i="1"/>
  <c r="AO20" i="1"/>
  <c r="AO46" i="1"/>
  <c r="AO48" i="1"/>
  <c r="AO39" i="1"/>
  <c r="AO42" i="1"/>
  <c r="AO37" i="1"/>
  <c r="AO23" i="1"/>
  <c r="AO21" i="1"/>
  <c r="AO26" i="1"/>
  <c r="AO45" i="1"/>
  <c r="AO49" i="1"/>
  <c r="AO33" i="1"/>
  <c r="AO51" i="1"/>
  <c r="AO34" i="1"/>
  <c r="AO14" i="1"/>
  <c r="AO38" i="1"/>
  <c r="AO41" i="1"/>
  <c r="AO18" i="1"/>
  <c r="AO44" i="1"/>
  <c r="AO50" i="1"/>
  <c r="AO31" i="1"/>
  <c r="AO36" i="1"/>
  <c r="AO19" i="1"/>
  <c r="AJ11" i="1"/>
  <c r="AP11" i="1" s="1"/>
  <c r="AP51" i="1"/>
  <c r="AP48" i="1"/>
  <c r="AP45" i="1"/>
  <c r="AP42" i="1"/>
  <c r="AP17" i="1"/>
  <c r="AP36" i="1"/>
  <c r="AP50" i="1"/>
  <c r="AP33" i="1"/>
  <c r="AP46" i="1"/>
  <c r="AP44" i="1"/>
  <c r="AP21" i="1"/>
  <c r="AP41" i="1"/>
  <c r="AP15" i="1"/>
  <c r="AP18" i="1"/>
  <c r="AP14" i="1"/>
  <c r="AP20" i="1"/>
  <c r="AP47" i="1"/>
  <c r="AP31" i="1"/>
  <c r="AP29" i="1"/>
  <c r="AP28" i="1"/>
  <c r="AP26" i="1"/>
  <c r="AP39" i="1"/>
  <c r="AP37" i="1"/>
  <c r="AP19" i="1"/>
  <c r="AP22" i="1"/>
  <c r="AP35" i="1"/>
  <c r="AP32" i="1"/>
  <c r="AP30" i="1"/>
  <c r="AP25" i="1"/>
  <c r="AP27" i="1"/>
  <c r="AP40" i="1"/>
  <c r="AP38" i="1"/>
  <c r="AP49" i="1"/>
  <c r="AP12" i="1"/>
  <c r="AP43" i="1"/>
  <c r="AP16" i="1"/>
  <c r="AP13" i="1"/>
  <c r="AP23" i="1"/>
  <c r="AP34" i="1"/>
  <c r="AP24" i="1"/>
  <c r="AK11" i="1"/>
  <c r="AQ11" i="1" s="1"/>
  <c r="AQ17" i="1"/>
  <c r="AQ43" i="1"/>
  <c r="AQ42" i="1"/>
  <c r="AQ27" i="1"/>
  <c r="AQ26" i="1"/>
  <c r="AQ13" i="1"/>
  <c r="AQ29" i="1"/>
  <c r="AQ50" i="1"/>
  <c r="AQ30" i="1"/>
  <c r="AQ28" i="1"/>
  <c r="AQ14" i="1"/>
  <c r="AQ12" i="1"/>
  <c r="AQ31" i="1"/>
  <c r="AQ48" i="1"/>
  <c r="AQ40" i="1"/>
  <c r="AQ45" i="1"/>
  <c r="AQ46" i="1"/>
  <c r="AQ44" i="1"/>
  <c r="AQ18" i="1"/>
  <c r="AQ23" i="1"/>
  <c r="AQ36" i="1"/>
  <c r="AQ16" i="1"/>
  <c r="AQ15" i="1"/>
  <c r="AQ21" i="1"/>
  <c r="AQ33" i="1"/>
  <c r="AQ35" i="1"/>
  <c r="AQ37" i="1"/>
  <c r="AQ19" i="1"/>
  <c r="AQ25" i="1"/>
  <c r="AQ47" i="1"/>
  <c r="AQ41" i="1"/>
  <c r="AQ32" i="1"/>
  <c r="AQ20" i="1"/>
  <c r="AQ38" i="1"/>
  <c r="AQ34" i="1"/>
  <c r="AQ39" i="1"/>
  <c r="AQ22" i="1"/>
  <c r="AQ51" i="1"/>
  <c r="AQ49" i="1"/>
  <c r="AQ24" i="1"/>
  <c r="AT11" i="1"/>
  <c r="AZ11" i="1" s="1"/>
  <c r="AZ25" i="1"/>
  <c r="AZ31" i="1"/>
  <c r="AZ15" i="1"/>
  <c r="AZ49" i="1"/>
  <c r="AZ34" i="1"/>
  <c r="AZ14" i="1"/>
  <c r="AZ21" i="1"/>
  <c r="AZ29" i="1"/>
  <c r="AZ22" i="1"/>
  <c r="AZ18" i="1"/>
  <c r="AZ19" i="1"/>
  <c r="AZ26" i="1"/>
  <c r="AZ37" i="1"/>
  <c r="AZ41" i="1"/>
  <c r="AZ23" i="1"/>
  <c r="AZ43" i="1"/>
  <c r="AZ46" i="1"/>
  <c r="AZ50" i="1"/>
  <c r="AZ12" i="1"/>
  <c r="AZ47" i="1"/>
  <c r="AZ51" i="1"/>
  <c r="AZ44" i="1"/>
  <c r="AZ33" i="1"/>
  <c r="AZ24" i="1"/>
  <c r="AZ48" i="1"/>
  <c r="AZ40" i="1"/>
  <c r="AZ36" i="1"/>
  <c r="AZ45" i="1"/>
  <c r="AZ42" i="1"/>
  <c r="AZ39" i="1"/>
  <c r="AZ35" i="1"/>
  <c r="AZ28" i="1"/>
  <c r="AZ20" i="1"/>
  <c r="AZ30" i="1"/>
  <c r="AZ17" i="1"/>
  <c r="AZ16" i="1"/>
  <c r="AZ32" i="1"/>
  <c r="AZ38" i="1"/>
  <c r="AZ27" i="1"/>
  <c r="AZ13" i="1"/>
  <c r="AU11" i="1"/>
  <c r="BA11" i="1" s="1"/>
  <c r="BA15" i="1"/>
  <c r="BA34" i="1"/>
  <c r="BA24" i="1"/>
  <c r="BA37" i="1"/>
  <c r="BA40" i="1"/>
  <c r="BA13" i="1"/>
  <c r="BA14" i="1"/>
  <c r="BA48" i="1"/>
  <c r="BA27" i="1"/>
  <c r="BA12" i="1"/>
  <c r="BA47" i="1"/>
  <c r="BA25" i="1"/>
  <c r="BA46" i="1"/>
  <c r="BA31" i="1"/>
  <c r="BA45" i="1"/>
  <c r="BA23" i="1"/>
  <c r="BA44" i="1"/>
  <c r="BA22" i="1"/>
  <c r="BA43" i="1"/>
  <c r="BA42" i="1"/>
  <c r="BA41" i="1"/>
  <c r="BA20" i="1"/>
  <c r="BA18" i="1"/>
  <c r="BA35" i="1"/>
  <c r="BA16" i="1"/>
  <c r="BA28" i="1"/>
  <c r="BA32" i="1"/>
  <c r="BA33" i="1"/>
  <c r="BA29" i="1"/>
  <c r="BA36" i="1"/>
  <c r="BA19" i="1"/>
  <c r="BA39" i="1"/>
  <c r="BA17" i="1"/>
  <c r="BA21" i="1"/>
  <c r="BA26" i="1"/>
  <c r="BA49" i="1"/>
  <c r="BA50" i="1"/>
  <c r="BA51" i="1"/>
  <c r="BA38" i="1"/>
  <c r="BA30" i="1"/>
  <c r="AV11" i="1"/>
  <c r="BB11" i="1" s="1"/>
  <c r="BB17" i="1"/>
  <c r="BB38" i="1"/>
  <c r="BB46" i="1"/>
  <c r="BB20" i="1"/>
  <c r="BB36" i="1"/>
  <c r="BB47" i="1"/>
  <c r="BB23" i="1"/>
  <c r="BB24" i="1"/>
  <c r="BB43" i="1"/>
  <c r="BB16" i="1"/>
  <c r="BB44" i="1"/>
  <c r="BB34" i="1"/>
  <c r="BB18" i="1"/>
  <c r="BB19" i="1"/>
  <c r="BB35" i="1"/>
  <c r="BB21" i="1"/>
  <c r="BB48" i="1"/>
  <c r="BB49" i="1"/>
  <c r="BB32" i="1"/>
  <c r="BB25" i="1"/>
  <c r="BB29" i="1"/>
  <c r="BB50" i="1"/>
  <c r="BB26" i="1"/>
  <c r="BB51" i="1"/>
  <c r="BB41" i="1"/>
  <c r="BB37" i="1"/>
  <c r="BB22" i="1"/>
  <c r="BB42" i="1"/>
  <c r="BB40" i="1"/>
  <c r="BB39" i="1"/>
  <c r="BB28" i="1"/>
  <c r="BB15" i="1"/>
  <c r="BB27" i="1"/>
  <c r="BB30" i="1"/>
  <c r="BB31" i="1"/>
  <c r="BB14" i="1"/>
  <c r="BB12" i="1"/>
  <c r="BB13" i="1"/>
  <c r="BB33" i="1"/>
  <c r="BB45" i="1"/>
  <c r="H15" i="1"/>
  <c r="H51" i="1"/>
  <c r="H37" i="1"/>
  <c r="H27" i="1"/>
  <c r="H17" i="1"/>
  <c r="H39" i="1"/>
  <c r="H11" i="1"/>
  <c r="H21" i="1"/>
  <c r="H25" i="1"/>
  <c r="H41" i="1"/>
  <c r="H13" i="1"/>
  <c r="H28" i="1"/>
  <c r="H34" i="1"/>
  <c r="H12" i="1"/>
  <c r="H49" i="1"/>
  <c r="H31" i="1"/>
  <c r="H46" i="1"/>
  <c r="H44" i="1"/>
  <c r="H36" i="1"/>
  <c r="H14" i="1"/>
  <c r="H18" i="1"/>
  <c r="H47" i="1"/>
  <c r="H48" i="1"/>
  <c r="H35" i="1"/>
  <c r="H38" i="1"/>
  <c r="H43" i="1"/>
  <c r="H30" i="1"/>
  <c r="H23" i="1"/>
  <c r="H40" i="1"/>
  <c r="H24" i="1"/>
  <c r="H29" i="1"/>
  <c r="H19" i="1"/>
  <c r="H26" i="1"/>
  <c r="H50" i="1"/>
  <c r="H45" i="1"/>
  <c r="H42" i="1"/>
  <c r="H20" i="1"/>
  <c r="H22" i="1"/>
  <c r="H16" i="1"/>
  <c r="H32" i="1"/>
  <c r="H33" i="1"/>
  <c r="J44" i="1"/>
  <c r="J24" i="1"/>
  <c r="J37" i="1"/>
  <c r="J39" i="1"/>
  <c r="J18" i="1"/>
  <c r="J19" i="1"/>
  <c r="J45" i="1"/>
  <c r="J47" i="1"/>
  <c r="J49" i="1"/>
  <c r="J46" i="1"/>
  <c r="J27" i="1"/>
  <c r="J35" i="1"/>
  <c r="J22" i="1"/>
  <c r="J34" i="1"/>
  <c r="J38" i="1"/>
  <c r="J29" i="1"/>
  <c r="J33" i="1"/>
  <c r="J36" i="1"/>
  <c r="J48" i="1"/>
  <c r="J32" i="1"/>
  <c r="J20" i="1"/>
  <c r="J40" i="1"/>
  <c r="J23" i="1"/>
  <c r="J50" i="1"/>
  <c r="J25" i="1"/>
  <c r="J16" i="1"/>
  <c r="J43" i="1"/>
  <c r="J31" i="1"/>
  <c r="J14" i="1"/>
  <c r="J11" i="1"/>
  <c r="J13" i="1"/>
  <c r="J42" i="1"/>
  <c r="J21" i="1"/>
  <c r="J28" i="1"/>
  <c r="J30" i="1"/>
  <c r="J12" i="1"/>
  <c r="J26" i="1"/>
  <c r="J51" i="1"/>
  <c r="J17" i="1"/>
  <c r="J15" i="1"/>
  <c r="J41" i="1"/>
  <c r="I31" i="1"/>
  <c r="I37" i="1"/>
  <c r="I33" i="1"/>
  <c r="I30" i="1"/>
  <c r="I34" i="1"/>
  <c r="I26" i="1"/>
  <c r="I20" i="1"/>
  <c r="I32" i="1"/>
  <c r="I17" i="1"/>
  <c r="I51" i="1"/>
  <c r="I28" i="1"/>
  <c r="I25" i="1"/>
  <c r="I22" i="1"/>
  <c r="I35" i="1"/>
  <c r="I47" i="1"/>
  <c r="I40" i="1"/>
  <c r="I41" i="1"/>
  <c r="I42" i="1"/>
  <c r="I44" i="1"/>
  <c r="I45" i="1"/>
  <c r="I46" i="1"/>
  <c r="I48" i="1"/>
  <c r="I16" i="1"/>
  <c r="I43" i="1"/>
  <c r="I15" i="1"/>
  <c r="I21" i="1"/>
  <c r="I11" i="1"/>
  <c r="I50" i="1"/>
  <c r="I49" i="1"/>
  <c r="I39" i="1"/>
  <c r="I38" i="1"/>
  <c r="I29" i="1"/>
  <c r="I19" i="1"/>
  <c r="I18" i="1"/>
  <c r="I24" i="1"/>
  <c r="I23" i="1"/>
  <c r="I36" i="1"/>
  <c r="I14" i="1"/>
  <c r="I27" i="1"/>
  <c r="I13" i="1"/>
  <c r="I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<sst xmlns="http://schemas.openxmlformats.org/spreadsheetml/2006/main" count="1737" uniqueCount="790">
  <si>
    <t>RCS Log-Logistic</t>
  </si>
  <si>
    <t>RCS Lognormal</t>
  </si>
  <si>
    <t>RCS Weibull</t>
  </si>
  <si>
    <t>Distribution</t>
  </si>
  <si>
    <t>gamma0</t>
  </si>
  <si>
    <t>gamma1</t>
  </si>
  <si>
    <t>gamma2</t>
  </si>
  <si>
    <t>knot0</t>
  </si>
  <si>
    <t>knot1</t>
  </si>
  <si>
    <t>knot2</t>
  </si>
  <si>
    <t>Time</t>
  </si>
  <si>
    <t>Quantile</t>
  </si>
  <si>
    <t>Survival</t>
  </si>
  <si>
    <t>Log-logistic</t>
  </si>
  <si>
    <t>Lognormal</t>
  </si>
  <si>
    <t>Weibull</t>
  </si>
  <si>
    <t>hazard</t>
  </si>
  <si>
    <t>odds</t>
  </si>
  <si>
    <t>normal</t>
  </si>
  <si>
    <t>Hazard</t>
  </si>
  <si>
    <t>VBA Code</t>
  </si>
  <si>
    <t>1-psurvspline (from R)</t>
  </si>
  <si>
    <t>Test for equality 6 digits</t>
  </si>
  <si>
    <t>Cumulative Hazard</t>
  </si>
  <si>
    <t>Cumulative Distibution Function (CDF)</t>
  </si>
  <si>
    <t>Probability Distibution Function (CDF)</t>
  </si>
  <si>
    <t>It looks like it works for Log-Logistic but not for lognormal and weibull</t>
  </si>
  <si>
    <t>P686</t>
  </si>
  <si>
    <t>P685</t>
  </si>
  <si>
    <t>P684</t>
  </si>
  <si>
    <t>P683</t>
  </si>
  <si>
    <t>P682</t>
  </si>
  <si>
    <t>P681</t>
  </si>
  <si>
    <t>P680</t>
  </si>
  <si>
    <t>P679</t>
  </si>
  <si>
    <t>P678</t>
  </si>
  <si>
    <t>P677</t>
  </si>
  <si>
    <t>P676</t>
  </si>
  <si>
    <t>P675</t>
  </si>
  <si>
    <t>P674</t>
  </si>
  <si>
    <t>P673</t>
  </si>
  <si>
    <t>P672</t>
  </si>
  <si>
    <t>P671</t>
  </si>
  <si>
    <t>P670</t>
  </si>
  <si>
    <t>P669</t>
  </si>
  <si>
    <t>P668</t>
  </si>
  <si>
    <t>P667</t>
  </si>
  <si>
    <t>P666</t>
  </si>
  <si>
    <t>P665</t>
  </si>
  <si>
    <t>P664</t>
  </si>
  <si>
    <t>P663</t>
  </si>
  <si>
    <t>P662</t>
  </si>
  <si>
    <t>P661</t>
  </si>
  <si>
    <t>P660</t>
  </si>
  <si>
    <t>P659</t>
  </si>
  <si>
    <t>P658</t>
  </si>
  <si>
    <t>P657</t>
  </si>
  <si>
    <t>P656</t>
  </si>
  <si>
    <t>P655</t>
  </si>
  <si>
    <t>P654</t>
  </si>
  <si>
    <t>P653</t>
  </si>
  <si>
    <t>P652</t>
  </si>
  <si>
    <t>P651</t>
  </si>
  <si>
    <t>P650</t>
  </si>
  <si>
    <t>P649</t>
  </si>
  <si>
    <t>P648</t>
  </si>
  <si>
    <t>P647</t>
  </si>
  <si>
    <t>P646</t>
  </si>
  <si>
    <t>P645</t>
  </si>
  <si>
    <t>P644</t>
  </si>
  <si>
    <t>P643</t>
  </si>
  <si>
    <t>P642</t>
  </si>
  <si>
    <t>P641</t>
  </si>
  <si>
    <t>P640</t>
  </si>
  <si>
    <t>P639</t>
  </si>
  <si>
    <t>P638</t>
  </si>
  <si>
    <t>P637</t>
  </si>
  <si>
    <t>P636</t>
  </si>
  <si>
    <t>P635</t>
  </si>
  <si>
    <t>P634</t>
  </si>
  <si>
    <t>P633</t>
  </si>
  <si>
    <t>P632</t>
  </si>
  <si>
    <t>P631</t>
  </si>
  <si>
    <t>P630</t>
  </si>
  <si>
    <t>P629</t>
  </si>
  <si>
    <t>P628</t>
  </si>
  <si>
    <t>P627</t>
  </si>
  <si>
    <t>P626</t>
  </si>
  <si>
    <t>P625</t>
  </si>
  <si>
    <t>P624</t>
  </si>
  <si>
    <t>P623</t>
  </si>
  <si>
    <t>P622</t>
  </si>
  <si>
    <t>P621</t>
  </si>
  <si>
    <t>P620</t>
  </si>
  <si>
    <t>P619</t>
  </si>
  <si>
    <t>P618</t>
  </si>
  <si>
    <t>P617</t>
  </si>
  <si>
    <t>P616</t>
  </si>
  <si>
    <t>P615</t>
  </si>
  <si>
    <t>P614</t>
  </si>
  <si>
    <t>P613</t>
  </si>
  <si>
    <t>P612</t>
  </si>
  <si>
    <t>P611</t>
  </si>
  <si>
    <t>P610</t>
  </si>
  <si>
    <t>P609</t>
  </si>
  <si>
    <t>P608</t>
  </si>
  <si>
    <t>P607</t>
  </si>
  <si>
    <t>P606</t>
  </si>
  <si>
    <t>P605</t>
  </si>
  <si>
    <t>P604</t>
  </si>
  <si>
    <t>P603</t>
  </si>
  <si>
    <t>P602</t>
  </si>
  <si>
    <t>P601</t>
  </si>
  <si>
    <t>P600</t>
  </si>
  <si>
    <t>P599</t>
  </si>
  <si>
    <t>P598</t>
  </si>
  <si>
    <t>P597</t>
  </si>
  <si>
    <t>P596</t>
  </si>
  <si>
    <t>P595</t>
  </si>
  <si>
    <t>P594</t>
  </si>
  <si>
    <t>P593</t>
  </si>
  <si>
    <t>P592</t>
  </si>
  <si>
    <t>P591</t>
  </si>
  <si>
    <t>P590</t>
  </si>
  <si>
    <t>P589</t>
  </si>
  <si>
    <t>P588</t>
  </si>
  <si>
    <t>P587</t>
  </si>
  <si>
    <t>P586</t>
  </si>
  <si>
    <t>P585</t>
  </si>
  <si>
    <t>P584</t>
  </si>
  <si>
    <t>P583</t>
  </si>
  <si>
    <t>P582</t>
  </si>
  <si>
    <t>P581</t>
  </si>
  <si>
    <t>P580</t>
  </si>
  <si>
    <t>P579</t>
  </si>
  <si>
    <t>P578</t>
  </si>
  <si>
    <t>P577</t>
  </si>
  <si>
    <t>P576</t>
  </si>
  <si>
    <t>P575</t>
  </si>
  <si>
    <t>P574</t>
  </si>
  <si>
    <t>P573</t>
  </si>
  <si>
    <t>P572</t>
  </si>
  <si>
    <t>P571</t>
  </si>
  <si>
    <t>P570</t>
  </si>
  <si>
    <t>P569</t>
  </si>
  <si>
    <t>P568</t>
  </si>
  <si>
    <t>P567</t>
  </si>
  <si>
    <t>P566</t>
  </si>
  <si>
    <t>P565</t>
  </si>
  <si>
    <t>P564</t>
  </si>
  <si>
    <t>P563</t>
  </si>
  <si>
    <t>P562</t>
  </si>
  <si>
    <t>P561</t>
  </si>
  <si>
    <t>P560</t>
  </si>
  <si>
    <t>P559</t>
  </si>
  <si>
    <t>P558</t>
  </si>
  <si>
    <t>P557</t>
  </si>
  <si>
    <t>P556</t>
  </si>
  <si>
    <t>P555</t>
  </si>
  <si>
    <t>P554</t>
  </si>
  <si>
    <t>P553</t>
  </si>
  <si>
    <t>P552</t>
  </si>
  <si>
    <t>P551</t>
  </si>
  <si>
    <t>P550</t>
  </si>
  <si>
    <t>P549</t>
  </si>
  <si>
    <t>P548</t>
  </si>
  <si>
    <t>P547</t>
  </si>
  <si>
    <t>P546</t>
  </si>
  <si>
    <t>P545</t>
  </si>
  <si>
    <t>P544</t>
  </si>
  <si>
    <t>P543</t>
  </si>
  <si>
    <t>P542</t>
  </si>
  <si>
    <t>P541</t>
  </si>
  <si>
    <t>P540</t>
  </si>
  <si>
    <t>P539</t>
  </si>
  <si>
    <t>P538</t>
  </si>
  <si>
    <t>P537</t>
  </si>
  <si>
    <t>P536</t>
  </si>
  <si>
    <t>P535</t>
  </si>
  <si>
    <t>P534</t>
  </si>
  <si>
    <t>P533</t>
  </si>
  <si>
    <t>P532</t>
  </si>
  <si>
    <t>P531</t>
  </si>
  <si>
    <t>P530</t>
  </si>
  <si>
    <t>P529</t>
  </si>
  <si>
    <t>P528</t>
  </si>
  <si>
    <t>P527</t>
  </si>
  <si>
    <t>P526</t>
  </si>
  <si>
    <t>P525</t>
  </si>
  <si>
    <t>P524</t>
  </si>
  <si>
    <t>P523</t>
  </si>
  <si>
    <t>P522</t>
  </si>
  <si>
    <t>P521</t>
  </si>
  <si>
    <t>P520</t>
  </si>
  <si>
    <t>P519</t>
  </si>
  <si>
    <t>P518</t>
  </si>
  <si>
    <t>P517</t>
  </si>
  <si>
    <t>P516</t>
  </si>
  <si>
    <t>P515</t>
  </si>
  <si>
    <t>P514</t>
  </si>
  <si>
    <t>P513</t>
  </si>
  <si>
    <t>P512</t>
  </si>
  <si>
    <t>P511</t>
  </si>
  <si>
    <t>P510</t>
  </si>
  <si>
    <t>P509</t>
  </si>
  <si>
    <t>P508</t>
  </si>
  <si>
    <t>P507</t>
  </si>
  <si>
    <t>P506</t>
  </si>
  <si>
    <t>P505</t>
  </si>
  <si>
    <t>P504</t>
  </si>
  <si>
    <t>P503</t>
  </si>
  <si>
    <t>P502</t>
  </si>
  <si>
    <t>P501</t>
  </si>
  <si>
    <t>P500</t>
  </si>
  <si>
    <t>P499</t>
  </si>
  <si>
    <t>P498</t>
  </si>
  <si>
    <t>P497</t>
  </si>
  <si>
    <t>P496</t>
  </si>
  <si>
    <t>P495</t>
  </si>
  <si>
    <t>P494</t>
  </si>
  <si>
    <t>P493</t>
  </si>
  <si>
    <t>P492</t>
  </si>
  <si>
    <t>P491</t>
  </si>
  <si>
    <t>P490</t>
  </si>
  <si>
    <t>P489</t>
  </si>
  <si>
    <t>P488</t>
  </si>
  <si>
    <t>P487</t>
  </si>
  <si>
    <t>P486</t>
  </si>
  <si>
    <t>P485</t>
  </si>
  <si>
    <t>P484</t>
  </si>
  <si>
    <t>P483</t>
  </si>
  <si>
    <t>P482</t>
  </si>
  <si>
    <t>P481</t>
  </si>
  <si>
    <t>P480</t>
  </si>
  <si>
    <t>P479</t>
  </si>
  <si>
    <t>P478</t>
  </si>
  <si>
    <t>P477</t>
  </si>
  <si>
    <t>P476</t>
  </si>
  <si>
    <t>P475</t>
  </si>
  <si>
    <t>P474</t>
  </si>
  <si>
    <t>P473</t>
  </si>
  <si>
    <t>P472</t>
  </si>
  <si>
    <t>P471</t>
  </si>
  <si>
    <t>P470</t>
  </si>
  <si>
    <t>P469</t>
  </si>
  <si>
    <t>P468</t>
  </si>
  <si>
    <t>P467</t>
  </si>
  <si>
    <t>P466</t>
  </si>
  <si>
    <t>P465</t>
  </si>
  <si>
    <t>P464</t>
  </si>
  <si>
    <t>P463</t>
  </si>
  <si>
    <t>P462</t>
  </si>
  <si>
    <t>P461</t>
  </si>
  <si>
    <t>P460</t>
  </si>
  <si>
    <t>P459</t>
  </si>
  <si>
    <t>P458</t>
  </si>
  <si>
    <t>P457</t>
  </si>
  <si>
    <t>P456</t>
  </si>
  <si>
    <t>P455</t>
  </si>
  <si>
    <t>P454</t>
  </si>
  <si>
    <t>P453</t>
  </si>
  <si>
    <t>P452</t>
  </si>
  <si>
    <t>P451</t>
  </si>
  <si>
    <t>P450</t>
  </si>
  <si>
    <t>P449</t>
  </si>
  <si>
    <t>P448</t>
  </si>
  <si>
    <t>P447</t>
  </si>
  <si>
    <t>P446</t>
  </si>
  <si>
    <t>P445</t>
  </si>
  <si>
    <t>P444</t>
  </si>
  <si>
    <t>P443</t>
  </si>
  <si>
    <t>P442</t>
  </si>
  <si>
    <t>P441</t>
  </si>
  <si>
    <t>P440</t>
  </si>
  <si>
    <t>P439</t>
  </si>
  <si>
    <t>P438</t>
  </si>
  <si>
    <t>P437</t>
  </si>
  <si>
    <t>P436</t>
  </si>
  <si>
    <t>P435</t>
  </si>
  <si>
    <t>P434</t>
  </si>
  <si>
    <t>P433</t>
  </si>
  <si>
    <t>P432</t>
  </si>
  <si>
    <t>P431</t>
  </si>
  <si>
    <t>P430</t>
  </si>
  <si>
    <t>P429</t>
  </si>
  <si>
    <t>P428</t>
  </si>
  <si>
    <t>P427</t>
  </si>
  <si>
    <t>P426</t>
  </si>
  <si>
    <t>P425</t>
  </si>
  <si>
    <t>P424</t>
  </si>
  <si>
    <t>P423</t>
  </si>
  <si>
    <t>P422</t>
  </si>
  <si>
    <t>P421</t>
  </si>
  <si>
    <t>P420</t>
  </si>
  <si>
    <t>P419</t>
  </si>
  <si>
    <t>P418</t>
  </si>
  <si>
    <t>P417</t>
  </si>
  <si>
    <t>P416</t>
  </si>
  <si>
    <t>P415</t>
  </si>
  <si>
    <t>P414</t>
  </si>
  <si>
    <t>P413</t>
  </si>
  <si>
    <t>P412</t>
  </si>
  <si>
    <t>P411</t>
  </si>
  <si>
    <t>P410</t>
  </si>
  <si>
    <t>P409</t>
  </si>
  <si>
    <t>P408</t>
  </si>
  <si>
    <t>P407</t>
  </si>
  <si>
    <t>P406</t>
  </si>
  <si>
    <t>P405</t>
  </si>
  <si>
    <t>P404</t>
  </si>
  <si>
    <t>P403</t>
  </si>
  <si>
    <t>P402</t>
  </si>
  <si>
    <t>P401</t>
  </si>
  <si>
    <t>P400</t>
  </si>
  <si>
    <t>P399</t>
  </si>
  <si>
    <t>P398</t>
  </si>
  <si>
    <t>P397</t>
  </si>
  <si>
    <t>P396</t>
  </si>
  <si>
    <t>P395</t>
  </si>
  <si>
    <t>P394</t>
  </si>
  <si>
    <t>P393</t>
  </si>
  <si>
    <t>P392</t>
  </si>
  <si>
    <t>P391</t>
  </si>
  <si>
    <t>P390</t>
  </si>
  <si>
    <t>P389</t>
  </si>
  <si>
    <t>P388</t>
  </si>
  <si>
    <t>P387</t>
  </si>
  <si>
    <t>P386</t>
  </si>
  <si>
    <t>P385</t>
  </si>
  <si>
    <t>P384</t>
  </si>
  <si>
    <t>P383</t>
  </si>
  <si>
    <t>P382</t>
  </si>
  <si>
    <t>P381</t>
  </si>
  <si>
    <t>P380</t>
  </si>
  <si>
    <t>P379</t>
  </si>
  <si>
    <t>P378</t>
  </si>
  <si>
    <t>P377</t>
  </si>
  <si>
    <t>P376</t>
  </si>
  <si>
    <t>P375</t>
  </si>
  <si>
    <t>P374</t>
  </si>
  <si>
    <t>P373</t>
  </si>
  <si>
    <t>P372</t>
  </si>
  <si>
    <t>P371</t>
  </si>
  <si>
    <t>P370</t>
  </si>
  <si>
    <t>P369</t>
  </si>
  <si>
    <t>P368</t>
  </si>
  <si>
    <t>P367</t>
  </si>
  <si>
    <t>P366</t>
  </si>
  <si>
    <t>P365</t>
  </si>
  <si>
    <t>P364</t>
  </si>
  <si>
    <t>P363</t>
  </si>
  <si>
    <t>P362</t>
  </si>
  <si>
    <t>P361</t>
  </si>
  <si>
    <t>P360</t>
  </si>
  <si>
    <t>P359</t>
  </si>
  <si>
    <t>P358</t>
  </si>
  <si>
    <t>P357</t>
  </si>
  <si>
    <t>P356</t>
  </si>
  <si>
    <t>P355</t>
  </si>
  <si>
    <t>P354</t>
  </si>
  <si>
    <t>P353</t>
  </si>
  <si>
    <t>P352</t>
  </si>
  <si>
    <t>P351</t>
  </si>
  <si>
    <t>P350</t>
  </si>
  <si>
    <t>P349</t>
  </si>
  <si>
    <t>P348</t>
  </si>
  <si>
    <t>P347</t>
  </si>
  <si>
    <t>P346</t>
  </si>
  <si>
    <t>P345</t>
  </si>
  <si>
    <t>P344</t>
  </si>
  <si>
    <t>P343</t>
  </si>
  <si>
    <t>P342</t>
  </si>
  <si>
    <t>P341</t>
  </si>
  <si>
    <t>P340</t>
  </si>
  <si>
    <t>P339</t>
  </si>
  <si>
    <t>P338</t>
  </si>
  <si>
    <t>P337</t>
  </si>
  <si>
    <t>P336</t>
  </si>
  <si>
    <t>P335</t>
  </si>
  <si>
    <t>P334</t>
  </si>
  <si>
    <t>P333</t>
  </si>
  <si>
    <t>P332</t>
  </si>
  <si>
    <t>P331</t>
  </si>
  <si>
    <t>P330</t>
  </si>
  <si>
    <t>P329</t>
  </si>
  <si>
    <t>P328</t>
  </si>
  <si>
    <t>P327</t>
  </si>
  <si>
    <t>P326</t>
  </si>
  <si>
    <t>P325</t>
  </si>
  <si>
    <t>P324</t>
  </si>
  <si>
    <t>P323</t>
  </si>
  <si>
    <t>P322</t>
  </si>
  <si>
    <t>P321</t>
  </si>
  <si>
    <t>P320</t>
  </si>
  <si>
    <t>P319</t>
  </si>
  <si>
    <t>P318</t>
  </si>
  <si>
    <t>P317</t>
  </si>
  <si>
    <t>P316</t>
  </si>
  <si>
    <t>P315</t>
  </si>
  <si>
    <t>P314</t>
  </si>
  <si>
    <t>P313</t>
  </si>
  <si>
    <t>P312</t>
  </si>
  <si>
    <t>P311</t>
  </si>
  <si>
    <t>P310</t>
  </si>
  <si>
    <t>P309</t>
  </si>
  <si>
    <t>P308</t>
  </si>
  <si>
    <t>P307</t>
  </si>
  <si>
    <t>P306</t>
  </si>
  <si>
    <t>P305</t>
  </si>
  <si>
    <t>P304</t>
  </si>
  <si>
    <t>P303</t>
  </si>
  <si>
    <t>P302</t>
  </si>
  <si>
    <t>P301</t>
  </si>
  <si>
    <t>P300</t>
  </si>
  <si>
    <t>P299</t>
  </si>
  <si>
    <t>P298</t>
  </si>
  <si>
    <t>P297</t>
  </si>
  <si>
    <t>P296</t>
  </si>
  <si>
    <t>P295</t>
  </si>
  <si>
    <t>P294</t>
  </si>
  <si>
    <t>P293</t>
  </si>
  <si>
    <t>P292</t>
  </si>
  <si>
    <t>P291</t>
  </si>
  <si>
    <t>P290</t>
  </si>
  <si>
    <t>P289</t>
  </si>
  <si>
    <t>P288</t>
  </si>
  <si>
    <t>P287</t>
  </si>
  <si>
    <t>P286</t>
  </si>
  <si>
    <t>P285</t>
  </si>
  <si>
    <t>P284</t>
  </si>
  <si>
    <t>P283</t>
  </si>
  <si>
    <t>P282</t>
  </si>
  <si>
    <t>P281</t>
  </si>
  <si>
    <t>P280</t>
  </si>
  <si>
    <t>P279</t>
  </si>
  <si>
    <t>P278</t>
  </si>
  <si>
    <t>P277</t>
  </si>
  <si>
    <t>P276</t>
  </si>
  <si>
    <t>P275</t>
  </si>
  <si>
    <t>P274</t>
  </si>
  <si>
    <t>P273</t>
  </si>
  <si>
    <t>P272</t>
  </si>
  <si>
    <t>P271</t>
  </si>
  <si>
    <t>P270</t>
  </si>
  <si>
    <t>P269</t>
  </si>
  <si>
    <t>P268</t>
  </si>
  <si>
    <t>P267</t>
  </si>
  <si>
    <t>P266</t>
  </si>
  <si>
    <t>P265</t>
  </si>
  <si>
    <t>P264</t>
  </si>
  <si>
    <t>P263</t>
  </si>
  <si>
    <t>P262</t>
  </si>
  <si>
    <t>P261</t>
  </si>
  <si>
    <t>P260</t>
  </si>
  <si>
    <t>P259</t>
  </si>
  <si>
    <t>P258</t>
  </si>
  <si>
    <t>P257</t>
  </si>
  <si>
    <t>P256</t>
  </si>
  <si>
    <t>P255</t>
  </si>
  <si>
    <t>P254</t>
  </si>
  <si>
    <t>P253</t>
  </si>
  <si>
    <t>P252</t>
  </si>
  <si>
    <t>P251</t>
  </si>
  <si>
    <t>P250</t>
  </si>
  <si>
    <t>P249</t>
  </si>
  <si>
    <t>P248</t>
  </si>
  <si>
    <t>P247</t>
  </si>
  <si>
    <t>P246</t>
  </si>
  <si>
    <t>P245</t>
  </si>
  <si>
    <t>P244</t>
  </si>
  <si>
    <t>P243</t>
  </si>
  <si>
    <t>P242</t>
  </si>
  <si>
    <t>P241</t>
  </si>
  <si>
    <t>P240</t>
  </si>
  <si>
    <t>P239</t>
  </si>
  <si>
    <t>P238</t>
  </si>
  <si>
    <t>P237</t>
  </si>
  <si>
    <t>P236</t>
  </si>
  <si>
    <t>P235</t>
  </si>
  <si>
    <t>P234</t>
  </si>
  <si>
    <t>P233</t>
  </si>
  <si>
    <t>P232</t>
  </si>
  <si>
    <t>P231</t>
  </si>
  <si>
    <t>P230</t>
  </si>
  <si>
    <t>P229</t>
  </si>
  <si>
    <t>P228</t>
  </si>
  <si>
    <t>P227</t>
  </si>
  <si>
    <t>P226</t>
  </si>
  <si>
    <t>P225</t>
  </si>
  <si>
    <t>P224</t>
  </si>
  <si>
    <t>P223</t>
  </si>
  <si>
    <t>P222</t>
  </si>
  <si>
    <t>P221</t>
  </si>
  <si>
    <t>P220</t>
  </si>
  <si>
    <t>P219</t>
  </si>
  <si>
    <t>P218</t>
  </si>
  <si>
    <t>P217</t>
  </si>
  <si>
    <t>P216</t>
  </si>
  <si>
    <t>P215</t>
  </si>
  <si>
    <t>P214</t>
  </si>
  <si>
    <t>P213</t>
  </si>
  <si>
    <t>P212</t>
  </si>
  <si>
    <t>P211</t>
  </si>
  <si>
    <t>P210</t>
  </si>
  <si>
    <t>P209</t>
  </si>
  <si>
    <t>P208</t>
  </si>
  <si>
    <t>P207</t>
  </si>
  <si>
    <t>P206</t>
  </si>
  <si>
    <t>P205</t>
  </si>
  <si>
    <t>P204</t>
  </si>
  <si>
    <t>P203</t>
  </si>
  <si>
    <t>P202</t>
  </si>
  <si>
    <t>P201</t>
  </si>
  <si>
    <t>P200</t>
  </si>
  <si>
    <t>P199</t>
  </si>
  <si>
    <t>P198</t>
  </si>
  <si>
    <t>P197</t>
  </si>
  <si>
    <t>P196</t>
  </si>
  <si>
    <t>P195</t>
  </si>
  <si>
    <t>P194</t>
  </si>
  <si>
    <t>P193</t>
  </si>
  <si>
    <t>P192</t>
  </si>
  <si>
    <t>P191</t>
  </si>
  <si>
    <t>P190</t>
  </si>
  <si>
    <t>P189</t>
  </si>
  <si>
    <t>P188</t>
  </si>
  <si>
    <t>P187</t>
  </si>
  <si>
    <t>P186</t>
  </si>
  <si>
    <t>P185</t>
  </si>
  <si>
    <t>P184</t>
  </si>
  <si>
    <t>P183</t>
  </si>
  <si>
    <t>P182</t>
  </si>
  <si>
    <t>P181</t>
  </si>
  <si>
    <t>P180</t>
  </si>
  <si>
    <t>P179</t>
  </si>
  <si>
    <t>P178</t>
  </si>
  <si>
    <t>P177</t>
  </si>
  <si>
    <t>P176</t>
  </si>
  <si>
    <t>P175</t>
  </si>
  <si>
    <t>P174</t>
  </si>
  <si>
    <t>P173</t>
  </si>
  <si>
    <t>P172</t>
  </si>
  <si>
    <t>P171</t>
  </si>
  <si>
    <t>P170</t>
  </si>
  <si>
    <t>P169</t>
  </si>
  <si>
    <t>P168</t>
  </si>
  <si>
    <t>P167</t>
  </si>
  <si>
    <t>P166</t>
  </si>
  <si>
    <t>P165</t>
  </si>
  <si>
    <t>P164</t>
  </si>
  <si>
    <t>P163</t>
  </si>
  <si>
    <t>P162</t>
  </si>
  <si>
    <t>P161</t>
  </si>
  <si>
    <t>P160</t>
  </si>
  <si>
    <t>P159</t>
  </si>
  <si>
    <t>P158</t>
  </si>
  <si>
    <t>P157</t>
  </si>
  <si>
    <t>P156</t>
  </si>
  <si>
    <t>P155</t>
  </si>
  <si>
    <t>P154</t>
  </si>
  <si>
    <t>P153</t>
  </si>
  <si>
    <t>P152</t>
  </si>
  <si>
    <t>P151</t>
  </si>
  <si>
    <t>P150</t>
  </si>
  <si>
    <t>P149</t>
  </si>
  <si>
    <t>P148</t>
  </si>
  <si>
    <t>P147</t>
  </si>
  <si>
    <t>P146</t>
  </si>
  <si>
    <t>P145</t>
  </si>
  <si>
    <t>P144</t>
  </si>
  <si>
    <t>P143</t>
  </si>
  <si>
    <t>P142</t>
  </si>
  <si>
    <t>P141</t>
  </si>
  <si>
    <t>P140</t>
  </si>
  <si>
    <t>P139</t>
  </si>
  <si>
    <t>P138</t>
  </si>
  <si>
    <t>P137</t>
  </si>
  <si>
    <t>P136</t>
  </si>
  <si>
    <t>P135</t>
  </si>
  <si>
    <t>P134</t>
  </si>
  <si>
    <t>P133</t>
  </si>
  <si>
    <t>P132</t>
  </si>
  <si>
    <t>P131</t>
  </si>
  <si>
    <t>P130</t>
  </si>
  <si>
    <t>P129</t>
  </si>
  <si>
    <t>P128</t>
  </si>
  <si>
    <t>P127</t>
  </si>
  <si>
    <t>P126</t>
  </si>
  <si>
    <t>P125</t>
  </si>
  <si>
    <t>P124</t>
  </si>
  <si>
    <t>P123</t>
  </si>
  <si>
    <t>P122</t>
  </si>
  <si>
    <t>P121</t>
  </si>
  <si>
    <t>P120</t>
  </si>
  <si>
    <t>P119</t>
  </si>
  <si>
    <t>P118</t>
  </si>
  <si>
    <t>P117</t>
  </si>
  <si>
    <t>P116</t>
  </si>
  <si>
    <t>P115</t>
  </si>
  <si>
    <t>P114</t>
  </si>
  <si>
    <t>P113</t>
  </si>
  <si>
    <t>P112</t>
  </si>
  <si>
    <t>P111</t>
  </si>
  <si>
    <t>P110</t>
  </si>
  <si>
    <t>P109</t>
  </si>
  <si>
    <t>P108</t>
  </si>
  <si>
    <t>P107</t>
  </si>
  <si>
    <t>P106</t>
  </si>
  <si>
    <t>P105</t>
  </si>
  <si>
    <t>P104</t>
  </si>
  <si>
    <t>P103</t>
  </si>
  <si>
    <t>P102</t>
  </si>
  <si>
    <t>P101</t>
  </si>
  <si>
    <t>P100</t>
  </si>
  <si>
    <t>P099</t>
  </si>
  <si>
    <t>P098</t>
  </si>
  <si>
    <t>P097</t>
  </si>
  <si>
    <t>P096</t>
  </si>
  <si>
    <t>P095</t>
  </si>
  <si>
    <t>P094</t>
  </si>
  <si>
    <t>P093</t>
  </si>
  <si>
    <t>P092</t>
  </si>
  <si>
    <t>P091</t>
  </si>
  <si>
    <t>P090</t>
  </si>
  <si>
    <t>P089</t>
  </si>
  <si>
    <t>P088</t>
  </si>
  <si>
    <t>P087</t>
  </si>
  <si>
    <t>P086</t>
  </si>
  <si>
    <t>P085</t>
  </si>
  <si>
    <t>P084</t>
  </si>
  <si>
    <t>P083</t>
  </si>
  <si>
    <t>P082</t>
  </si>
  <si>
    <t>P081</t>
  </si>
  <si>
    <t>P080</t>
  </si>
  <si>
    <t>P079</t>
  </si>
  <si>
    <t>P078</t>
  </si>
  <si>
    <t>P077</t>
  </si>
  <si>
    <t>P076</t>
  </si>
  <si>
    <t>P075</t>
  </si>
  <si>
    <t>P074</t>
  </si>
  <si>
    <t>P073</t>
  </si>
  <si>
    <t>P072</t>
  </si>
  <si>
    <t>P071</t>
  </si>
  <si>
    <t>P070</t>
  </si>
  <si>
    <t>P069</t>
  </si>
  <si>
    <t>P068</t>
  </si>
  <si>
    <t>P067</t>
  </si>
  <si>
    <t>P066</t>
  </si>
  <si>
    <t>P065</t>
  </si>
  <si>
    <t>P064</t>
  </si>
  <si>
    <t>P063</t>
  </si>
  <si>
    <t>P062</t>
  </si>
  <si>
    <t>P061</t>
  </si>
  <si>
    <t>P060</t>
  </si>
  <si>
    <t>P059</t>
  </si>
  <si>
    <t>P058</t>
  </si>
  <si>
    <t>P057</t>
  </si>
  <si>
    <t>P056</t>
  </si>
  <si>
    <t>P055</t>
  </si>
  <si>
    <t>P054</t>
  </si>
  <si>
    <t>P053</t>
  </si>
  <si>
    <t>P052</t>
  </si>
  <si>
    <t>P051</t>
  </si>
  <si>
    <t>P050</t>
  </si>
  <si>
    <t>P049</t>
  </si>
  <si>
    <t>P048</t>
  </si>
  <si>
    <t>P047</t>
  </si>
  <si>
    <t>P046</t>
  </si>
  <si>
    <t>P045</t>
  </si>
  <si>
    <t>P044</t>
  </si>
  <si>
    <t>P043</t>
  </si>
  <si>
    <t>P042</t>
  </si>
  <si>
    <t>P041</t>
  </si>
  <si>
    <t>P040</t>
  </si>
  <si>
    <t>P039</t>
  </si>
  <si>
    <t>P038</t>
  </si>
  <si>
    <t>P037</t>
  </si>
  <si>
    <t>P036</t>
  </si>
  <si>
    <t>P035</t>
  </si>
  <si>
    <t>P034</t>
  </si>
  <si>
    <t>P033</t>
  </si>
  <si>
    <t>P032</t>
  </si>
  <si>
    <t>P031</t>
  </si>
  <si>
    <t>P030</t>
  </si>
  <si>
    <t>P028</t>
  </si>
  <si>
    <t>P027</t>
  </si>
  <si>
    <t>P026</t>
  </si>
  <si>
    <t>P025</t>
  </si>
  <si>
    <t>P024</t>
  </si>
  <si>
    <t>P023</t>
  </si>
  <si>
    <t>P022</t>
  </si>
  <si>
    <t>P021</t>
  </si>
  <si>
    <t>P020</t>
  </si>
  <si>
    <t>P019</t>
  </si>
  <si>
    <t>P018</t>
  </si>
  <si>
    <t>P017</t>
  </si>
  <si>
    <t>P016</t>
  </si>
  <si>
    <t>P015</t>
  </si>
  <si>
    <t>P014</t>
  </si>
  <si>
    <t>P013</t>
  </si>
  <si>
    <t>P012</t>
  </si>
  <si>
    <t>P011</t>
  </si>
  <si>
    <t>P010</t>
  </si>
  <si>
    <t>P009</t>
  </si>
  <si>
    <t>P008</t>
  </si>
  <si>
    <t>P007</t>
  </si>
  <si>
    <t>P006</t>
  </si>
  <si>
    <t>P005</t>
  </si>
  <si>
    <t>P004</t>
  </si>
  <si>
    <t>P003</t>
  </si>
  <si>
    <t>P002</t>
  </si>
  <si>
    <t>P001</t>
  </si>
  <si>
    <t>https://github.com/sebp/scikit-survival/tree/main/sksurv/datasets/data</t>
  </si>
  <si>
    <t>event</t>
  </si>
  <si>
    <t>time</t>
  </si>
  <si>
    <t>patientid</t>
  </si>
  <si>
    <t>686 Patients, 299 events</t>
  </si>
  <si>
    <t>GBSG2-German Breast Cancer Study Group 2</t>
  </si>
  <si>
    <t>Recurrence-free survival</t>
  </si>
  <si>
    <t>weight</t>
  </si>
  <si>
    <t>Step Data</t>
  </si>
  <si>
    <t>Product limit estimates</t>
  </si>
  <si>
    <t>y</t>
  </si>
  <si>
    <t>Probability Distibution Function (pdf)</t>
  </si>
  <si>
    <t>param1</t>
  </si>
  <si>
    <t>param2</t>
  </si>
  <si>
    <t>param3</t>
  </si>
  <si>
    <t>param4</t>
  </si>
  <si>
    <t>exp</t>
  </si>
  <si>
    <t>weibull</t>
  </si>
  <si>
    <t>weibullPH</t>
  </si>
  <si>
    <t>gompertz</t>
  </si>
  <si>
    <t>gamma</t>
  </si>
  <si>
    <t>llogis</t>
  </si>
  <si>
    <t>lnorm</t>
  </si>
  <si>
    <t>gengamma</t>
  </si>
  <si>
    <t>genf</t>
  </si>
  <si>
    <t>rate</t>
  </si>
  <si>
    <t>shape</t>
  </si>
  <si>
    <t>scale</t>
  </si>
  <si>
    <t>meanlog</t>
  </si>
  <si>
    <t>sdlog</t>
  </si>
  <si>
    <t>mu</t>
  </si>
  <si>
    <t>sigma</t>
  </si>
  <si>
    <t>Q</t>
  </si>
  <si>
    <t>P</t>
  </si>
  <si>
    <t>Flexsurv</t>
  </si>
  <si>
    <t>Test</t>
  </si>
  <si>
    <t>gengamma_orig</t>
  </si>
  <si>
    <t>genf_orig</t>
  </si>
  <si>
    <t>rfs</t>
  </si>
  <si>
    <t>k</t>
  </si>
  <si>
    <t>s1</t>
  </si>
  <si>
    <t>s2</t>
  </si>
  <si>
    <t>Percentile</t>
  </si>
  <si>
    <t>id</t>
  </si>
  <si>
    <t>Melanoma: event = 1 → death from melanoma event = 0 → censored</t>
  </si>
  <si>
    <t>Source: Boot package</t>
  </si>
  <si>
    <t>param5</t>
  </si>
  <si>
    <t>cure_fraction</t>
  </si>
  <si>
    <t>Likelihood</t>
  </si>
  <si>
    <t>Theta</t>
  </si>
  <si>
    <t>Lambda</t>
  </si>
  <si>
    <t>Log Likelihood</t>
  </si>
  <si>
    <t>sum(LL)</t>
  </si>
  <si>
    <t>dist</t>
  </si>
  <si>
    <t>Exp</t>
  </si>
  <si>
    <t>theta</t>
  </si>
  <si>
    <t>n_risk</t>
  </si>
  <si>
    <t>plot_time</t>
  </si>
  <si>
    <t>plot_surv</t>
  </si>
  <si>
    <t>RMST</t>
  </si>
  <si>
    <t>tau</t>
  </si>
  <si>
    <t>Test for equality 0 digits</t>
  </si>
  <si>
    <t>Test for equality 2 digits</t>
  </si>
  <si>
    <t>Webplotdigitizer</t>
  </si>
  <si>
    <t>https://automeris.io/wpd/</t>
  </si>
  <si>
    <t>Event</t>
  </si>
  <si>
    <t>Pembrolizumab</t>
  </si>
  <si>
    <t>At risk</t>
  </si>
  <si>
    <t>Disgitized Data</t>
  </si>
  <si>
    <t>Chemotherapy</t>
  </si>
  <si>
    <t>At Risk</t>
  </si>
  <si>
    <t>Y</t>
  </si>
  <si>
    <t>f</t>
  </si>
  <si>
    <t>surv</t>
  </si>
  <si>
    <t>n.atrisk</t>
  </si>
  <si>
    <t>events</t>
  </si>
  <si>
    <t>treatment</t>
  </si>
  <si>
    <t>IPDfromKM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</si>
</sst>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"/>
    <numFmt numFmtId="167" formatCode="0.0000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3" xfId="0" applyFill="1" applyBorder="1"/>
    <xf numFmtId="0" fontId="0" fillId="2" borderId="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166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7" fontId="2" fillId="2" borderId="2" xfId="0" applyNumberFormat="1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2" borderId="5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2" borderId="10" xfId="0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1" xfId="0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  <xf numFmtId="165" fontId="0" fillId="3" borderId="10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5" fontId="0" fillId="3" borderId="12" xfId="0" applyNumberFormat="1" applyFill="1" applyBorder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0" fontId="0" fillId="0" borderId="8" xfId="0" applyBorder="1"/>
    <xf numFmtId="0" fontId="0" fillId="0" borderId="13" xfId="0" applyBorder="1"/>
    <xf numFmtId="0" fontId="0" fillId="0" borderId="14" xfId="0" applyBorder="1"/>
    <xf numFmtId="0" fontId="0" fillId="0" borderId="9" xfId="0" applyBorder="1"/>
    <xf numFmtId="0" fontId="0" fillId="0" borderId="11" xfId="0" applyBorder="1"/>
    <xf numFmtId="0" fontId="0" fillId="0" borderId="10" xfId="0" applyBorder="1"/>
    <xf numFmtId="0" fontId="0" fillId="0" borderId="12" xfId="0" applyBorder="1"/>
    <xf numFmtId="165" fontId="0" fillId="3" borderId="8" xfId="0" applyNumberFormat="1" applyFill="1" applyBorder="1" applyAlignment="1">
      <alignment horizontal="center"/>
    </xf>
    <xf numFmtId="165" fontId="0" fillId="3" borderId="13" xfId="0" applyNumberFormat="1" applyFill="1" applyBorder="1" applyAlignment="1">
      <alignment horizontal="center"/>
    </xf>
    <xf numFmtId="165" fontId="0" fillId="3" borderId="14" xfId="0" applyNumberFormat="1" applyFill="1" applyBorder="1" applyAlignment="1">
      <alignment horizontal="center"/>
    </xf>
    <xf numFmtId="9" fontId="0" fillId="0" borderId="0" xfId="0" applyNumberFormat="1"/>
    <xf numFmtId="166" fontId="0" fillId="3" borderId="9" xfId="0" applyNumberFormat="1" applyFill="1" applyBorder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3" borderId="11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 applyAlignment="1">
      <alignment horizontal="left"/>
    </xf>
    <xf numFmtId="11" fontId="0" fillId="0" borderId="0" xfId="0" applyNumberFormat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2" xfId="0" applyFill="1" applyBorder="1"/>
    <xf numFmtId="167" fontId="0" fillId="2" borderId="2" xfId="0" applyNumberFormat="1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3" borderId="8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3" borderId="10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3" borderId="8" xfId="0" applyNumberFormat="1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3" borderId="14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3" borderId="11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12" xfId="0" applyNumberFormat="1" applyFill="1" applyBorder="1" applyAlignment="1">
      <alignment horizontal="center"/>
    </xf>
    <xf numFmtId="167" fontId="0" fillId="0" borderId="0" xfId="0" applyNumberFormat="1"/>
    <xf numFmtId="0" fontId="0" fillId="2" borderId="15" xfId="0" applyFill="1" applyBorder="1"/>
    <xf numFmtId="2" fontId="0" fillId="0" borderId="0" xfId="0" applyNumberFormat="1"/>
    <xf numFmtId="2" fontId="0" fillId="2" borderId="5" xfId="0" applyNumberFormat="1" applyFill="1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left"/>
    </xf>
    <xf numFmtId="0" fontId="0" fillId="2" borderId="6" xfId="0" applyFill="1" applyBorder="1"/>
    <xf numFmtId="0" fontId="0" fillId="2" borderId="7" xfId="0" applyFill="1" applyBorder="1"/>
    <xf numFmtId="0" fontId="0" fillId="2" borderId="5" xfId="0" applyFill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67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left" wrapText="1"/>
    </xf>
    <xf numFmtId="167" fontId="0" fillId="2" borderId="5" xfId="0" applyNumberFormat="1" applyFill="1" applyBorder="1" applyAlignment="1">
      <alignment horizontal="center"/>
    </xf>
    <xf numFmtId="167" fontId="0" fillId="2" borderId="7" xfId="0" applyNumberFormat="1" applyFill="1" applyBorder="1" applyAlignment="1">
      <alignment horizontal="center"/>
    </xf>
    <xf numFmtId="167" fontId="0" fillId="2" borderId="6" xfId="0" applyNumberFormat="1" applyFill="1" applyBorder="1" applyAlignment="1">
      <alignment horizontal="center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66"/>
      <color rgb="FF0066FF"/>
      <color rgb="FFCC0066"/>
      <color rgb="FFCCFFCC"/>
      <color rgb="FFCCFFFF"/>
      <color rgb="FF0000FF"/>
      <color rgb="FF008000"/>
      <color rgb="FF98ECA6"/>
      <color rgb="FFDA0CA4"/>
      <color rgb="FFE69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Recurrence-free</a:t>
            </a:r>
            <a:r>
              <a:rPr lang="en-US" baseline="0"/>
              <a:t> survival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29169158068014"/>
          <c:y val="8.8594377510040179E-2"/>
          <c:w val="0.84562529227214356"/>
          <c:h val="0.8200581854978972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Data!$N$5</c:f>
              <c:strCache>
                <c:ptCount val="1"/>
                <c:pt idx="0">
                  <c:v>plot_surv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Data!$M$6:$M$547</c:f>
              <c:numCache>
                <c:formatCode>0.0000</c:formatCode>
                <c:ptCount val="542"/>
                <c:pt idx="0">
                  <c:v>0</c:v>
                </c:pt>
                <c:pt idx="1">
                  <c:v>2.3655030800821355</c:v>
                </c:pt>
                <c:pt idx="2">
                  <c:v>2.3655030800821355</c:v>
                </c:pt>
                <c:pt idx="3">
                  <c:v>3.2197125256673513</c:v>
                </c:pt>
                <c:pt idx="4">
                  <c:v>3.2197125256673513</c:v>
                </c:pt>
                <c:pt idx="5">
                  <c:v>3.7125256673511293</c:v>
                </c:pt>
                <c:pt idx="6">
                  <c:v>3.7125256673511293</c:v>
                </c:pt>
                <c:pt idx="7">
                  <c:v>3.9425051334702257</c:v>
                </c:pt>
                <c:pt idx="8">
                  <c:v>3.9425051334702257</c:v>
                </c:pt>
                <c:pt idx="9">
                  <c:v>5.2566735112936342</c:v>
                </c:pt>
                <c:pt idx="10">
                  <c:v>5.2566735112936342</c:v>
                </c:pt>
                <c:pt idx="11">
                  <c:v>5.5523613963039011</c:v>
                </c:pt>
                <c:pt idx="12">
                  <c:v>5.5523613963039011</c:v>
                </c:pt>
                <c:pt idx="13">
                  <c:v>5.6180698151950716</c:v>
                </c:pt>
                <c:pt idx="14">
                  <c:v>5.6180698151950716</c:v>
                </c:pt>
                <c:pt idx="15">
                  <c:v>5.6837782340862422</c:v>
                </c:pt>
                <c:pt idx="16">
                  <c:v>5.6837782340862422</c:v>
                </c:pt>
                <c:pt idx="17">
                  <c:v>5.7494866529774127</c:v>
                </c:pt>
                <c:pt idx="18">
                  <c:v>5.7494866529774127</c:v>
                </c:pt>
                <c:pt idx="19">
                  <c:v>5.8151950718685832</c:v>
                </c:pt>
                <c:pt idx="20">
                  <c:v>5.8151950718685832</c:v>
                </c:pt>
                <c:pt idx="21">
                  <c:v>5.9137577002053385</c:v>
                </c:pt>
                <c:pt idx="22">
                  <c:v>5.9137577002053385</c:v>
                </c:pt>
                <c:pt idx="23">
                  <c:v>5.9466119096509242</c:v>
                </c:pt>
                <c:pt idx="24">
                  <c:v>5.9466119096509242</c:v>
                </c:pt>
                <c:pt idx="25">
                  <c:v>6.0451745379876796</c:v>
                </c:pt>
                <c:pt idx="26">
                  <c:v>6.0451745379876796</c:v>
                </c:pt>
                <c:pt idx="27">
                  <c:v>6.2751540041067759</c:v>
                </c:pt>
                <c:pt idx="28">
                  <c:v>6.2751540041067759</c:v>
                </c:pt>
                <c:pt idx="29">
                  <c:v>6.406570841889117</c:v>
                </c:pt>
                <c:pt idx="30">
                  <c:v>6.406570841889117</c:v>
                </c:pt>
                <c:pt idx="31">
                  <c:v>6.7351129363449695</c:v>
                </c:pt>
                <c:pt idx="32">
                  <c:v>6.7351129363449695</c:v>
                </c:pt>
                <c:pt idx="33">
                  <c:v>7.3264887063655033</c:v>
                </c:pt>
                <c:pt idx="34">
                  <c:v>7.3264887063655033</c:v>
                </c:pt>
                <c:pt idx="35">
                  <c:v>7.4579055441478443</c:v>
                </c:pt>
                <c:pt idx="36">
                  <c:v>7.4579055441478443</c:v>
                </c:pt>
                <c:pt idx="37">
                  <c:v>7.655030800821355</c:v>
                </c:pt>
                <c:pt idx="38">
                  <c:v>7.655030800821355</c:v>
                </c:pt>
                <c:pt idx="39">
                  <c:v>7.8193018480492817</c:v>
                </c:pt>
                <c:pt idx="40">
                  <c:v>7.8193018480492817</c:v>
                </c:pt>
                <c:pt idx="41">
                  <c:v>7.9178644763860371</c:v>
                </c:pt>
                <c:pt idx="42">
                  <c:v>7.9178644763860371</c:v>
                </c:pt>
                <c:pt idx="43">
                  <c:v>7.9507186858316219</c:v>
                </c:pt>
                <c:pt idx="44">
                  <c:v>7.9507186858316219</c:v>
                </c:pt>
                <c:pt idx="45">
                  <c:v>8.1149897330595486</c:v>
                </c:pt>
                <c:pt idx="46">
                  <c:v>8.1149897330595486</c:v>
                </c:pt>
                <c:pt idx="47">
                  <c:v>8.1806981519507183</c:v>
                </c:pt>
                <c:pt idx="48">
                  <c:v>8.1806981519507183</c:v>
                </c:pt>
                <c:pt idx="49">
                  <c:v>8.2464065708418897</c:v>
                </c:pt>
                <c:pt idx="50">
                  <c:v>8.2464065708418897</c:v>
                </c:pt>
                <c:pt idx="51">
                  <c:v>8.9363449691991779</c:v>
                </c:pt>
                <c:pt idx="52">
                  <c:v>8.9363449691991779</c:v>
                </c:pt>
                <c:pt idx="53">
                  <c:v>9.0349075975359341</c:v>
                </c:pt>
                <c:pt idx="54">
                  <c:v>9.0349075975359341</c:v>
                </c:pt>
                <c:pt idx="55">
                  <c:v>9.2320328542094447</c:v>
                </c:pt>
                <c:pt idx="56">
                  <c:v>9.2320328542094447</c:v>
                </c:pt>
                <c:pt idx="57">
                  <c:v>9.3634496919917858</c:v>
                </c:pt>
                <c:pt idx="58">
                  <c:v>9.3634496919917858</c:v>
                </c:pt>
                <c:pt idx="59">
                  <c:v>9.3963039014373724</c:v>
                </c:pt>
                <c:pt idx="60">
                  <c:v>9.3963039014373724</c:v>
                </c:pt>
                <c:pt idx="61">
                  <c:v>9.462012320328542</c:v>
                </c:pt>
                <c:pt idx="62">
                  <c:v>9.462012320328542</c:v>
                </c:pt>
                <c:pt idx="63">
                  <c:v>9.6262833675564679</c:v>
                </c:pt>
                <c:pt idx="64">
                  <c:v>9.6262833675564679</c:v>
                </c:pt>
                <c:pt idx="65">
                  <c:v>10.020533880903491</c:v>
                </c:pt>
                <c:pt idx="66">
                  <c:v>10.020533880903491</c:v>
                </c:pt>
                <c:pt idx="67">
                  <c:v>10.086242299794661</c:v>
                </c:pt>
                <c:pt idx="68">
                  <c:v>10.086242299794661</c:v>
                </c:pt>
                <c:pt idx="69">
                  <c:v>10.119096509240247</c:v>
                </c:pt>
                <c:pt idx="70">
                  <c:v>10.119096509240247</c:v>
                </c:pt>
                <c:pt idx="71">
                  <c:v>10.381930184804927</c:v>
                </c:pt>
                <c:pt idx="72">
                  <c:v>10.381930184804927</c:v>
                </c:pt>
                <c:pt idx="73">
                  <c:v>10.809034907597535</c:v>
                </c:pt>
                <c:pt idx="74">
                  <c:v>10.809034907597535</c:v>
                </c:pt>
                <c:pt idx="75">
                  <c:v>11.039014373716633</c:v>
                </c:pt>
                <c:pt idx="76">
                  <c:v>11.039014373716633</c:v>
                </c:pt>
                <c:pt idx="77">
                  <c:v>11.104722792607802</c:v>
                </c:pt>
                <c:pt idx="78">
                  <c:v>11.104722792607802</c:v>
                </c:pt>
                <c:pt idx="79">
                  <c:v>11.268993839835728</c:v>
                </c:pt>
                <c:pt idx="80">
                  <c:v>11.268993839835728</c:v>
                </c:pt>
                <c:pt idx="81">
                  <c:v>11.301848049281315</c:v>
                </c:pt>
                <c:pt idx="82">
                  <c:v>11.301848049281315</c:v>
                </c:pt>
                <c:pt idx="83">
                  <c:v>11.433264887063656</c:v>
                </c:pt>
                <c:pt idx="84">
                  <c:v>11.433264887063656</c:v>
                </c:pt>
                <c:pt idx="85">
                  <c:v>11.498973305954825</c:v>
                </c:pt>
                <c:pt idx="86">
                  <c:v>11.498973305954825</c:v>
                </c:pt>
                <c:pt idx="87">
                  <c:v>11.597535934291582</c:v>
                </c:pt>
                <c:pt idx="88">
                  <c:v>11.597535934291582</c:v>
                </c:pt>
                <c:pt idx="89">
                  <c:v>11.728952772073923</c:v>
                </c:pt>
                <c:pt idx="90">
                  <c:v>11.728952772073923</c:v>
                </c:pt>
                <c:pt idx="91">
                  <c:v>11.761806981519507</c:v>
                </c:pt>
                <c:pt idx="92">
                  <c:v>11.761806981519507</c:v>
                </c:pt>
                <c:pt idx="93">
                  <c:v>11.794661190965092</c:v>
                </c:pt>
                <c:pt idx="94">
                  <c:v>11.794661190965092</c:v>
                </c:pt>
                <c:pt idx="95">
                  <c:v>11.827515400410677</c:v>
                </c:pt>
                <c:pt idx="96">
                  <c:v>11.827515400410677</c:v>
                </c:pt>
                <c:pt idx="97">
                  <c:v>12.123203285420944</c:v>
                </c:pt>
                <c:pt idx="98">
                  <c:v>12.123203285420944</c:v>
                </c:pt>
                <c:pt idx="99">
                  <c:v>12.156057494866531</c:v>
                </c:pt>
                <c:pt idx="100">
                  <c:v>12.156057494866531</c:v>
                </c:pt>
                <c:pt idx="101">
                  <c:v>12.188911704312115</c:v>
                </c:pt>
                <c:pt idx="102">
                  <c:v>12.188911704312115</c:v>
                </c:pt>
                <c:pt idx="103">
                  <c:v>12.2217659137577</c:v>
                </c:pt>
                <c:pt idx="104">
                  <c:v>12.2217659137577</c:v>
                </c:pt>
                <c:pt idx="105">
                  <c:v>12.28747433264887</c:v>
                </c:pt>
                <c:pt idx="106">
                  <c:v>12.28747433264887</c:v>
                </c:pt>
                <c:pt idx="107">
                  <c:v>12.320328542094456</c:v>
                </c:pt>
                <c:pt idx="108">
                  <c:v>12.320328542094456</c:v>
                </c:pt>
                <c:pt idx="109">
                  <c:v>12.386036960985626</c:v>
                </c:pt>
                <c:pt idx="110">
                  <c:v>12.386036960985626</c:v>
                </c:pt>
                <c:pt idx="111">
                  <c:v>12.451745379876797</c:v>
                </c:pt>
                <c:pt idx="112">
                  <c:v>12.451745379876797</c:v>
                </c:pt>
                <c:pt idx="113">
                  <c:v>12.648870636550308</c:v>
                </c:pt>
                <c:pt idx="114">
                  <c:v>12.648870636550308</c:v>
                </c:pt>
                <c:pt idx="115">
                  <c:v>12.878850102669405</c:v>
                </c:pt>
                <c:pt idx="116">
                  <c:v>12.878850102669405</c:v>
                </c:pt>
                <c:pt idx="117">
                  <c:v>12.944558521560575</c:v>
                </c:pt>
                <c:pt idx="118">
                  <c:v>12.944558521560575</c:v>
                </c:pt>
                <c:pt idx="119">
                  <c:v>13.240246406570842</c:v>
                </c:pt>
                <c:pt idx="120">
                  <c:v>13.240246406570842</c:v>
                </c:pt>
                <c:pt idx="121">
                  <c:v>13.470225872689939</c:v>
                </c:pt>
                <c:pt idx="122">
                  <c:v>13.470225872689939</c:v>
                </c:pt>
                <c:pt idx="123">
                  <c:v>13.634496919917865</c:v>
                </c:pt>
                <c:pt idx="124">
                  <c:v>13.634496919917865</c:v>
                </c:pt>
                <c:pt idx="125">
                  <c:v>13.700205338809035</c:v>
                </c:pt>
                <c:pt idx="126">
                  <c:v>13.700205338809035</c:v>
                </c:pt>
                <c:pt idx="127">
                  <c:v>13.798767967145791</c:v>
                </c:pt>
                <c:pt idx="128">
                  <c:v>13.798767967145791</c:v>
                </c:pt>
                <c:pt idx="129">
                  <c:v>13.995893223819301</c:v>
                </c:pt>
                <c:pt idx="130">
                  <c:v>13.995893223819301</c:v>
                </c:pt>
                <c:pt idx="131">
                  <c:v>14.324435318275153</c:v>
                </c:pt>
                <c:pt idx="132">
                  <c:v>14.324435318275153</c:v>
                </c:pt>
                <c:pt idx="133">
                  <c:v>14.390143737166325</c:v>
                </c:pt>
                <c:pt idx="134">
                  <c:v>14.390143737166325</c:v>
                </c:pt>
                <c:pt idx="135">
                  <c:v>14.652977412731007</c:v>
                </c:pt>
                <c:pt idx="136">
                  <c:v>14.652977412731007</c:v>
                </c:pt>
                <c:pt idx="137">
                  <c:v>14.718685831622176</c:v>
                </c:pt>
                <c:pt idx="138">
                  <c:v>14.718685831622176</c:v>
                </c:pt>
                <c:pt idx="139">
                  <c:v>14.751540041067761</c:v>
                </c:pt>
                <c:pt idx="140">
                  <c:v>14.751540041067761</c:v>
                </c:pt>
                <c:pt idx="141">
                  <c:v>14.948665297741274</c:v>
                </c:pt>
                <c:pt idx="142">
                  <c:v>14.948665297741274</c:v>
                </c:pt>
                <c:pt idx="143">
                  <c:v>14.981519507186858</c:v>
                </c:pt>
                <c:pt idx="144">
                  <c:v>14.981519507186858</c:v>
                </c:pt>
                <c:pt idx="145">
                  <c:v>15.112936344969199</c:v>
                </c:pt>
                <c:pt idx="146">
                  <c:v>15.112936344969199</c:v>
                </c:pt>
                <c:pt idx="147">
                  <c:v>15.277207392197125</c:v>
                </c:pt>
                <c:pt idx="148">
                  <c:v>15.277207392197125</c:v>
                </c:pt>
                <c:pt idx="149">
                  <c:v>15.474332648870636</c:v>
                </c:pt>
                <c:pt idx="150">
                  <c:v>15.474332648870636</c:v>
                </c:pt>
                <c:pt idx="151">
                  <c:v>15.540041067761807</c:v>
                </c:pt>
                <c:pt idx="152">
                  <c:v>15.540041067761807</c:v>
                </c:pt>
                <c:pt idx="153">
                  <c:v>15.605749486652977</c:v>
                </c:pt>
                <c:pt idx="154">
                  <c:v>15.605749486652977</c:v>
                </c:pt>
                <c:pt idx="155">
                  <c:v>15.638603696098563</c:v>
                </c:pt>
                <c:pt idx="156">
                  <c:v>15.638603696098563</c:v>
                </c:pt>
                <c:pt idx="157">
                  <c:v>15.802874743326489</c:v>
                </c:pt>
                <c:pt idx="158">
                  <c:v>15.802874743326489</c:v>
                </c:pt>
                <c:pt idx="159">
                  <c:v>15.967145790554415</c:v>
                </c:pt>
                <c:pt idx="160">
                  <c:v>15.967145790554415</c:v>
                </c:pt>
                <c:pt idx="161">
                  <c:v>16.098562628336754</c:v>
                </c:pt>
                <c:pt idx="162">
                  <c:v>16.098562628336754</c:v>
                </c:pt>
                <c:pt idx="163">
                  <c:v>16.131416837782339</c:v>
                </c:pt>
                <c:pt idx="164">
                  <c:v>16.131416837782339</c:v>
                </c:pt>
                <c:pt idx="165">
                  <c:v>16.262833675564682</c:v>
                </c:pt>
                <c:pt idx="166">
                  <c:v>16.262833675564682</c:v>
                </c:pt>
                <c:pt idx="167">
                  <c:v>16.361396303901437</c:v>
                </c:pt>
                <c:pt idx="168">
                  <c:v>16.361396303901437</c:v>
                </c:pt>
                <c:pt idx="169">
                  <c:v>16.427104722792606</c:v>
                </c:pt>
                <c:pt idx="170">
                  <c:v>16.427104722792606</c:v>
                </c:pt>
                <c:pt idx="171">
                  <c:v>16.492813141683779</c:v>
                </c:pt>
                <c:pt idx="172">
                  <c:v>16.492813141683779</c:v>
                </c:pt>
                <c:pt idx="173">
                  <c:v>16.525667351129364</c:v>
                </c:pt>
                <c:pt idx="174">
                  <c:v>16.525667351129364</c:v>
                </c:pt>
                <c:pt idx="175">
                  <c:v>16.558521560574949</c:v>
                </c:pt>
                <c:pt idx="176">
                  <c:v>16.558521560574949</c:v>
                </c:pt>
                <c:pt idx="177">
                  <c:v>16.919917864476385</c:v>
                </c:pt>
                <c:pt idx="178">
                  <c:v>16.919917864476385</c:v>
                </c:pt>
                <c:pt idx="179">
                  <c:v>17.018480492813143</c:v>
                </c:pt>
                <c:pt idx="180">
                  <c:v>17.018480492813143</c:v>
                </c:pt>
                <c:pt idx="181">
                  <c:v>17.248459958932237</c:v>
                </c:pt>
                <c:pt idx="182">
                  <c:v>17.248459958932237</c:v>
                </c:pt>
                <c:pt idx="183">
                  <c:v>17.37987679671458</c:v>
                </c:pt>
                <c:pt idx="184">
                  <c:v>17.37987679671458</c:v>
                </c:pt>
                <c:pt idx="185">
                  <c:v>17.412731006160165</c:v>
                </c:pt>
                <c:pt idx="186">
                  <c:v>17.412731006160165</c:v>
                </c:pt>
                <c:pt idx="187">
                  <c:v>17.511293634496919</c:v>
                </c:pt>
                <c:pt idx="188">
                  <c:v>17.511293634496919</c:v>
                </c:pt>
                <c:pt idx="189">
                  <c:v>17.577002053388089</c:v>
                </c:pt>
                <c:pt idx="190">
                  <c:v>17.577002053388089</c:v>
                </c:pt>
                <c:pt idx="191">
                  <c:v>17.609856262833677</c:v>
                </c:pt>
                <c:pt idx="192">
                  <c:v>17.609856262833677</c:v>
                </c:pt>
                <c:pt idx="193">
                  <c:v>17.642710472279262</c:v>
                </c:pt>
                <c:pt idx="194">
                  <c:v>17.642710472279262</c:v>
                </c:pt>
                <c:pt idx="195">
                  <c:v>17.741273100616016</c:v>
                </c:pt>
                <c:pt idx="196">
                  <c:v>17.741273100616016</c:v>
                </c:pt>
                <c:pt idx="197">
                  <c:v>17.806981519507186</c:v>
                </c:pt>
                <c:pt idx="198">
                  <c:v>17.806981519507186</c:v>
                </c:pt>
                <c:pt idx="199">
                  <c:v>17.872689938398356</c:v>
                </c:pt>
                <c:pt idx="200">
                  <c:v>17.872689938398356</c:v>
                </c:pt>
                <c:pt idx="201">
                  <c:v>17.905544147843944</c:v>
                </c:pt>
                <c:pt idx="202">
                  <c:v>17.905544147843944</c:v>
                </c:pt>
                <c:pt idx="203">
                  <c:v>17.971252566735114</c:v>
                </c:pt>
                <c:pt idx="204">
                  <c:v>17.971252566735114</c:v>
                </c:pt>
                <c:pt idx="205">
                  <c:v>18.004106776180699</c:v>
                </c:pt>
                <c:pt idx="206">
                  <c:v>18.004106776180699</c:v>
                </c:pt>
                <c:pt idx="207">
                  <c:v>18.069815195071868</c:v>
                </c:pt>
                <c:pt idx="208">
                  <c:v>18.069815195071868</c:v>
                </c:pt>
                <c:pt idx="209">
                  <c:v>18.135523613963038</c:v>
                </c:pt>
                <c:pt idx="210">
                  <c:v>18.135523613963038</c:v>
                </c:pt>
                <c:pt idx="211">
                  <c:v>18.201232032854211</c:v>
                </c:pt>
                <c:pt idx="212">
                  <c:v>18.201232032854211</c:v>
                </c:pt>
                <c:pt idx="213">
                  <c:v>18.299794661190965</c:v>
                </c:pt>
                <c:pt idx="214">
                  <c:v>18.299794661190965</c:v>
                </c:pt>
                <c:pt idx="215">
                  <c:v>18.365503080082135</c:v>
                </c:pt>
                <c:pt idx="216">
                  <c:v>18.365503080082135</c:v>
                </c:pt>
                <c:pt idx="217">
                  <c:v>18.496919917864478</c:v>
                </c:pt>
                <c:pt idx="218">
                  <c:v>18.496919917864478</c:v>
                </c:pt>
                <c:pt idx="219">
                  <c:v>18.529774127310063</c:v>
                </c:pt>
                <c:pt idx="220">
                  <c:v>18.529774127310063</c:v>
                </c:pt>
                <c:pt idx="221">
                  <c:v>18.759753593429156</c:v>
                </c:pt>
                <c:pt idx="222">
                  <c:v>18.759753593429156</c:v>
                </c:pt>
                <c:pt idx="223">
                  <c:v>18.82546201232033</c:v>
                </c:pt>
                <c:pt idx="224">
                  <c:v>18.82546201232033</c:v>
                </c:pt>
                <c:pt idx="225">
                  <c:v>18.891170431211499</c:v>
                </c:pt>
                <c:pt idx="226">
                  <c:v>18.891170431211499</c:v>
                </c:pt>
                <c:pt idx="227">
                  <c:v>18.956878850102669</c:v>
                </c:pt>
                <c:pt idx="228">
                  <c:v>18.956878850102669</c:v>
                </c:pt>
                <c:pt idx="229">
                  <c:v>18.989733059548254</c:v>
                </c:pt>
                <c:pt idx="230">
                  <c:v>18.989733059548254</c:v>
                </c:pt>
                <c:pt idx="231">
                  <c:v>19.022587268993838</c:v>
                </c:pt>
                <c:pt idx="232">
                  <c:v>19.022587268993838</c:v>
                </c:pt>
                <c:pt idx="233">
                  <c:v>19.252566735112936</c:v>
                </c:pt>
                <c:pt idx="234">
                  <c:v>19.252566735112936</c:v>
                </c:pt>
                <c:pt idx="235">
                  <c:v>19.515400410677618</c:v>
                </c:pt>
                <c:pt idx="236">
                  <c:v>19.515400410677618</c:v>
                </c:pt>
                <c:pt idx="237">
                  <c:v>19.548254620123203</c:v>
                </c:pt>
                <c:pt idx="238">
                  <c:v>19.548254620123203</c:v>
                </c:pt>
                <c:pt idx="239">
                  <c:v>19.646817248459961</c:v>
                </c:pt>
                <c:pt idx="240">
                  <c:v>19.646817248459961</c:v>
                </c:pt>
                <c:pt idx="241">
                  <c:v>19.71252566735113</c:v>
                </c:pt>
                <c:pt idx="242">
                  <c:v>19.71252566735113</c:v>
                </c:pt>
                <c:pt idx="243">
                  <c:v>20.106776180698152</c:v>
                </c:pt>
                <c:pt idx="244">
                  <c:v>20.106776180698152</c:v>
                </c:pt>
                <c:pt idx="245">
                  <c:v>20.435318275154003</c:v>
                </c:pt>
                <c:pt idx="246">
                  <c:v>20.435318275154003</c:v>
                </c:pt>
                <c:pt idx="247">
                  <c:v>20.501026694045173</c:v>
                </c:pt>
                <c:pt idx="248">
                  <c:v>20.501026694045173</c:v>
                </c:pt>
                <c:pt idx="249">
                  <c:v>20.6652977412731</c:v>
                </c:pt>
                <c:pt idx="250">
                  <c:v>20.6652977412731</c:v>
                </c:pt>
                <c:pt idx="251">
                  <c:v>20.763860369609855</c:v>
                </c:pt>
                <c:pt idx="252">
                  <c:v>20.763860369609855</c:v>
                </c:pt>
                <c:pt idx="253">
                  <c:v>20.928131416837783</c:v>
                </c:pt>
                <c:pt idx="254">
                  <c:v>20.928131416837783</c:v>
                </c:pt>
                <c:pt idx="255">
                  <c:v>21.223819301848049</c:v>
                </c:pt>
                <c:pt idx="256">
                  <c:v>21.223819301848049</c:v>
                </c:pt>
                <c:pt idx="257">
                  <c:v>21.289527720739219</c:v>
                </c:pt>
                <c:pt idx="258">
                  <c:v>21.289527720739219</c:v>
                </c:pt>
                <c:pt idx="259">
                  <c:v>21.355236139630389</c:v>
                </c:pt>
                <c:pt idx="260">
                  <c:v>21.355236139630389</c:v>
                </c:pt>
                <c:pt idx="261">
                  <c:v>21.749486652977414</c:v>
                </c:pt>
                <c:pt idx="262">
                  <c:v>21.749486652977414</c:v>
                </c:pt>
                <c:pt idx="263">
                  <c:v>22.012320328542096</c:v>
                </c:pt>
                <c:pt idx="264">
                  <c:v>22.012320328542096</c:v>
                </c:pt>
                <c:pt idx="265">
                  <c:v>22.17659137577002</c:v>
                </c:pt>
                <c:pt idx="266">
                  <c:v>22.17659137577002</c:v>
                </c:pt>
                <c:pt idx="267">
                  <c:v>22.308008213552363</c:v>
                </c:pt>
                <c:pt idx="268">
                  <c:v>22.308008213552363</c:v>
                </c:pt>
                <c:pt idx="269">
                  <c:v>22.570841889117045</c:v>
                </c:pt>
                <c:pt idx="270">
                  <c:v>22.570841889117045</c:v>
                </c:pt>
                <c:pt idx="271">
                  <c:v>22.932238193018481</c:v>
                </c:pt>
                <c:pt idx="272">
                  <c:v>22.932238193018481</c:v>
                </c:pt>
                <c:pt idx="273">
                  <c:v>23.227926078028748</c:v>
                </c:pt>
                <c:pt idx="274">
                  <c:v>23.227926078028748</c:v>
                </c:pt>
                <c:pt idx="275">
                  <c:v>23.392197125256672</c:v>
                </c:pt>
                <c:pt idx="276">
                  <c:v>23.392197125256672</c:v>
                </c:pt>
                <c:pt idx="277">
                  <c:v>23.457905544147845</c:v>
                </c:pt>
                <c:pt idx="278">
                  <c:v>23.457905544147845</c:v>
                </c:pt>
                <c:pt idx="279">
                  <c:v>23.720739219712527</c:v>
                </c:pt>
                <c:pt idx="280">
                  <c:v>23.720739219712527</c:v>
                </c:pt>
                <c:pt idx="281">
                  <c:v>23.885010266940451</c:v>
                </c:pt>
                <c:pt idx="282">
                  <c:v>23.885010266940451</c:v>
                </c:pt>
                <c:pt idx="283">
                  <c:v>23.950718685831621</c:v>
                </c:pt>
                <c:pt idx="284">
                  <c:v>23.950718685831621</c:v>
                </c:pt>
                <c:pt idx="285">
                  <c:v>23.983572895277206</c:v>
                </c:pt>
                <c:pt idx="286">
                  <c:v>23.983572895277206</c:v>
                </c:pt>
                <c:pt idx="287">
                  <c:v>24.016427104722794</c:v>
                </c:pt>
                <c:pt idx="288">
                  <c:v>24.016427104722794</c:v>
                </c:pt>
                <c:pt idx="289">
                  <c:v>24.049281314168379</c:v>
                </c:pt>
                <c:pt idx="290">
                  <c:v>24.049281314168379</c:v>
                </c:pt>
                <c:pt idx="291">
                  <c:v>24.377823408624231</c:v>
                </c:pt>
                <c:pt idx="292">
                  <c:v>24.377823408624231</c:v>
                </c:pt>
                <c:pt idx="293">
                  <c:v>24.476386036960985</c:v>
                </c:pt>
                <c:pt idx="294">
                  <c:v>24.476386036960985</c:v>
                </c:pt>
                <c:pt idx="295">
                  <c:v>24.542094455852155</c:v>
                </c:pt>
                <c:pt idx="296">
                  <c:v>24.542094455852155</c:v>
                </c:pt>
                <c:pt idx="297">
                  <c:v>24.57494866529774</c:v>
                </c:pt>
                <c:pt idx="298">
                  <c:v>24.57494866529774</c:v>
                </c:pt>
                <c:pt idx="299">
                  <c:v>24.772073921971252</c:v>
                </c:pt>
                <c:pt idx="300">
                  <c:v>24.772073921971252</c:v>
                </c:pt>
                <c:pt idx="301">
                  <c:v>24.804928131416837</c:v>
                </c:pt>
                <c:pt idx="302">
                  <c:v>24.804928131416837</c:v>
                </c:pt>
                <c:pt idx="303">
                  <c:v>25.034907597535934</c:v>
                </c:pt>
                <c:pt idx="304">
                  <c:v>25.034907597535934</c:v>
                </c:pt>
                <c:pt idx="305">
                  <c:v>25.264887063655031</c:v>
                </c:pt>
                <c:pt idx="306">
                  <c:v>25.264887063655031</c:v>
                </c:pt>
                <c:pt idx="307">
                  <c:v>25.363449691991786</c:v>
                </c:pt>
                <c:pt idx="308">
                  <c:v>25.363449691991786</c:v>
                </c:pt>
                <c:pt idx="309">
                  <c:v>25.494866529774129</c:v>
                </c:pt>
                <c:pt idx="310">
                  <c:v>25.494866529774129</c:v>
                </c:pt>
                <c:pt idx="311">
                  <c:v>25.757700205338811</c:v>
                </c:pt>
                <c:pt idx="312">
                  <c:v>25.757700205338811</c:v>
                </c:pt>
                <c:pt idx="313">
                  <c:v>25.95482546201232</c:v>
                </c:pt>
                <c:pt idx="314">
                  <c:v>25.95482546201232</c:v>
                </c:pt>
                <c:pt idx="315">
                  <c:v>26.119096509240247</c:v>
                </c:pt>
                <c:pt idx="316">
                  <c:v>26.119096509240247</c:v>
                </c:pt>
                <c:pt idx="317">
                  <c:v>26.184804928131417</c:v>
                </c:pt>
                <c:pt idx="318">
                  <c:v>26.184804928131417</c:v>
                </c:pt>
                <c:pt idx="319">
                  <c:v>26.250513347022586</c:v>
                </c:pt>
                <c:pt idx="320">
                  <c:v>26.250513347022586</c:v>
                </c:pt>
                <c:pt idx="321">
                  <c:v>26.316221765913756</c:v>
                </c:pt>
                <c:pt idx="322">
                  <c:v>26.316221765913756</c:v>
                </c:pt>
                <c:pt idx="323">
                  <c:v>26.447638603696099</c:v>
                </c:pt>
                <c:pt idx="324">
                  <c:v>26.447638603696099</c:v>
                </c:pt>
                <c:pt idx="325">
                  <c:v>26.90759753593429</c:v>
                </c:pt>
                <c:pt idx="326">
                  <c:v>26.90759753593429</c:v>
                </c:pt>
                <c:pt idx="327">
                  <c:v>27.170431211498972</c:v>
                </c:pt>
                <c:pt idx="328">
                  <c:v>27.170431211498972</c:v>
                </c:pt>
                <c:pt idx="329">
                  <c:v>27.466119096509239</c:v>
                </c:pt>
                <c:pt idx="330">
                  <c:v>27.466119096509239</c:v>
                </c:pt>
                <c:pt idx="331">
                  <c:v>27.531827515400412</c:v>
                </c:pt>
                <c:pt idx="332">
                  <c:v>27.531827515400412</c:v>
                </c:pt>
                <c:pt idx="333">
                  <c:v>27.663244353182751</c:v>
                </c:pt>
                <c:pt idx="334">
                  <c:v>27.663244353182751</c:v>
                </c:pt>
                <c:pt idx="335">
                  <c:v>28.090349075975361</c:v>
                </c:pt>
                <c:pt idx="336">
                  <c:v>28.090349075975361</c:v>
                </c:pt>
                <c:pt idx="337">
                  <c:v>28.156057494866531</c:v>
                </c:pt>
                <c:pt idx="338">
                  <c:v>28.156057494866531</c:v>
                </c:pt>
                <c:pt idx="339">
                  <c:v>28.2217659137577</c:v>
                </c:pt>
                <c:pt idx="340">
                  <c:v>28.2217659137577</c:v>
                </c:pt>
                <c:pt idx="341">
                  <c:v>28.28747433264887</c:v>
                </c:pt>
                <c:pt idx="342">
                  <c:v>28.28747433264887</c:v>
                </c:pt>
                <c:pt idx="343">
                  <c:v>28.418891170431213</c:v>
                </c:pt>
                <c:pt idx="344">
                  <c:v>28.418891170431213</c:v>
                </c:pt>
                <c:pt idx="345">
                  <c:v>28.451745379876797</c:v>
                </c:pt>
                <c:pt idx="346">
                  <c:v>28.451745379876797</c:v>
                </c:pt>
                <c:pt idx="347">
                  <c:v>28.484599589322382</c:v>
                </c:pt>
                <c:pt idx="348">
                  <c:v>28.484599589322382</c:v>
                </c:pt>
                <c:pt idx="349">
                  <c:v>28.780287474332649</c:v>
                </c:pt>
                <c:pt idx="350">
                  <c:v>28.780287474332649</c:v>
                </c:pt>
                <c:pt idx="351">
                  <c:v>29.010266940451746</c:v>
                </c:pt>
                <c:pt idx="352">
                  <c:v>29.010266940451746</c:v>
                </c:pt>
                <c:pt idx="353">
                  <c:v>29.207392197125255</c:v>
                </c:pt>
                <c:pt idx="354">
                  <c:v>29.207392197125255</c:v>
                </c:pt>
                <c:pt idx="355">
                  <c:v>29.240246406570844</c:v>
                </c:pt>
                <c:pt idx="356">
                  <c:v>29.240246406570844</c:v>
                </c:pt>
                <c:pt idx="357">
                  <c:v>29.273100616016428</c:v>
                </c:pt>
                <c:pt idx="358">
                  <c:v>29.273100616016428</c:v>
                </c:pt>
                <c:pt idx="359">
                  <c:v>29.338809034907598</c:v>
                </c:pt>
                <c:pt idx="360">
                  <c:v>29.338809034907598</c:v>
                </c:pt>
                <c:pt idx="361">
                  <c:v>30.160164271047229</c:v>
                </c:pt>
                <c:pt idx="362">
                  <c:v>30.160164271047229</c:v>
                </c:pt>
                <c:pt idx="363">
                  <c:v>31.04722792607803</c:v>
                </c:pt>
                <c:pt idx="364">
                  <c:v>31.04722792607803</c:v>
                </c:pt>
                <c:pt idx="365">
                  <c:v>31.408624229979466</c:v>
                </c:pt>
                <c:pt idx="366">
                  <c:v>31.408624229979466</c:v>
                </c:pt>
                <c:pt idx="367">
                  <c:v>31.507186858316221</c:v>
                </c:pt>
                <c:pt idx="368">
                  <c:v>31.507186858316221</c:v>
                </c:pt>
                <c:pt idx="369">
                  <c:v>31.540041067761805</c:v>
                </c:pt>
                <c:pt idx="370">
                  <c:v>31.540041067761805</c:v>
                </c:pt>
                <c:pt idx="371">
                  <c:v>31.671457905544148</c:v>
                </c:pt>
                <c:pt idx="372">
                  <c:v>31.671457905544148</c:v>
                </c:pt>
                <c:pt idx="373">
                  <c:v>32.229979466119097</c:v>
                </c:pt>
                <c:pt idx="374">
                  <c:v>32.229979466119097</c:v>
                </c:pt>
                <c:pt idx="375">
                  <c:v>32.262833675564679</c:v>
                </c:pt>
                <c:pt idx="376">
                  <c:v>32.262833675564679</c:v>
                </c:pt>
                <c:pt idx="377">
                  <c:v>32.295687885010267</c:v>
                </c:pt>
                <c:pt idx="378">
                  <c:v>32.295687885010267</c:v>
                </c:pt>
                <c:pt idx="379">
                  <c:v>32.558521560574945</c:v>
                </c:pt>
                <c:pt idx="380">
                  <c:v>32.558521560574945</c:v>
                </c:pt>
                <c:pt idx="381">
                  <c:v>32.919917864476389</c:v>
                </c:pt>
                <c:pt idx="382">
                  <c:v>32.919917864476389</c:v>
                </c:pt>
                <c:pt idx="383">
                  <c:v>34.036960985626287</c:v>
                </c:pt>
                <c:pt idx="384">
                  <c:v>34.036960985626287</c:v>
                </c:pt>
                <c:pt idx="385">
                  <c:v>34.266940451745377</c:v>
                </c:pt>
                <c:pt idx="386">
                  <c:v>34.266940451745377</c:v>
                </c:pt>
                <c:pt idx="387">
                  <c:v>34.792607802874741</c:v>
                </c:pt>
                <c:pt idx="388">
                  <c:v>34.792607802874741</c:v>
                </c:pt>
                <c:pt idx="389">
                  <c:v>35.482546201232033</c:v>
                </c:pt>
                <c:pt idx="390">
                  <c:v>35.482546201232033</c:v>
                </c:pt>
                <c:pt idx="391">
                  <c:v>35.811088295687888</c:v>
                </c:pt>
                <c:pt idx="392">
                  <c:v>35.811088295687888</c:v>
                </c:pt>
                <c:pt idx="393">
                  <c:v>35.909650924024639</c:v>
                </c:pt>
                <c:pt idx="394">
                  <c:v>35.909650924024639</c:v>
                </c:pt>
                <c:pt idx="395">
                  <c:v>35.942505133470227</c:v>
                </c:pt>
                <c:pt idx="396">
                  <c:v>35.942505133470227</c:v>
                </c:pt>
                <c:pt idx="397">
                  <c:v>36.303901437371664</c:v>
                </c:pt>
                <c:pt idx="398">
                  <c:v>36.303901437371664</c:v>
                </c:pt>
                <c:pt idx="399">
                  <c:v>36.402464065708422</c:v>
                </c:pt>
                <c:pt idx="400">
                  <c:v>36.402464065708422</c:v>
                </c:pt>
                <c:pt idx="401">
                  <c:v>36.79671457905544</c:v>
                </c:pt>
                <c:pt idx="402">
                  <c:v>36.79671457905544</c:v>
                </c:pt>
                <c:pt idx="403">
                  <c:v>37.453798767967143</c:v>
                </c:pt>
                <c:pt idx="404">
                  <c:v>37.453798767967143</c:v>
                </c:pt>
                <c:pt idx="405">
                  <c:v>37.650924024640659</c:v>
                </c:pt>
                <c:pt idx="406">
                  <c:v>37.650924024640659</c:v>
                </c:pt>
                <c:pt idx="407">
                  <c:v>37.782340862422998</c:v>
                </c:pt>
                <c:pt idx="408">
                  <c:v>37.782340862422998</c:v>
                </c:pt>
                <c:pt idx="409">
                  <c:v>38.012320328542096</c:v>
                </c:pt>
                <c:pt idx="410">
                  <c:v>38.012320328542096</c:v>
                </c:pt>
                <c:pt idx="411">
                  <c:v>38.176591375770023</c:v>
                </c:pt>
                <c:pt idx="412">
                  <c:v>38.176591375770023</c:v>
                </c:pt>
                <c:pt idx="413">
                  <c:v>38.242299794661193</c:v>
                </c:pt>
                <c:pt idx="414">
                  <c:v>38.242299794661193</c:v>
                </c:pt>
                <c:pt idx="415">
                  <c:v>38.439425051334702</c:v>
                </c:pt>
                <c:pt idx="416">
                  <c:v>38.439425051334702</c:v>
                </c:pt>
                <c:pt idx="417">
                  <c:v>38.570841889117041</c:v>
                </c:pt>
                <c:pt idx="418">
                  <c:v>38.570841889117041</c:v>
                </c:pt>
                <c:pt idx="419">
                  <c:v>38.866529774127308</c:v>
                </c:pt>
                <c:pt idx="420">
                  <c:v>38.866529774127308</c:v>
                </c:pt>
                <c:pt idx="421">
                  <c:v>39.162217659137575</c:v>
                </c:pt>
                <c:pt idx="422">
                  <c:v>39.162217659137575</c:v>
                </c:pt>
                <c:pt idx="423">
                  <c:v>39.195071868583163</c:v>
                </c:pt>
                <c:pt idx="424">
                  <c:v>39.195071868583163</c:v>
                </c:pt>
                <c:pt idx="425">
                  <c:v>39.655030800821358</c:v>
                </c:pt>
                <c:pt idx="426">
                  <c:v>39.655030800821358</c:v>
                </c:pt>
                <c:pt idx="427">
                  <c:v>40.016427104722794</c:v>
                </c:pt>
                <c:pt idx="428">
                  <c:v>40.016427104722794</c:v>
                </c:pt>
                <c:pt idx="429">
                  <c:v>40.049281314168375</c:v>
                </c:pt>
                <c:pt idx="430">
                  <c:v>40.049281314168375</c:v>
                </c:pt>
                <c:pt idx="431">
                  <c:v>40.246406570841891</c:v>
                </c:pt>
                <c:pt idx="432">
                  <c:v>40.246406570841891</c:v>
                </c:pt>
                <c:pt idx="433">
                  <c:v>40.936344969199176</c:v>
                </c:pt>
                <c:pt idx="434">
                  <c:v>40.936344969199176</c:v>
                </c:pt>
                <c:pt idx="435">
                  <c:v>41.166324435318273</c:v>
                </c:pt>
                <c:pt idx="436">
                  <c:v>41.166324435318273</c:v>
                </c:pt>
                <c:pt idx="437">
                  <c:v>42.020533880903493</c:v>
                </c:pt>
                <c:pt idx="438">
                  <c:v>42.020533880903493</c:v>
                </c:pt>
                <c:pt idx="439">
                  <c:v>42.053388090349074</c:v>
                </c:pt>
                <c:pt idx="440">
                  <c:v>42.053388090349074</c:v>
                </c:pt>
                <c:pt idx="441">
                  <c:v>42.579055441478438</c:v>
                </c:pt>
                <c:pt idx="442">
                  <c:v>42.579055441478438</c:v>
                </c:pt>
                <c:pt idx="443">
                  <c:v>42.907597535934293</c:v>
                </c:pt>
                <c:pt idx="444">
                  <c:v>42.907597535934293</c:v>
                </c:pt>
                <c:pt idx="445">
                  <c:v>43.663244353182755</c:v>
                </c:pt>
                <c:pt idx="446">
                  <c:v>43.663244353182755</c:v>
                </c:pt>
                <c:pt idx="447">
                  <c:v>43.926078028747433</c:v>
                </c:pt>
                <c:pt idx="448">
                  <c:v>43.926078028747433</c:v>
                </c:pt>
                <c:pt idx="449">
                  <c:v>44.123203285420942</c:v>
                </c:pt>
                <c:pt idx="450">
                  <c:v>44.123203285420942</c:v>
                </c:pt>
                <c:pt idx="451">
                  <c:v>44.418891170431209</c:v>
                </c:pt>
                <c:pt idx="452">
                  <c:v>44.418891170431209</c:v>
                </c:pt>
                <c:pt idx="453">
                  <c:v>44.780287474332646</c:v>
                </c:pt>
                <c:pt idx="454">
                  <c:v>44.780287474332646</c:v>
                </c:pt>
                <c:pt idx="455">
                  <c:v>44.878850102669404</c:v>
                </c:pt>
                <c:pt idx="456">
                  <c:v>44.878850102669404</c:v>
                </c:pt>
                <c:pt idx="457">
                  <c:v>45.043121149897331</c:v>
                </c:pt>
                <c:pt idx="458">
                  <c:v>45.043121149897331</c:v>
                </c:pt>
                <c:pt idx="459">
                  <c:v>45.568788501026695</c:v>
                </c:pt>
                <c:pt idx="460">
                  <c:v>45.568788501026695</c:v>
                </c:pt>
                <c:pt idx="461">
                  <c:v>45.601642710472277</c:v>
                </c:pt>
                <c:pt idx="462">
                  <c:v>45.601642710472277</c:v>
                </c:pt>
                <c:pt idx="463">
                  <c:v>46.652977412731005</c:v>
                </c:pt>
                <c:pt idx="464">
                  <c:v>46.652977412731005</c:v>
                </c:pt>
                <c:pt idx="465">
                  <c:v>47.605749486652975</c:v>
                </c:pt>
                <c:pt idx="466">
                  <c:v>47.605749486652975</c:v>
                </c:pt>
                <c:pt idx="467">
                  <c:v>47.93429158110883</c:v>
                </c:pt>
                <c:pt idx="468">
                  <c:v>47.93429158110883</c:v>
                </c:pt>
                <c:pt idx="469">
                  <c:v>47.967145790554412</c:v>
                </c:pt>
                <c:pt idx="470">
                  <c:v>47.967145790554412</c:v>
                </c:pt>
                <c:pt idx="471">
                  <c:v>48.06570841889117</c:v>
                </c:pt>
                <c:pt idx="472">
                  <c:v>48.06570841889117</c:v>
                </c:pt>
                <c:pt idx="473">
                  <c:v>48.657084188911703</c:v>
                </c:pt>
                <c:pt idx="474">
                  <c:v>48.657084188911703</c:v>
                </c:pt>
                <c:pt idx="475">
                  <c:v>49.051334702258728</c:v>
                </c:pt>
                <c:pt idx="476">
                  <c:v>49.051334702258728</c:v>
                </c:pt>
                <c:pt idx="477">
                  <c:v>49.347022587268995</c:v>
                </c:pt>
                <c:pt idx="478">
                  <c:v>49.347022587268995</c:v>
                </c:pt>
                <c:pt idx="479">
                  <c:v>49.97125256673511</c:v>
                </c:pt>
                <c:pt idx="480">
                  <c:v>49.97125256673511</c:v>
                </c:pt>
                <c:pt idx="481">
                  <c:v>50.102669404517457</c:v>
                </c:pt>
                <c:pt idx="482">
                  <c:v>50.102669404517457</c:v>
                </c:pt>
                <c:pt idx="483">
                  <c:v>50.201232032854207</c:v>
                </c:pt>
                <c:pt idx="484">
                  <c:v>50.201232032854207</c:v>
                </c:pt>
                <c:pt idx="485">
                  <c:v>52.139630390143736</c:v>
                </c:pt>
                <c:pt idx="486">
                  <c:v>52.139630390143736</c:v>
                </c:pt>
                <c:pt idx="487">
                  <c:v>52.205338809034906</c:v>
                </c:pt>
                <c:pt idx="488">
                  <c:v>52.205338809034906</c:v>
                </c:pt>
                <c:pt idx="489">
                  <c:v>52.599589322381931</c:v>
                </c:pt>
                <c:pt idx="490">
                  <c:v>52.599589322381931</c:v>
                </c:pt>
                <c:pt idx="491">
                  <c:v>53.913757700205338</c:v>
                </c:pt>
                <c:pt idx="492">
                  <c:v>53.913757700205338</c:v>
                </c:pt>
                <c:pt idx="493">
                  <c:v>55.030800821355236</c:v>
                </c:pt>
                <c:pt idx="494">
                  <c:v>55.030800821355236</c:v>
                </c:pt>
                <c:pt idx="495">
                  <c:v>55.162217659137575</c:v>
                </c:pt>
                <c:pt idx="496">
                  <c:v>55.162217659137575</c:v>
                </c:pt>
                <c:pt idx="497">
                  <c:v>55.326488706365502</c:v>
                </c:pt>
                <c:pt idx="498">
                  <c:v>55.326488706365502</c:v>
                </c:pt>
                <c:pt idx="499">
                  <c:v>55.885010266940455</c:v>
                </c:pt>
                <c:pt idx="500">
                  <c:v>55.885010266940455</c:v>
                </c:pt>
                <c:pt idx="501">
                  <c:v>56.837782340862425</c:v>
                </c:pt>
                <c:pt idx="502">
                  <c:v>56.837782340862425</c:v>
                </c:pt>
                <c:pt idx="503">
                  <c:v>57.593429158110879</c:v>
                </c:pt>
                <c:pt idx="504">
                  <c:v>57.593429158110879</c:v>
                </c:pt>
                <c:pt idx="505">
                  <c:v>57.921971252566735</c:v>
                </c:pt>
                <c:pt idx="506">
                  <c:v>57.921971252566735</c:v>
                </c:pt>
                <c:pt idx="507">
                  <c:v>59.3347022587269</c:v>
                </c:pt>
                <c:pt idx="508">
                  <c:v>59.3347022587269</c:v>
                </c:pt>
                <c:pt idx="509">
                  <c:v>59.367556468172488</c:v>
                </c:pt>
                <c:pt idx="510">
                  <c:v>59.367556468172488</c:v>
                </c:pt>
                <c:pt idx="511">
                  <c:v>59.597535934291578</c:v>
                </c:pt>
                <c:pt idx="512">
                  <c:v>59.597535934291578</c:v>
                </c:pt>
                <c:pt idx="513">
                  <c:v>63.014373716632441</c:v>
                </c:pt>
                <c:pt idx="514">
                  <c:v>63.014373716632441</c:v>
                </c:pt>
                <c:pt idx="515">
                  <c:v>64.887063655030801</c:v>
                </c:pt>
                <c:pt idx="516">
                  <c:v>64.887063655030801</c:v>
                </c:pt>
                <c:pt idx="517">
                  <c:v>64.952772073921977</c:v>
                </c:pt>
                <c:pt idx="518">
                  <c:v>64.952772073921977</c:v>
                </c:pt>
                <c:pt idx="519">
                  <c:v>65.347022587268995</c:v>
                </c:pt>
                <c:pt idx="520">
                  <c:v>65.347022587268995</c:v>
                </c:pt>
                <c:pt idx="521">
                  <c:v>65.379876796714584</c:v>
                </c:pt>
                <c:pt idx="522">
                  <c:v>65.379876796714584</c:v>
                </c:pt>
                <c:pt idx="523">
                  <c:v>66.201232032854207</c:v>
                </c:pt>
                <c:pt idx="524">
                  <c:v>66.201232032854207</c:v>
                </c:pt>
                <c:pt idx="525">
                  <c:v>66.299794661190958</c:v>
                </c:pt>
                <c:pt idx="526">
                  <c:v>66.299794661190958</c:v>
                </c:pt>
                <c:pt idx="527">
                  <c:v>66.69404517453799</c:v>
                </c:pt>
                <c:pt idx="528">
                  <c:v>66.69404517453799</c:v>
                </c:pt>
                <c:pt idx="529">
                  <c:v>66.82546201232033</c:v>
                </c:pt>
                <c:pt idx="530">
                  <c:v>66.82546201232033</c:v>
                </c:pt>
                <c:pt idx="531">
                  <c:v>66.989733059548257</c:v>
                </c:pt>
                <c:pt idx="532">
                  <c:v>66.989733059548257</c:v>
                </c:pt>
                <c:pt idx="533">
                  <c:v>68.763860369609858</c:v>
                </c:pt>
                <c:pt idx="534">
                  <c:v>68.763860369609858</c:v>
                </c:pt>
                <c:pt idx="535">
                  <c:v>75.104722792607802</c:v>
                </c:pt>
                <c:pt idx="536">
                  <c:v>75.104722792607802</c:v>
                </c:pt>
                <c:pt idx="537">
                  <c:v>77.930184804928132</c:v>
                </c:pt>
                <c:pt idx="538">
                  <c:v>77.930184804928132</c:v>
                </c:pt>
                <c:pt idx="539">
                  <c:v>80.689938398357285</c:v>
                </c:pt>
                <c:pt idx="540">
                  <c:v>80.689938398357285</c:v>
                </c:pt>
                <c:pt idx="541">
                  <c:v>87.359342915811084</c:v>
                </c:pt>
              </c:numCache>
            </c:numRef>
          </c:xVal>
          <c:yVal>
            <c:numRef>
              <c:f>Data!$N$6:$N$547</c:f>
              <c:numCache>
                <c:formatCode>0.0000</c:formatCode>
                <c:ptCount val="542"/>
                <c:pt idx="0">
                  <c:v>1</c:v>
                </c:pt>
                <c:pt idx="1">
                  <c:v>1</c:v>
                </c:pt>
                <c:pt idx="2">
                  <c:v>0.99851190476190477</c:v>
                </c:pt>
                <c:pt idx="3">
                  <c:v>0.99851190476190477</c:v>
                </c:pt>
                <c:pt idx="4">
                  <c:v>0.99702380952380953</c:v>
                </c:pt>
                <c:pt idx="5">
                  <c:v>0.99702380952380953</c:v>
                </c:pt>
                <c:pt idx="6">
                  <c:v>0.9955357142857143</c:v>
                </c:pt>
                <c:pt idx="7">
                  <c:v>0.9955357142857143</c:v>
                </c:pt>
                <c:pt idx="8">
                  <c:v>0.99404539136013692</c:v>
                </c:pt>
                <c:pt idx="9">
                  <c:v>0.99404539136013692</c:v>
                </c:pt>
                <c:pt idx="10">
                  <c:v>0.99255283071244904</c:v>
                </c:pt>
                <c:pt idx="11">
                  <c:v>0.99255283071244904</c:v>
                </c:pt>
                <c:pt idx="12">
                  <c:v>0.99105802223246042</c:v>
                </c:pt>
                <c:pt idx="13">
                  <c:v>0.99105802223246042</c:v>
                </c:pt>
                <c:pt idx="14">
                  <c:v>0.9895632137524718</c:v>
                </c:pt>
                <c:pt idx="15">
                  <c:v>0.9895632137524718</c:v>
                </c:pt>
                <c:pt idx="16">
                  <c:v>0.98806840527248319</c:v>
                </c:pt>
                <c:pt idx="17">
                  <c:v>0.98806840527248319</c:v>
                </c:pt>
                <c:pt idx="18">
                  <c:v>0.98657359679249457</c:v>
                </c:pt>
                <c:pt idx="19">
                  <c:v>0.98657359679249457</c:v>
                </c:pt>
                <c:pt idx="20">
                  <c:v>0.98358397983251733</c:v>
                </c:pt>
                <c:pt idx="21">
                  <c:v>0.98358397983251733</c:v>
                </c:pt>
                <c:pt idx="22">
                  <c:v>0.98208689614936273</c:v>
                </c:pt>
                <c:pt idx="23">
                  <c:v>0.98208689614936273</c:v>
                </c:pt>
                <c:pt idx="24">
                  <c:v>0.98058981246620824</c:v>
                </c:pt>
                <c:pt idx="25">
                  <c:v>0.98058981246620824</c:v>
                </c:pt>
                <c:pt idx="26">
                  <c:v>0.97909272878305376</c:v>
                </c:pt>
                <c:pt idx="27">
                  <c:v>0.97909272878305376</c:v>
                </c:pt>
                <c:pt idx="28">
                  <c:v>0.97759335247557588</c:v>
                </c:pt>
                <c:pt idx="29">
                  <c:v>0.97759335247557588</c:v>
                </c:pt>
                <c:pt idx="30">
                  <c:v>0.97609397616809801</c:v>
                </c:pt>
                <c:pt idx="31">
                  <c:v>0.97609397616809801</c:v>
                </c:pt>
                <c:pt idx="32">
                  <c:v>0.97459229312783946</c:v>
                </c:pt>
                <c:pt idx="33">
                  <c:v>0.97459229312783946</c:v>
                </c:pt>
                <c:pt idx="34">
                  <c:v>0.97308829267548169</c:v>
                </c:pt>
                <c:pt idx="35">
                  <c:v>0.97308829267548169</c:v>
                </c:pt>
                <c:pt idx="36">
                  <c:v>0.97158429222312392</c:v>
                </c:pt>
                <c:pt idx="37">
                  <c:v>0.97158429222312392</c:v>
                </c:pt>
                <c:pt idx="38">
                  <c:v>0.9700779599871191</c:v>
                </c:pt>
                <c:pt idx="39">
                  <c:v>0.9700779599871191</c:v>
                </c:pt>
                <c:pt idx="40">
                  <c:v>0.96857162775111427</c:v>
                </c:pt>
                <c:pt idx="41">
                  <c:v>0.96857162775111427</c:v>
                </c:pt>
                <c:pt idx="42">
                  <c:v>0.96706529551510945</c:v>
                </c:pt>
                <c:pt idx="43">
                  <c:v>0.96706529551510945</c:v>
                </c:pt>
                <c:pt idx="44">
                  <c:v>0.96555896327910462</c:v>
                </c:pt>
                <c:pt idx="45">
                  <c:v>0.96555896327910462</c:v>
                </c:pt>
                <c:pt idx="46">
                  <c:v>0.96405263104309979</c:v>
                </c:pt>
                <c:pt idx="47">
                  <c:v>0.96405263104309979</c:v>
                </c:pt>
                <c:pt idx="48">
                  <c:v>0.96254629880709497</c:v>
                </c:pt>
                <c:pt idx="49">
                  <c:v>0.96254629880709497</c:v>
                </c:pt>
                <c:pt idx="50">
                  <c:v>0.96103996657109014</c:v>
                </c:pt>
                <c:pt idx="51">
                  <c:v>0.96103996657109014</c:v>
                </c:pt>
                <c:pt idx="52">
                  <c:v>0.95802730209908049</c:v>
                </c:pt>
                <c:pt idx="53">
                  <c:v>0.95802730209908049</c:v>
                </c:pt>
                <c:pt idx="54">
                  <c:v>0.95651859768632597</c:v>
                </c:pt>
                <c:pt idx="55">
                  <c:v>0.95651859768632597</c:v>
                </c:pt>
                <c:pt idx="56">
                  <c:v>0.95349642202223017</c:v>
                </c:pt>
                <c:pt idx="57">
                  <c:v>0.95349642202223017</c:v>
                </c:pt>
                <c:pt idx="58">
                  <c:v>0.95047424635813438</c:v>
                </c:pt>
                <c:pt idx="59">
                  <c:v>0.95047424635813438</c:v>
                </c:pt>
                <c:pt idx="60">
                  <c:v>0.94896315852608648</c:v>
                </c:pt>
                <c:pt idx="61">
                  <c:v>0.94896315852608648</c:v>
                </c:pt>
                <c:pt idx="62">
                  <c:v>0.94745207069403847</c:v>
                </c:pt>
                <c:pt idx="63">
                  <c:v>0.94745207069403847</c:v>
                </c:pt>
                <c:pt idx="64">
                  <c:v>0.94594098286199058</c:v>
                </c:pt>
                <c:pt idx="65">
                  <c:v>0.94594098286199058</c:v>
                </c:pt>
                <c:pt idx="66">
                  <c:v>0.94442747728941134</c:v>
                </c:pt>
                <c:pt idx="67">
                  <c:v>0.94442747728941134</c:v>
                </c:pt>
                <c:pt idx="68">
                  <c:v>0.94291397171683211</c:v>
                </c:pt>
                <c:pt idx="69">
                  <c:v>0.94291397171683211</c:v>
                </c:pt>
                <c:pt idx="70">
                  <c:v>0.93988696057167376</c:v>
                </c:pt>
                <c:pt idx="71">
                  <c:v>0.93988696057167376</c:v>
                </c:pt>
                <c:pt idx="72">
                  <c:v>0.93837101386107435</c:v>
                </c:pt>
                <c:pt idx="73">
                  <c:v>0.93837101386107435</c:v>
                </c:pt>
                <c:pt idx="74">
                  <c:v>0.9368501532227258</c:v>
                </c:pt>
                <c:pt idx="75">
                  <c:v>0.9368501532227258</c:v>
                </c:pt>
                <c:pt idx="76">
                  <c:v>0.93532929258437725</c:v>
                </c:pt>
                <c:pt idx="77">
                  <c:v>0.93532929258437725</c:v>
                </c:pt>
                <c:pt idx="78">
                  <c:v>0.93076671066933148</c:v>
                </c:pt>
                <c:pt idx="79">
                  <c:v>0.93076671066933148</c:v>
                </c:pt>
                <c:pt idx="80">
                  <c:v>0.92924585003098292</c:v>
                </c:pt>
                <c:pt idx="81">
                  <c:v>0.92924585003098292</c:v>
                </c:pt>
                <c:pt idx="82">
                  <c:v>0.92772498939263437</c:v>
                </c:pt>
                <c:pt idx="83">
                  <c:v>0.92772498939263437</c:v>
                </c:pt>
                <c:pt idx="84">
                  <c:v>0.92620412875428582</c:v>
                </c:pt>
                <c:pt idx="85">
                  <c:v>0.92620412875428582</c:v>
                </c:pt>
                <c:pt idx="86">
                  <c:v>0.92468326811593726</c:v>
                </c:pt>
                <c:pt idx="87">
                  <c:v>0.92468326811593726</c:v>
                </c:pt>
                <c:pt idx="88">
                  <c:v>0.9231624074775886</c:v>
                </c:pt>
                <c:pt idx="89">
                  <c:v>0.9231624074775886</c:v>
                </c:pt>
                <c:pt idx="90">
                  <c:v>0.92164154683924004</c:v>
                </c:pt>
                <c:pt idx="91">
                  <c:v>0.92164154683924004</c:v>
                </c:pt>
                <c:pt idx="92">
                  <c:v>0.92012068620089149</c:v>
                </c:pt>
                <c:pt idx="93">
                  <c:v>0.92012068620089149</c:v>
                </c:pt>
                <c:pt idx="94">
                  <c:v>0.91707896492419427</c:v>
                </c:pt>
                <c:pt idx="95">
                  <c:v>0.91707896492419427</c:v>
                </c:pt>
                <c:pt idx="96">
                  <c:v>0.91555810428584572</c:v>
                </c:pt>
                <c:pt idx="97">
                  <c:v>0.91555810428584572</c:v>
                </c:pt>
                <c:pt idx="98">
                  <c:v>0.91403471309735018</c:v>
                </c:pt>
                <c:pt idx="99">
                  <c:v>0.91403471309735018</c:v>
                </c:pt>
                <c:pt idx="100">
                  <c:v>0.910987930720359</c:v>
                </c:pt>
                <c:pt idx="101">
                  <c:v>0.910987930720359</c:v>
                </c:pt>
                <c:pt idx="102">
                  <c:v>0.90946453953186346</c:v>
                </c:pt>
                <c:pt idx="103">
                  <c:v>0.90946453953186346</c:v>
                </c:pt>
                <c:pt idx="104">
                  <c:v>0.90794114834336781</c:v>
                </c:pt>
                <c:pt idx="105">
                  <c:v>0.90794114834336781</c:v>
                </c:pt>
                <c:pt idx="106">
                  <c:v>0.90641775715487216</c:v>
                </c:pt>
                <c:pt idx="107">
                  <c:v>0.90641775715487216</c:v>
                </c:pt>
                <c:pt idx="108">
                  <c:v>0.90489436596637662</c:v>
                </c:pt>
                <c:pt idx="109">
                  <c:v>0.90489436596637662</c:v>
                </c:pt>
                <c:pt idx="110">
                  <c:v>0.90337097477788098</c:v>
                </c:pt>
                <c:pt idx="111">
                  <c:v>0.90337097477788098</c:v>
                </c:pt>
                <c:pt idx="112">
                  <c:v>0.90184758358938544</c:v>
                </c:pt>
                <c:pt idx="113">
                  <c:v>0.90184758358938544</c:v>
                </c:pt>
                <c:pt idx="114">
                  <c:v>0.9003241924008899</c:v>
                </c:pt>
                <c:pt idx="115">
                  <c:v>0.9003241924008899</c:v>
                </c:pt>
                <c:pt idx="116">
                  <c:v>0.89880080121239436</c:v>
                </c:pt>
                <c:pt idx="117">
                  <c:v>0.89880080121239436</c:v>
                </c:pt>
                <c:pt idx="118">
                  <c:v>0.89727741002389882</c:v>
                </c:pt>
                <c:pt idx="119">
                  <c:v>0.89727741002389882</c:v>
                </c:pt>
                <c:pt idx="120">
                  <c:v>0.89575401883540318</c:v>
                </c:pt>
                <c:pt idx="121">
                  <c:v>0.89575401883540318</c:v>
                </c:pt>
                <c:pt idx="122">
                  <c:v>0.89423062764690764</c:v>
                </c:pt>
                <c:pt idx="123">
                  <c:v>0.89423062764690764</c:v>
                </c:pt>
                <c:pt idx="124">
                  <c:v>0.8927072364584121</c:v>
                </c:pt>
                <c:pt idx="125">
                  <c:v>0.8927072364584121</c:v>
                </c:pt>
                <c:pt idx="126">
                  <c:v>0.89118384526991645</c:v>
                </c:pt>
                <c:pt idx="127">
                  <c:v>0.89118384526991645</c:v>
                </c:pt>
                <c:pt idx="128">
                  <c:v>0.88813706289292527</c:v>
                </c:pt>
                <c:pt idx="129">
                  <c:v>0.88813706289292527</c:v>
                </c:pt>
                <c:pt idx="130">
                  <c:v>0.88508504549466782</c:v>
                </c:pt>
                <c:pt idx="131">
                  <c:v>0.88508504549466782</c:v>
                </c:pt>
                <c:pt idx="132">
                  <c:v>0.88355375648862167</c:v>
                </c:pt>
                <c:pt idx="133">
                  <c:v>0.88355375648862167</c:v>
                </c:pt>
                <c:pt idx="134">
                  <c:v>0.88202246748257551</c:v>
                </c:pt>
                <c:pt idx="135">
                  <c:v>0.88202246748257551</c:v>
                </c:pt>
                <c:pt idx="136">
                  <c:v>0.88049117847652936</c:v>
                </c:pt>
                <c:pt idx="137">
                  <c:v>0.88049117847652936</c:v>
                </c:pt>
                <c:pt idx="138">
                  <c:v>0.8789598894704832</c:v>
                </c:pt>
                <c:pt idx="139">
                  <c:v>0.8789598894704832</c:v>
                </c:pt>
                <c:pt idx="140">
                  <c:v>0.87742860046443705</c:v>
                </c:pt>
                <c:pt idx="141">
                  <c:v>0.87742860046443705</c:v>
                </c:pt>
                <c:pt idx="142">
                  <c:v>0.87589731145839089</c:v>
                </c:pt>
                <c:pt idx="143">
                  <c:v>0.87589731145839089</c:v>
                </c:pt>
                <c:pt idx="144">
                  <c:v>0.87436602245234474</c:v>
                </c:pt>
                <c:pt idx="145">
                  <c:v>0.87436602245234474</c:v>
                </c:pt>
                <c:pt idx="146">
                  <c:v>0.87283473344629858</c:v>
                </c:pt>
                <c:pt idx="147">
                  <c:v>0.87283473344629858</c:v>
                </c:pt>
                <c:pt idx="148">
                  <c:v>0.8712980525775551</c:v>
                </c:pt>
                <c:pt idx="149">
                  <c:v>0.8712980525775551</c:v>
                </c:pt>
                <c:pt idx="150">
                  <c:v>0.86976137170881163</c:v>
                </c:pt>
                <c:pt idx="151">
                  <c:v>0.86976137170881163</c:v>
                </c:pt>
                <c:pt idx="152">
                  <c:v>0.86822469084006815</c:v>
                </c:pt>
                <c:pt idx="153">
                  <c:v>0.86822469084006815</c:v>
                </c:pt>
                <c:pt idx="154">
                  <c:v>0.86668800997132467</c:v>
                </c:pt>
                <c:pt idx="155">
                  <c:v>0.86668800997132467</c:v>
                </c:pt>
                <c:pt idx="156">
                  <c:v>0.86361464823383771</c:v>
                </c:pt>
                <c:pt idx="157">
                  <c:v>0.86361464823383771</c:v>
                </c:pt>
                <c:pt idx="158">
                  <c:v>0.86207796736509423</c:v>
                </c:pt>
                <c:pt idx="159">
                  <c:v>0.86207796736509423</c:v>
                </c:pt>
                <c:pt idx="160">
                  <c:v>0.86054128649635075</c:v>
                </c:pt>
                <c:pt idx="161">
                  <c:v>0.86054128649635075</c:v>
                </c:pt>
                <c:pt idx="162">
                  <c:v>0.85900185664573114</c:v>
                </c:pt>
                <c:pt idx="163">
                  <c:v>0.85900185664573114</c:v>
                </c:pt>
                <c:pt idx="164">
                  <c:v>0.85438356709387242</c:v>
                </c:pt>
                <c:pt idx="165">
                  <c:v>0.85438356709387242</c:v>
                </c:pt>
                <c:pt idx="166">
                  <c:v>0.85284413724325281</c:v>
                </c:pt>
                <c:pt idx="167">
                  <c:v>0.85284413724325281</c:v>
                </c:pt>
                <c:pt idx="168">
                  <c:v>0.8513047073926332</c:v>
                </c:pt>
                <c:pt idx="169">
                  <c:v>0.8513047073926332</c:v>
                </c:pt>
                <c:pt idx="170">
                  <c:v>0.84976527754201359</c:v>
                </c:pt>
                <c:pt idx="171">
                  <c:v>0.84976527754201359</c:v>
                </c:pt>
                <c:pt idx="172">
                  <c:v>0.84822584769139397</c:v>
                </c:pt>
                <c:pt idx="173">
                  <c:v>0.84822584769139397</c:v>
                </c:pt>
                <c:pt idx="174">
                  <c:v>0.84668641784077436</c:v>
                </c:pt>
                <c:pt idx="175">
                  <c:v>0.84668641784077436</c:v>
                </c:pt>
                <c:pt idx="176">
                  <c:v>0.84514698799015475</c:v>
                </c:pt>
                <c:pt idx="177">
                  <c:v>0.84514698799015475</c:v>
                </c:pt>
                <c:pt idx="178">
                  <c:v>0.84360755813953514</c:v>
                </c:pt>
                <c:pt idx="179">
                  <c:v>0.84360755813953514</c:v>
                </c:pt>
                <c:pt idx="180">
                  <c:v>0.84206812828891553</c:v>
                </c:pt>
                <c:pt idx="181">
                  <c:v>0.84206812828891553</c:v>
                </c:pt>
                <c:pt idx="182">
                  <c:v>0.84052869843829603</c:v>
                </c:pt>
                <c:pt idx="183">
                  <c:v>0.84052869843829603</c:v>
                </c:pt>
                <c:pt idx="184">
                  <c:v>0.83898644394574873</c:v>
                </c:pt>
                <c:pt idx="185">
                  <c:v>0.83898644394574873</c:v>
                </c:pt>
                <c:pt idx="186">
                  <c:v>0.83744134920551716</c:v>
                </c:pt>
                <c:pt idx="187">
                  <c:v>0.83744134920551716</c:v>
                </c:pt>
                <c:pt idx="188">
                  <c:v>0.83589625446528559</c:v>
                </c:pt>
                <c:pt idx="189">
                  <c:v>0.83589625446528559</c:v>
                </c:pt>
                <c:pt idx="190">
                  <c:v>0.83435115972505403</c:v>
                </c:pt>
                <c:pt idx="191">
                  <c:v>0.83435115972505403</c:v>
                </c:pt>
                <c:pt idx="192">
                  <c:v>0.83280606498482246</c:v>
                </c:pt>
                <c:pt idx="193">
                  <c:v>0.83280606498482246</c:v>
                </c:pt>
                <c:pt idx="194">
                  <c:v>0.83126097024459089</c:v>
                </c:pt>
                <c:pt idx="195">
                  <c:v>0.83126097024459089</c:v>
                </c:pt>
                <c:pt idx="196">
                  <c:v>0.82971587550435932</c:v>
                </c:pt>
                <c:pt idx="197">
                  <c:v>0.82971587550435932</c:v>
                </c:pt>
                <c:pt idx="198">
                  <c:v>0.82816789812468694</c:v>
                </c:pt>
                <c:pt idx="199">
                  <c:v>0.82816789812468694</c:v>
                </c:pt>
                <c:pt idx="200">
                  <c:v>0.82507194336534229</c:v>
                </c:pt>
                <c:pt idx="201">
                  <c:v>0.82507194336534229</c:v>
                </c:pt>
                <c:pt idx="202">
                  <c:v>0.8235239659856699</c:v>
                </c:pt>
                <c:pt idx="203">
                  <c:v>0.8235239659856699</c:v>
                </c:pt>
                <c:pt idx="204">
                  <c:v>0.82197307339435977</c:v>
                </c:pt>
                <c:pt idx="205">
                  <c:v>0.82197307339435977</c:v>
                </c:pt>
                <c:pt idx="206">
                  <c:v>0.81732039562042946</c:v>
                </c:pt>
                <c:pt idx="207">
                  <c:v>0.81732039562042946</c:v>
                </c:pt>
                <c:pt idx="208">
                  <c:v>0.8142186104378093</c:v>
                </c:pt>
                <c:pt idx="209">
                  <c:v>0.8142186104378093</c:v>
                </c:pt>
                <c:pt idx="210">
                  <c:v>0.81111682525518902</c:v>
                </c:pt>
                <c:pt idx="211">
                  <c:v>0.81111682525518902</c:v>
                </c:pt>
                <c:pt idx="212">
                  <c:v>0.80800909795536069</c:v>
                </c:pt>
                <c:pt idx="213">
                  <c:v>0.80800909795536069</c:v>
                </c:pt>
                <c:pt idx="214">
                  <c:v>0.80645523430544652</c:v>
                </c:pt>
                <c:pt idx="215">
                  <c:v>0.80645523430544652</c:v>
                </c:pt>
                <c:pt idx="216">
                  <c:v>0.80490137065553236</c:v>
                </c:pt>
                <c:pt idx="217">
                  <c:v>0.80490137065553236</c:v>
                </c:pt>
                <c:pt idx="218">
                  <c:v>0.80334750700561819</c:v>
                </c:pt>
                <c:pt idx="219">
                  <c:v>0.80334750700561819</c:v>
                </c:pt>
                <c:pt idx="220">
                  <c:v>0.80179364335570402</c:v>
                </c:pt>
                <c:pt idx="221">
                  <c:v>0.80179364335570402</c:v>
                </c:pt>
                <c:pt idx="222">
                  <c:v>0.8002306927838605</c:v>
                </c:pt>
                <c:pt idx="223">
                  <c:v>0.8002306927838605</c:v>
                </c:pt>
                <c:pt idx="224">
                  <c:v>0.79866774221201697</c:v>
                </c:pt>
                <c:pt idx="225">
                  <c:v>0.79866774221201697</c:v>
                </c:pt>
                <c:pt idx="226">
                  <c:v>0.79710479164017345</c:v>
                </c:pt>
                <c:pt idx="227">
                  <c:v>0.79710479164017345</c:v>
                </c:pt>
                <c:pt idx="228">
                  <c:v>0.79554184106832992</c:v>
                </c:pt>
                <c:pt idx="229">
                  <c:v>0.79554184106832992</c:v>
                </c:pt>
                <c:pt idx="230">
                  <c:v>0.79397889049648651</c:v>
                </c:pt>
                <c:pt idx="231">
                  <c:v>0.79397889049648651</c:v>
                </c:pt>
                <c:pt idx="232">
                  <c:v>0.79241593992464299</c:v>
                </c:pt>
                <c:pt idx="233">
                  <c:v>0.79241593992464299</c:v>
                </c:pt>
                <c:pt idx="234">
                  <c:v>0.79085298935279946</c:v>
                </c:pt>
                <c:pt idx="235">
                  <c:v>0.79085298935279946</c:v>
                </c:pt>
                <c:pt idx="236">
                  <c:v>0.78772708820911252</c:v>
                </c:pt>
                <c:pt idx="237">
                  <c:v>0.78772708820911252</c:v>
                </c:pt>
                <c:pt idx="238">
                  <c:v>0.786164137637269</c:v>
                </c:pt>
                <c:pt idx="239">
                  <c:v>0.786164137637269</c:v>
                </c:pt>
                <c:pt idx="240">
                  <c:v>0.78459807361807121</c:v>
                </c:pt>
                <c:pt idx="241">
                  <c:v>0.78459807361807121</c:v>
                </c:pt>
                <c:pt idx="242">
                  <c:v>0.78303200959887342</c:v>
                </c:pt>
                <c:pt idx="243">
                  <c:v>0.78303200959887342</c:v>
                </c:pt>
                <c:pt idx="244">
                  <c:v>0.78146594557967564</c:v>
                </c:pt>
                <c:pt idx="245">
                  <c:v>0.78146594557967564</c:v>
                </c:pt>
                <c:pt idx="246">
                  <c:v>0.77989673685361205</c:v>
                </c:pt>
                <c:pt idx="247">
                  <c:v>0.77989673685361205</c:v>
                </c:pt>
                <c:pt idx="248">
                  <c:v>0.77674563892693071</c:v>
                </c:pt>
                <c:pt idx="249">
                  <c:v>0.77674563892693071</c:v>
                </c:pt>
                <c:pt idx="250">
                  <c:v>0.77516688762829866</c:v>
                </c:pt>
                <c:pt idx="251">
                  <c:v>0.77516688762829866</c:v>
                </c:pt>
                <c:pt idx="252">
                  <c:v>0.77358167926914068</c:v>
                </c:pt>
                <c:pt idx="253">
                  <c:v>0.77358167926914068</c:v>
                </c:pt>
                <c:pt idx="254">
                  <c:v>0.77199647090998258</c:v>
                </c:pt>
                <c:pt idx="255">
                  <c:v>0.77199647090998258</c:v>
                </c:pt>
                <c:pt idx="256">
                  <c:v>0.77040800080522953</c:v>
                </c:pt>
                <c:pt idx="257">
                  <c:v>0.77040800080522953</c:v>
                </c:pt>
                <c:pt idx="258">
                  <c:v>0.76881953070047648</c:v>
                </c:pt>
                <c:pt idx="259">
                  <c:v>0.76881953070047648</c:v>
                </c:pt>
                <c:pt idx="260">
                  <c:v>0.76723106059572344</c:v>
                </c:pt>
                <c:pt idx="261">
                  <c:v>0.76723106059572344</c:v>
                </c:pt>
                <c:pt idx="262">
                  <c:v>0.76562932560491814</c:v>
                </c:pt>
                <c:pt idx="263">
                  <c:v>0.76562932560491814</c:v>
                </c:pt>
                <c:pt idx="264">
                  <c:v>0.76402423267912167</c:v>
                </c:pt>
                <c:pt idx="265">
                  <c:v>0.76402423267912167</c:v>
                </c:pt>
                <c:pt idx="266">
                  <c:v>0.7624191397533252</c:v>
                </c:pt>
                <c:pt idx="267">
                  <c:v>0.7624191397533252</c:v>
                </c:pt>
                <c:pt idx="268">
                  <c:v>0.76081066055553337</c:v>
                </c:pt>
                <c:pt idx="269">
                  <c:v>0.76081066055553337</c:v>
                </c:pt>
                <c:pt idx="270">
                  <c:v>0.75920218135774153</c:v>
                </c:pt>
                <c:pt idx="271">
                  <c:v>0.75920218135774153</c:v>
                </c:pt>
                <c:pt idx="272">
                  <c:v>0.75758685756761868</c:v>
                </c:pt>
                <c:pt idx="273">
                  <c:v>0.75758685756761868</c:v>
                </c:pt>
                <c:pt idx="274">
                  <c:v>0.75597153377749582</c:v>
                </c:pt>
                <c:pt idx="275">
                  <c:v>0.75597153377749582</c:v>
                </c:pt>
                <c:pt idx="276">
                  <c:v>0.75435620998737296</c:v>
                </c:pt>
                <c:pt idx="277">
                  <c:v>0.75435620998737296</c:v>
                </c:pt>
                <c:pt idx="278">
                  <c:v>0.7527408861972501</c:v>
                </c:pt>
                <c:pt idx="279">
                  <c:v>0.7527408861972501</c:v>
                </c:pt>
                <c:pt idx="280">
                  <c:v>0.75111859980458362</c:v>
                </c:pt>
                <c:pt idx="281">
                  <c:v>0.75111859980458362</c:v>
                </c:pt>
                <c:pt idx="282">
                  <c:v>0.74948927529307696</c:v>
                </c:pt>
                <c:pt idx="283">
                  <c:v>0.74948927529307696</c:v>
                </c:pt>
                <c:pt idx="284">
                  <c:v>0.7478599507815703</c:v>
                </c:pt>
                <c:pt idx="285">
                  <c:v>0.7478599507815703</c:v>
                </c:pt>
                <c:pt idx="286">
                  <c:v>0.74623062627006365</c:v>
                </c:pt>
                <c:pt idx="287">
                  <c:v>0.74623062627006365</c:v>
                </c:pt>
                <c:pt idx="288">
                  <c:v>0.74460130175855699</c:v>
                </c:pt>
                <c:pt idx="289">
                  <c:v>0.74460130175855699</c:v>
                </c:pt>
                <c:pt idx="290">
                  <c:v>0.74297197724705033</c:v>
                </c:pt>
                <c:pt idx="291">
                  <c:v>0.74297197724705033</c:v>
                </c:pt>
                <c:pt idx="292">
                  <c:v>0.74131725123981862</c:v>
                </c:pt>
                <c:pt idx="293">
                  <c:v>0.74131725123981862</c:v>
                </c:pt>
                <c:pt idx="294">
                  <c:v>0.7396625252325868</c:v>
                </c:pt>
                <c:pt idx="295">
                  <c:v>0.7396625252325868</c:v>
                </c:pt>
                <c:pt idx="296">
                  <c:v>0.73800779922535509</c:v>
                </c:pt>
                <c:pt idx="297">
                  <c:v>0.73800779922535509</c:v>
                </c:pt>
                <c:pt idx="298">
                  <c:v>0.7363493547327139</c:v>
                </c:pt>
                <c:pt idx="299">
                  <c:v>0.7363493547327139</c:v>
                </c:pt>
                <c:pt idx="300">
                  <c:v>0.73468340596635029</c:v>
                </c:pt>
                <c:pt idx="301">
                  <c:v>0.73468340596635029</c:v>
                </c:pt>
                <c:pt idx="302">
                  <c:v>0.73301745719998668</c:v>
                </c:pt>
                <c:pt idx="303">
                  <c:v>0.73301745719998668</c:v>
                </c:pt>
                <c:pt idx="304">
                  <c:v>0.73134007171440318</c:v>
                </c:pt>
                <c:pt idx="305">
                  <c:v>0.73134007171440318</c:v>
                </c:pt>
                <c:pt idx="306">
                  <c:v>0.72965495634178934</c:v>
                </c:pt>
                <c:pt idx="307">
                  <c:v>0.72965495634178934</c:v>
                </c:pt>
                <c:pt idx="308">
                  <c:v>0.72796594023914629</c:v>
                </c:pt>
                <c:pt idx="309">
                  <c:v>0.72796594023914629</c:v>
                </c:pt>
                <c:pt idx="310">
                  <c:v>0.72627299619207852</c:v>
                </c:pt>
                <c:pt idx="311">
                  <c:v>0.72627299619207852</c:v>
                </c:pt>
                <c:pt idx="312">
                  <c:v>0.72457609666826528</c:v>
                </c:pt>
                <c:pt idx="313">
                  <c:v>0.72457609666826528</c:v>
                </c:pt>
                <c:pt idx="314">
                  <c:v>0.72287919714445203</c:v>
                </c:pt>
                <c:pt idx="315">
                  <c:v>0.72287919714445203</c:v>
                </c:pt>
                <c:pt idx="316">
                  <c:v>0.72117830491587687</c:v>
                </c:pt>
                <c:pt idx="317">
                  <c:v>0.72117830491587687</c:v>
                </c:pt>
                <c:pt idx="318">
                  <c:v>0.71777652045872642</c:v>
                </c:pt>
                <c:pt idx="319">
                  <c:v>0.71777652045872642</c:v>
                </c:pt>
                <c:pt idx="320">
                  <c:v>0.71607158810609284</c:v>
                </c:pt>
                <c:pt idx="321">
                  <c:v>0.71607158810609284</c:v>
                </c:pt>
                <c:pt idx="322">
                  <c:v>0.71436665575345926</c:v>
                </c:pt>
                <c:pt idx="323">
                  <c:v>0.71436665575345926</c:v>
                </c:pt>
                <c:pt idx="324">
                  <c:v>0.71266172340082568</c:v>
                </c:pt>
                <c:pt idx="325">
                  <c:v>0.71266172340082568</c:v>
                </c:pt>
                <c:pt idx="326">
                  <c:v>0.71095270248139919</c:v>
                </c:pt>
                <c:pt idx="327">
                  <c:v>0.71095270248139919</c:v>
                </c:pt>
                <c:pt idx="328">
                  <c:v>0.70923956343927541</c:v>
                </c:pt>
                <c:pt idx="329">
                  <c:v>0.70923956343927541</c:v>
                </c:pt>
                <c:pt idx="330">
                  <c:v>0.70752227636072995</c:v>
                </c:pt>
                <c:pt idx="331">
                  <c:v>0.70752227636072995</c:v>
                </c:pt>
                <c:pt idx="332">
                  <c:v>0.70580498928218449</c:v>
                </c:pt>
                <c:pt idx="333">
                  <c:v>0.70580498928218449</c:v>
                </c:pt>
                <c:pt idx="334">
                  <c:v>0.70408351369856936</c:v>
                </c:pt>
                <c:pt idx="335">
                  <c:v>0.70408351369856936</c:v>
                </c:pt>
                <c:pt idx="336">
                  <c:v>0.70062364385238474</c:v>
                </c:pt>
                <c:pt idx="337">
                  <c:v>0.70062364385238474</c:v>
                </c:pt>
                <c:pt idx="338">
                  <c:v>0.69888942691215605</c:v>
                </c:pt>
                <c:pt idx="339">
                  <c:v>0.69888942691215605</c:v>
                </c:pt>
                <c:pt idx="340">
                  <c:v>0.69540369410960168</c:v>
                </c:pt>
                <c:pt idx="341">
                  <c:v>0.69540369410960168</c:v>
                </c:pt>
                <c:pt idx="342">
                  <c:v>0.69365644864701481</c:v>
                </c:pt>
                <c:pt idx="343">
                  <c:v>0.69365644864701481</c:v>
                </c:pt>
                <c:pt idx="344">
                  <c:v>0.69190920318442795</c:v>
                </c:pt>
                <c:pt idx="345">
                  <c:v>0.69190920318442795</c:v>
                </c:pt>
                <c:pt idx="346">
                  <c:v>0.69016195772184108</c:v>
                </c:pt>
                <c:pt idx="347">
                  <c:v>0.69016195772184108</c:v>
                </c:pt>
                <c:pt idx="348">
                  <c:v>0.6884147122592541</c:v>
                </c:pt>
                <c:pt idx="349">
                  <c:v>0.6884147122592541</c:v>
                </c:pt>
                <c:pt idx="350">
                  <c:v>0.68665855227900097</c:v>
                </c:pt>
                <c:pt idx="351">
                  <c:v>0.68665855227900097</c:v>
                </c:pt>
                <c:pt idx="352">
                  <c:v>0.6848978893244394</c:v>
                </c:pt>
                <c:pt idx="353">
                  <c:v>0.6848978893244394</c:v>
                </c:pt>
                <c:pt idx="354">
                  <c:v>0.68313268857875786</c:v>
                </c:pt>
                <c:pt idx="355">
                  <c:v>0.68313268857875786</c:v>
                </c:pt>
                <c:pt idx="356">
                  <c:v>0.68136748783307632</c:v>
                </c:pt>
                <c:pt idx="357">
                  <c:v>0.68136748783307632</c:v>
                </c:pt>
                <c:pt idx="358">
                  <c:v>0.67960228708739479</c:v>
                </c:pt>
                <c:pt idx="359">
                  <c:v>0.67960228708739479</c:v>
                </c:pt>
                <c:pt idx="360">
                  <c:v>0.67783248946477137</c:v>
                </c:pt>
                <c:pt idx="361">
                  <c:v>0.67783248946477137</c:v>
                </c:pt>
                <c:pt idx="362">
                  <c:v>0.67605805886407822</c:v>
                </c:pt>
                <c:pt idx="363">
                  <c:v>0.67605805886407822</c:v>
                </c:pt>
                <c:pt idx="364">
                  <c:v>0.67425041699545762</c:v>
                </c:pt>
                <c:pt idx="365">
                  <c:v>0.67425041699545762</c:v>
                </c:pt>
                <c:pt idx="366">
                  <c:v>0.67062541475354653</c:v>
                </c:pt>
                <c:pt idx="367">
                  <c:v>0.67062541475354653</c:v>
                </c:pt>
                <c:pt idx="368">
                  <c:v>0.66881291363259099</c:v>
                </c:pt>
                <c:pt idx="369">
                  <c:v>0.66881291363259099</c:v>
                </c:pt>
                <c:pt idx="370">
                  <c:v>0.66700041251163544</c:v>
                </c:pt>
                <c:pt idx="371">
                  <c:v>0.66700041251163544</c:v>
                </c:pt>
                <c:pt idx="372">
                  <c:v>0.6651879113906799</c:v>
                </c:pt>
                <c:pt idx="373">
                  <c:v>0.6651879113906799</c:v>
                </c:pt>
                <c:pt idx="374">
                  <c:v>0.66332984459908584</c:v>
                </c:pt>
                <c:pt idx="375">
                  <c:v>0.66332984459908584</c:v>
                </c:pt>
                <c:pt idx="376">
                  <c:v>0.66147177780749178</c:v>
                </c:pt>
                <c:pt idx="377">
                  <c:v>0.66147177780749178</c:v>
                </c:pt>
                <c:pt idx="378">
                  <c:v>0.65961371101589772</c:v>
                </c:pt>
                <c:pt idx="379">
                  <c:v>0.65961371101589772</c:v>
                </c:pt>
                <c:pt idx="380">
                  <c:v>0.65775039544805614</c:v>
                </c:pt>
                <c:pt idx="381">
                  <c:v>0.65775039544805614</c:v>
                </c:pt>
                <c:pt idx="382">
                  <c:v>0.65588178637007877</c:v>
                </c:pt>
                <c:pt idx="383">
                  <c:v>0.65588178637007877</c:v>
                </c:pt>
                <c:pt idx="384">
                  <c:v>0.65400783840902132</c:v>
                </c:pt>
                <c:pt idx="385">
                  <c:v>0.65400783840902132</c:v>
                </c:pt>
                <c:pt idx="386">
                  <c:v>0.65213389044796399</c:v>
                </c:pt>
                <c:pt idx="387">
                  <c:v>0.65213389044796399</c:v>
                </c:pt>
                <c:pt idx="388">
                  <c:v>0.65025994248690666</c:v>
                </c:pt>
                <c:pt idx="389">
                  <c:v>0.65025994248690666</c:v>
                </c:pt>
                <c:pt idx="390">
                  <c:v>0.64836965195642149</c:v>
                </c:pt>
                <c:pt idx="391">
                  <c:v>0.64836965195642149</c:v>
                </c:pt>
                <c:pt idx="392">
                  <c:v>0.64646268239184379</c:v>
                </c:pt>
                <c:pt idx="393">
                  <c:v>0.64646268239184379</c:v>
                </c:pt>
                <c:pt idx="394">
                  <c:v>0.64454439550047338</c:v>
                </c:pt>
                <c:pt idx="395">
                  <c:v>0.64454439550047338</c:v>
                </c:pt>
                <c:pt idx="396">
                  <c:v>0.64262038237957642</c:v>
                </c:pt>
                <c:pt idx="397">
                  <c:v>0.64262038237957642</c:v>
                </c:pt>
                <c:pt idx="398">
                  <c:v>0.63872571339545769</c:v>
                </c:pt>
                <c:pt idx="399">
                  <c:v>0.63872571339545769</c:v>
                </c:pt>
                <c:pt idx="400">
                  <c:v>0.63677837890339839</c:v>
                </c:pt>
                <c:pt idx="401">
                  <c:v>0.63677837890339839</c:v>
                </c:pt>
                <c:pt idx="402">
                  <c:v>0.63480080629810831</c:v>
                </c:pt>
                <c:pt idx="403">
                  <c:v>0.63480080629810831</c:v>
                </c:pt>
                <c:pt idx="404">
                  <c:v>0.63281705377842667</c:v>
                </c:pt>
                <c:pt idx="405">
                  <c:v>0.63281705377842667</c:v>
                </c:pt>
                <c:pt idx="406">
                  <c:v>0.63083330125874504</c:v>
                </c:pt>
                <c:pt idx="407">
                  <c:v>0.63083330125874504</c:v>
                </c:pt>
                <c:pt idx="408">
                  <c:v>0.6288495487390634</c:v>
                </c:pt>
                <c:pt idx="409">
                  <c:v>0.6288495487390634</c:v>
                </c:pt>
                <c:pt idx="410">
                  <c:v>0.62685320096528863</c:v>
                </c:pt>
                <c:pt idx="411">
                  <c:v>0.62685320096528863</c:v>
                </c:pt>
                <c:pt idx="412">
                  <c:v>0.62485685319151385</c:v>
                </c:pt>
                <c:pt idx="413">
                  <c:v>0.62485685319151385</c:v>
                </c:pt>
                <c:pt idx="414">
                  <c:v>0.62285410686718212</c:v>
                </c:pt>
                <c:pt idx="415">
                  <c:v>0.62285410686718212</c:v>
                </c:pt>
                <c:pt idx="416">
                  <c:v>0.62083839778346961</c:v>
                </c:pt>
                <c:pt idx="417">
                  <c:v>0.62083839778346961</c:v>
                </c:pt>
                <c:pt idx="418">
                  <c:v>0.61881612287212284</c:v>
                </c:pt>
                <c:pt idx="419">
                  <c:v>0.61881612287212284</c:v>
                </c:pt>
                <c:pt idx="420">
                  <c:v>0.61678054352056977</c:v>
                </c:pt>
                <c:pt idx="421">
                  <c:v>0.61678054352056977</c:v>
                </c:pt>
                <c:pt idx="422">
                  <c:v>0.61473822384003807</c:v>
                </c:pt>
                <c:pt idx="423">
                  <c:v>0.61473822384003807</c:v>
                </c:pt>
                <c:pt idx="424">
                  <c:v>0.61268909642723801</c:v>
                </c:pt>
                <c:pt idx="425">
                  <c:v>0.61268909642723801</c:v>
                </c:pt>
                <c:pt idx="426">
                  <c:v>0.61062617017664123</c:v>
                </c:pt>
                <c:pt idx="427">
                  <c:v>0.61062617017664123</c:v>
                </c:pt>
                <c:pt idx="428">
                  <c:v>0.60854921041413568</c:v>
                </c:pt>
                <c:pt idx="429">
                  <c:v>0.60854921041413568</c:v>
                </c:pt>
                <c:pt idx="430">
                  <c:v>0.60647225065163002</c:v>
                </c:pt>
                <c:pt idx="431">
                  <c:v>0.60647225065163002</c:v>
                </c:pt>
                <c:pt idx="432">
                  <c:v>0.60437373075318146</c:v>
                </c:pt>
                <c:pt idx="433">
                  <c:v>0.60437373075318146</c:v>
                </c:pt>
                <c:pt idx="434">
                  <c:v>0.6022305614951915</c:v>
                </c:pt>
                <c:pt idx="435">
                  <c:v>0.6022305614951915</c:v>
                </c:pt>
                <c:pt idx="436">
                  <c:v>0.60007973806128012</c:v>
                </c:pt>
                <c:pt idx="437">
                  <c:v>0.60007973806128012</c:v>
                </c:pt>
                <c:pt idx="438">
                  <c:v>0.59791338521629356</c:v>
                </c:pt>
                <c:pt idx="439">
                  <c:v>0.59791338521629356</c:v>
                </c:pt>
                <c:pt idx="440">
                  <c:v>0.59358067952632043</c:v>
                </c:pt>
                <c:pt idx="441">
                  <c:v>0.59358067952632043</c:v>
                </c:pt>
                <c:pt idx="442">
                  <c:v>0.59140639132292727</c:v>
                </c:pt>
                <c:pt idx="443">
                  <c:v>0.59140639132292727</c:v>
                </c:pt>
                <c:pt idx="444">
                  <c:v>0.58922407991583159</c:v>
                </c:pt>
                <c:pt idx="445">
                  <c:v>0.58922407991583159</c:v>
                </c:pt>
                <c:pt idx="446">
                  <c:v>0.58702548260271281</c:v>
                </c:pt>
                <c:pt idx="447">
                  <c:v>0.58702548260271281</c:v>
                </c:pt>
                <c:pt idx="448">
                  <c:v>0.58481029210232527</c:v>
                </c:pt>
                <c:pt idx="449">
                  <c:v>0.58481029210232527</c:v>
                </c:pt>
                <c:pt idx="450">
                  <c:v>0.58256102174808555</c:v>
                </c:pt>
                <c:pt idx="451">
                  <c:v>0.58256102174808555</c:v>
                </c:pt>
                <c:pt idx="452">
                  <c:v>0.58027646872162253</c:v>
                </c:pt>
                <c:pt idx="453">
                  <c:v>0.58027646872162253</c:v>
                </c:pt>
                <c:pt idx="454">
                  <c:v>0.5779366442509708</c:v>
                </c:pt>
                <c:pt idx="455">
                  <c:v>0.5779366442509708</c:v>
                </c:pt>
                <c:pt idx="456">
                  <c:v>0.57558730829873106</c:v>
                </c:pt>
                <c:pt idx="457">
                  <c:v>0.57558730829873106</c:v>
                </c:pt>
                <c:pt idx="458">
                  <c:v>0.57323797234649132</c:v>
                </c:pt>
                <c:pt idx="459">
                  <c:v>0.57323797234649132</c:v>
                </c:pt>
                <c:pt idx="460">
                  <c:v>0.57088863639425158</c:v>
                </c:pt>
                <c:pt idx="461">
                  <c:v>0.57088863639425158</c:v>
                </c:pt>
                <c:pt idx="462">
                  <c:v>0.56853930044201184</c:v>
                </c:pt>
                <c:pt idx="463">
                  <c:v>0.56853930044201184</c:v>
                </c:pt>
                <c:pt idx="464">
                  <c:v>0.56618021620781267</c:v>
                </c:pt>
                <c:pt idx="465">
                  <c:v>0.56618021620781267</c:v>
                </c:pt>
                <c:pt idx="466">
                  <c:v>0.5637397842413997</c:v>
                </c:pt>
                <c:pt idx="467">
                  <c:v>0.5637397842413997</c:v>
                </c:pt>
                <c:pt idx="468">
                  <c:v>0.56129935227498673</c:v>
                </c:pt>
                <c:pt idx="469">
                  <c:v>0.56129935227498673</c:v>
                </c:pt>
                <c:pt idx="470">
                  <c:v>0.55884826340042348</c:v>
                </c:pt>
                <c:pt idx="471">
                  <c:v>0.55884826340042348</c:v>
                </c:pt>
                <c:pt idx="472">
                  <c:v>0.55639717452586024</c:v>
                </c:pt>
                <c:pt idx="473">
                  <c:v>0.55639717452586024</c:v>
                </c:pt>
                <c:pt idx="474">
                  <c:v>0.5539021199315739</c:v>
                </c:pt>
                <c:pt idx="475">
                  <c:v>0.5539021199315739</c:v>
                </c:pt>
                <c:pt idx="476">
                  <c:v>0.55136128451904376</c:v>
                </c:pt>
                <c:pt idx="477">
                  <c:v>0.55136128451904376</c:v>
                </c:pt>
                <c:pt idx="478">
                  <c:v>0.54878482991848754</c:v>
                </c:pt>
                <c:pt idx="479">
                  <c:v>0.54878482991848754</c:v>
                </c:pt>
                <c:pt idx="480">
                  <c:v>0.54615906518203539</c:v>
                </c:pt>
                <c:pt idx="481">
                  <c:v>0.54615906518203539</c:v>
                </c:pt>
                <c:pt idx="482">
                  <c:v>0.54353330044558334</c:v>
                </c:pt>
                <c:pt idx="483">
                  <c:v>0.54353330044558334</c:v>
                </c:pt>
                <c:pt idx="484">
                  <c:v>0.54089478927837176</c:v>
                </c:pt>
                <c:pt idx="485">
                  <c:v>0.54089478927837176</c:v>
                </c:pt>
                <c:pt idx="486">
                  <c:v>0.53819031533197992</c:v>
                </c:pt>
                <c:pt idx="487">
                  <c:v>0.53819031533197992</c:v>
                </c:pt>
                <c:pt idx="488">
                  <c:v>0.53548584138558808</c:v>
                </c:pt>
                <c:pt idx="489">
                  <c:v>0.53548584138558808</c:v>
                </c:pt>
                <c:pt idx="490">
                  <c:v>0.53275377076627384</c:v>
                </c:pt>
                <c:pt idx="491">
                  <c:v>0.53275377076627384</c:v>
                </c:pt>
                <c:pt idx="492">
                  <c:v>0.52987402065402378</c:v>
                </c:pt>
                <c:pt idx="493">
                  <c:v>0.52987402065402378</c:v>
                </c:pt>
                <c:pt idx="494">
                  <c:v>0.52688038211925536</c:v>
                </c:pt>
                <c:pt idx="495">
                  <c:v>0.52688038211925536</c:v>
                </c:pt>
                <c:pt idx="496">
                  <c:v>0.52386963707857392</c:v>
                </c:pt>
                <c:pt idx="497">
                  <c:v>0.52386963707857392</c:v>
                </c:pt>
                <c:pt idx="498">
                  <c:v>0.52084148888736825</c:v>
                </c:pt>
                <c:pt idx="499">
                  <c:v>0.52084148888736825</c:v>
                </c:pt>
                <c:pt idx="500">
                  <c:v>0.51774124192970539</c:v>
                </c:pt>
                <c:pt idx="501">
                  <c:v>0.51774124192970539</c:v>
                </c:pt>
                <c:pt idx="502">
                  <c:v>0.51428963365017399</c:v>
                </c:pt>
                <c:pt idx="503">
                  <c:v>0.51428963365017399</c:v>
                </c:pt>
                <c:pt idx="504">
                  <c:v>0.51071817786093665</c:v>
                </c:pt>
                <c:pt idx="505">
                  <c:v>0.51071817786093665</c:v>
                </c:pt>
                <c:pt idx="506">
                  <c:v>0.50707019087621574</c:v>
                </c:pt>
                <c:pt idx="507">
                  <c:v>0.50707019087621574</c:v>
                </c:pt>
                <c:pt idx="508">
                  <c:v>0.50322875003624445</c:v>
                </c:pt>
                <c:pt idx="509">
                  <c:v>0.50322875003624445</c:v>
                </c:pt>
                <c:pt idx="510">
                  <c:v>0.49938730919627311</c:v>
                </c:pt>
                <c:pt idx="511">
                  <c:v>0.49938730919627311</c:v>
                </c:pt>
                <c:pt idx="512">
                  <c:v>0.49164487029400528</c:v>
                </c:pt>
                <c:pt idx="513">
                  <c:v>0.49164487029400528</c:v>
                </c:pt>
                <c:pt idx="514">
                  <c:v>0.48641460571640949</c:v>
                </c:pt>
                <c:pt idx="515">
                  <c:v>0.48641460571640949</c:v>
                </c:pt>
                <c:pt idx="516">
                  <c:v>0.48062395564835703</c:v>
                </c:pt>
                <c:pt idx="517">
                  <c:v>0.48062395564835703</c:v>
                </c:pt>
                <c:pt idx="518">
                  <c:v>0.4747626878965478</c:v>
                </c:pt>
                <c:pt idx="519">
                  <c:v>0.4747626878965478</c:v>
                </c:pt>
                <c:pt idx="520">
                  <c:v>0.46859693870308611</c:v>
                </c:pt>
                <c:pt idx="521">
                  <c:v>0.46859693870308611</c:v>
                </c:pt>
                <c:pt idx="522">
                  <c:v>0.46243118950962442</c:v>
                </c:pt>
                <c:pt idx="523">
                  <c:v>0.46243118950962442</c:v>
                </c:pt>
                <c:pt idx="524">
                  <c:v>0.45563073084036526</c:v>
                </c:pt>
                <c:pt idx="525">
                  <c:v>0.45563073084036526</c:v>
                </c:pt>
                <c:pt idx="526">
                  <c:v>0.44872723491854155</c:v>
                </c:pt>
                <c:pt idx="527">
                  <c:v>0.44872723491854155</c:v>
                </c:pt>
                <c:pt idx="528">
                  <c:v>0.44160458039602501</c:v>
                </c:pt>
                <c:pt idx="529">
                  <c:v>0.44160458039602501</c:v>
                </c:pt>
                <c:pt idx="530">
                  <c:v>0.43436516104527051</c:v>
                </c:pt>
                <c:pt idx="531">
                  <c:v>0.43436516104527051</c:v>
                </c:pt>
                <c:pt idx="532">
                  <c:v>0.427125741694516</c:v>
                </c:pt>
                <c:pt idx="533">
                  <c:v>0.427125741694516</c:v>
                </c:pt>
                <c:pt idx="534">
                  <c:v>0.41875072715148626</c:v>
                </c:pt>
                <c:pt idx="535">
                  <c:v>0.41875072715148626</c:v>
                </c:pt>
                <c:pt idx="536">
                  <c:v>0.40200069806542676</c:v>
                </c:pt>
                <c:pt idx="537">
                  <c:v>0.40200069806542676</c:v>
                </c:pt>
                <c:pt idx="538">
                  <c:v>0.38084276658829902</c:v>
                </c:pt>
                <c:pt idx="539">
                  <c:v>0.38084276658829902</c:v>
                </c:pt>
                <c:pt idx="540">
                  <c:v>0.34275848992946911</c:v>
                </c:pt>
                <c:pt idx="541">
                  <c:v>0.34275848992946911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5F-4BDF-AC89-B6793F83DF8D}"/>
            </c:ext>
          </c:extLst>
        </c:ser>
        <c:ser>
          <c:idx val="1"/>
          <c:order val="1"/>
          <c:tx>
            <c:v>At Risk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1F7BEC-2B74-4935-8F33-32CC07E441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5F-4BDF-AC89-B6793F83DF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DFB343-6749-4427-AD37-CF366A5A42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5F-4BDF-AC89-B6793F83DF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56EA52-A4C6-4865-BB95-82ED9D8140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5F-4BDF-AC89-B6793F83DF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2EE768-A599-4444-9F03-899EA1EADA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5F-4BDF-AC89-B6793F83DF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45BBFB-F56D-4AE2-B7C7-C3AA75C808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5F-4BDF-AC89-B6793F83DF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1BCAAB-B6B6-44CF-B30D-9A828CE784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5F-4BDF-AC89-B6793F83DF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AB3A11-C791-4D6C-B1C2-56358A2419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5F-4BDF-AC89-B6793F83DF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D3F2E6-E9C0-4D44-BE8F-5B3044439E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5F-4BDF-AC89-B6793F83DF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D41A37-FFCB-4546-BCAA-17B47D9D3E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5F-4BDF-AC89-B6793F83DF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B93E9D-505D-4E7D-BCE7-B0154E81EA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5F-4BDF-AC89-B6793F83DF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90920C-66E1-401A-81B0-936AC40F04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5F-4BDF-AC89-B6793F83DF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989814-1D04-4DE8-A127-D5D401365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5F-4BDF-AC89-B6793F83DF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CC1293-3DD7-493E-8A71-1D82913C7E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5F-4BDF-AC89-B6793F83DF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A9D858-4E0F-46CC-AF4B-220B3C9C30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5F-4BDF-AC89-B6793F83DF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D9BB3C-22E8-49D0-8079-C32298F4E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5F-4BDF-AC89-B6793F83DF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9D9751-DD18-4EE9-92B9-FC5FE5388C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5F-4BDF-AC89-B6793F83DF8D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Data!$Q$7:$Q$22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Data!$S$7:$S$22</c:f>
              <c:numCache>
                <c:formatCode>General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Data!$R$7:$R$22</c15:f>
                <c15:dlblRangeCache>
                  <c:ptCount val="16"/>
                  <c:pt idx="0">
                    <c:v>686</c:v>
                  </c:pt>
                  <c:pt idx="1">
                    <c:v>655</c:v>
                  </c:pt>
                  <c:pt idx="2">
                    <c:v>602</c:v>
                  </c:pt>
                  <c:pt idx="3">
                    <c:v>530</c:v>
                  </c:pt>
                  <c:pt idx="4">
                    <c:v>458</c:v>
                  </c:pt>
                  <c:pt idx="5">
                    <c:v>383</c:v>
                  </c:pt>
                  <c:pt idx="6">
                    <c:v>331</c:v>
                  </c:pt>
                  <c:pt idx="7">
                    <c:v>277</c:v>
                  </c:pt>
                  <c:pt idx="8">
                    <c:v>228</c:v>
                  </c:pt>
                  <c:pt idx="9">
                    <c:v>183</c:v>
                  </c:pt>
                  <c:pt idx="10">
                    <c:v>121</c:v>
                  </c:pt>
                  <c:pt idx="11">
                    <c:v>74</c:v>
                  </c:pt>
                  <c:pt idx="12">
                    <c:v>36</c:v>
                  </c:pt>
                  <c:pt idx="13">
                    <c:v>16</c:v>
                  </c:pt>
                  <c:pt idx="14">
                    <c:v>3</c:v>
                  </c:pt>
                  <c:pt idx="15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05F-4BDF-AC89-B6793F83D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758608"/>
        <c:axId val="939045168"/>
      </c:scatterChart>
      <c:valAx>
        <c:axId val="1404758608"/>
        <c:scaling>
          <c:orientation val="minMax"/>
          <c:max val="90"/>
          <c:min val="-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45168"/>
        <c:crossesAt val="-5.000000000000001E-2"/>
        <c:crossBetween val="midCat"/>
        <c:majorUnit val="6"/>
      </c:valAx>
      <c:valAx>
        <c:axId val="939045168"/>
        <c:scaling>
          <c:orientation val="minMax"/>
          <c:max val="1"/>
          <c:min val="-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1.2221789494562835E-2"/>
              <c:y val="0.39484826444887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.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58608"/>
        <c:crossesAt val="-3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2610399820370305"/>
          <c:y val="0.79445468350121939"/>
          <c:w val="6.9772599891598799E-2"/>
          <c:h val="4.46969761749187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Recurrence-free</a:t>
            </a:r>
            <a:r>
              <a:rPr lang="en-US" baseline="0"/>
              <a:t> survival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174918124400352E-2"/>
          <c:y val="9.9232885130080953E-2"/>
          <c:w val="0.84562529227214356"/>
          <c:h val="0.82005818549789722"/>
        </c:manualLayout>
      </c:layout>
      <c:scatterChart>
        <c:scatterStyle val="lineMarker"/>
        <c:varyColors val="0"/>
        <c:ser>
          <c:idx val="0"/>
          <c:order val="0"/>
          <c:tx>
            <c:v>"Kaplan Meier"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Data!$M$6:$M$1154</c:f>
              <c:numCache>
                <c:formatCode>0.0000</c:formatCode>
                <c:ptCount val="1149"/>
                <c:pt idx="0">
                  <c:v>0</c:v>
                </c:pt>
                <c:pt idx="1">
                  <c:v>2.3655030800821355</c:v>
                </c:pt>
                <c:pt idx="2">
                  <c:v>2.3655030800821355</c:v>
                </c:pt>
                <c:pt idx="3">
                  <c:v>3.2197125256673513</c:v>
                </c:pt>
                <c:pt idx="4">
                  <c:v>3.2197125256673513</c:v>
                </c:pt>
                <c:pt idx="5">
                  <c:v>3.7125256673511293</c:v>
                </c:pt>
                <c:pt idx="6">
                  <c:v>3.7125256673511293</c:v>
                </c:pt>
                <c:pt idx="7">
                  <c:v>3.9425051334702257</c:v>
                </c:pt>
                <c:pt idx="8">
                  <c:v>3.9425051334702257</c:v>
                </c:pt>
                <c:pt idx="9">
                  <c:v>5.2566735112936342</c:v>
                </c:pt>
                <c:pt idx="10">
                  <c:v>5.2566735112936342</c:v>
                </c:pt>
                <c:pt idx="11">
                  <c:v>5.5523613963039011</c:v>
                </c:pt>
                <c:pt idx="12">
                  <c:v>5.5523613963039011</c:v>
                </c:pt>
                <c:pt idx="13">
                  <c:v>5.6180698151950716</c:v>
                </c:pt>
                <c:pt idx="14">
                  <c:v>5.6180698151950716</c:v>
                </c:pt>
                <c:pt idx="15">
                  <c:v>5.6837782340862422</c:v>
                </c:pt>
                <c:pt idx="16">
                  <c:v>5.6837782340862422</c:v>
                </c:pt>
                <c:pt idx="17">
                  <c:v>5.7494866529774127</c:v>
                </c:pt>
                <c:pt idx="18">
                  <c:v>5.7494866529774127</c:v>
                </c:pt>
                <c:pt idx="19">
                  <c:v>5.8151950718685832</c:v>
                </c:pt>
                <c:pt idx="20">
                  <c:v>5.8151950718685832</c:v>
                </c:pt>
                <c:pt idx="21">
                  <c:v>5.9137577002053385</c:v>
                </c:pt>
                <c:pt idx="22">
                  <c:v>5.9137577002053385</c:v>
                </c:pt>
                <c:pt idx="23">
                  <c:v>5.9466119096509242</c:v>
                </c:pt>
                <c:pt idx="24">
                  <c:v>5.9466119096509242</c:v>
                </c:pt>
                <c:pt idx="25">
                  <c:v>6.0451745379876796</c:v>
                </c:pt>
                <c:pt idx="26">
                  <c:v>6.0451745379876796</c:v>
                </c:pt>
                <c:pt idx="27">
                  <c:v>6.2751540041067759</c:v>
                </c:pt>
                <c:pt idx="28">
                  <c:v>6.2751540041067759</c:v>
                </c:pt>
                <c:pt idx="29">
                  <c:v>6.406570841889117</c:v>
                </c:pt>
                <c:pt idx="30">
                  <c:v>6.406570841889117</c:v>
                </c:pt>
                <c:pt idx="31">
                  <c:v>6.7351129363449695</c:v>
                </c:pt>
                <c:pt idx="32">
                  <c:v>6.7351129363449695</c:v>
                </c:pt>
                <c:pt idx="33">
                  <c:v>7.3264887063655033</c:v>
                </c:pt>
                <c:pt idx="34">
                  <c:v>7.3264887063655033</c:v>
                </c:pt>
                <c:pt idx="35">
                  <c:v>7.4579055441478443</c:v>
                </c:pt>
                <c:pt idx="36">
                  <c:v>7.4579055441478443</c:v>
                </c:pt>
                <c:pt idx="37">
                  <c:v>7.655030800821355</c:v>
                </c:pt>
                <c:pt idx="38">
                  <c:v>7.655030800821355</c:v>
                </c:pt>
                <c:pt idx="39">
                  <c:v>7.8193018480492817</c:v>
                </c:pt>
                <c:pt idx="40">
                  <c:v>7.8193018480492817</c:v>
                </c:pt>
                <c:pt idx="41">
                  <c:v>7.9178644763860371</c:v>
                </c:pt>
                <c:pt idx="42">
                  <c:v>7.9178644763860371</c:v>
                </c:pt>
                <c:pt idx="43">
                  <c:v>7.9507186858316219</c:v>
                </c:pt>
                <c:pt idx="44">
                  <c:v>7.9507186858316219</c:v>
                </c:pt>
                <c:pt idx="45">
                  <c:v>8.1149897330595486</c:v>
                </c:pt>
                <c:pt idx="46">
                  <c:v>8.1149897330595486</c:v>
                </c:pt>
                <c:pt idx="47">
                  <c:v>8.1806981519507183</c:v>
                </c:pt>
                <c:pt idx="48">
                  <c:v>8.1806981519507183</c:v>
                </c:pt>
                <c:pt idx="49">
                  <c:v>8.2464065708418897</c:v>
                </c:pt>
                <c:pt idx="50">
                  <c:v>8.2464065708418897</c:v>
                </c:pt>
                <c:pt idx="51">
                  <c:v>8.9363449691991779</c:v>
                </c:pt>
                <c:pt idx="52">
                  <c:v>8.9363449691991779</c:v>
                </c:pt>
                <c:pt idx="53">
                  <c:v>9.0349075975359341</c:v>
                </c:pt>
                <c:pt idx="54">
                  <c:v>9.0349075975359341</c:v>
                </c:pt>
                <c:pt idx="55">
                  <c:v>9.2320328542094447</c:v>
                </c:pt>
                <c:pt idx="56">
                  <c:v>9.2320328542094447</c:v>
                </c:pt>
                <c:pt idx="57">
                  <c:v>9.3634496919917858</c:v>
                </c:pt>
                <c:pt idx="58">
                  <c:v>9.3634496919917858</c:v>
                </c:pt>
                <c:pt idx="59">
                  <c:v>9.3963039014373724</c:v>
                </c:pt>
                <c:pt idx="60">
                  <c:v>9.3963039014373724</c:v>
                </c:pt>
                <c:pt idx="61">
                  <c:v>9.462012320328542</c:v>
                </c:pt>
                <c:pt idx="62">
                  <c:v>9.462012320328542</c:v>
                </c:pt>
                <c:pt idx="63">
                  <c:v>9.6262833675564679</c:v>
                </c:pt>
                <c:pt idx="64">
                  <c:v>9.6262833675564679</c:v>
                </c:pt>
                <c:pt idx="65">
                  <c:v>10.020533880903491</c:v>
                </c:pt>
                <c:pt idx="66">
                  <c:v>10.020533880903491</c:v>
                </c:pt>
                <c:pt idx="67">
                  <c:v>10.086242299794661</c:v>
                </c:pt>
                <c:pt idx="68">
                  <c:v>10.086242299794661</c:v>
                </c:pt>
                <c:pt idx="69">
                  <c:v>10.119096509240247</c:v>
                </c:pt>
                <c:pt idx="70">
                  <c:v>10.119096509240247</c:v>
                </c:pt>
                <c:pt idx="71">
                  <c:v>10.381930184804927</c:v>
                </c:pt>
                <c:pt idx="72">
                  <c:v>10.381930184804927</c:v>
                </c:pt>
                <c:pt idx="73">
                  <c:v>10.809034907597535</c:v>
                </c:pt>
                <c:pt idx="74">
                  <c:v>10.809034907597535</c:v>
                </c:pt>
                <c:pt idx="75">
                  <c:v>11.039014373716633</c:v>
                </c:pt>
                <c:pt idx="76">
                  <c:v>11.039014373716633</c:v>
                </c:pt>
                <c:pt idx="77">
                  <c:v>11.104722792607802</c:v>
                </c:pt>
                <c:pt idx="78">
                  <c:v>11.104722792607802</c:v>
                </c:pt>
                <c:pt idx="79">
                  <c:v>11.268993839835728</c:v>
                </c:pt>
                <c:pt idx="80">
                  <c:v>11.268993839835728</c:v>
                </c:pt>
                <c:pt idx="81">
                  <c:v>11.301848049281315</c:v>
                </c:pt>
                <c:pt idx="82">
                  <c:v>11.301848049281315</c:v>
                </c:pt>
                <c:pt idx="83">
                  <c:v>11.433264887063656</c:v>
                </c:pt>
                <c:pt idx="84">
                  <c:v>11.433264887063656</c:v>
                </c:pt>
                <c:pt idx="85">
                  <c:v>11.498973305954825</c:v>
                </c:pt>
                <c:pt idx="86">
                  <c:v>11.498973305954825</c:v>
                </c:pt>
                <c:pt idx="87">
                  <c:v>11.597535934291582</c:v>
                </c:pt>
                <c:pt idx="88">
                  <c:v>11.597535934291582</c:v>
                </c:pt>
                <c:pt idx="89">
                  <c:v>11.728952772073923</c:v>
                </c:pt>
                <c:pt idx="90">
                  <c:v>11.728952772073923</c:v>
                </c:pt>
                <c:pt idx="91">
                  <c:v>11.761806981519507</c:v>
                </c:pt>
                <c:pt idx="92">
                  <c:v>11.761806981519507</c:v>
                </c:pt>
                <c:pt idx="93">
                  <c:v>11.794661190965092</c:v>
                </c:pt>
                <c:pt idx="94">
                  <c:v>11.794661190965092</c:v>
                </c:pt>
                <c:pt idx="95">
                  <c:v>11.827515400410677</c:v>
                </c:pt>
                <c:pt idx="96">
                  <c:v>11.827515400410677</c:v>
                </c:pt>
                <c:pt idx="97">
                  <c:v>12.123203285420944</c:v>
                </c:pt>
                <c:pt idx="98">
                  <c:v>12.123203285420944</c:v>
                </c:pt>
                <c:pt idx="99">
                  <c:v>12.156057494866531</c:v>
                </c:pt>
                <c:pt idx="100">
                  <c:v>12.156057494866531</c:v>
                </c:pt>
                <c:pt idx="101">
                  <c:v>12.188911704312115</c:v>
                </c:pt>
                <c:pt idx="102">
                  <c:v>12.188911704312115</c:v>
                </c:pt>
                <c:pt idx="103">
                  <c:v>12.2217659137577</c:v>
                </c:pt>
                <c:pt idx="104">
                  <c:v>12.2217659137577</c:v>
                </c:pt>
                <c:pt idx="105">
                  <c:v>12.28747433264887</c:v>
                </c:pt>
                <c:pt idx="106">
                  <c:v>12.28747433264887</c:v>
                </c:pt>
                <c:pt idx="107">
                  <c:v>12.320328542094456</c:v>
                </c:pt>
                <c:pt idx="108">
                  <c:v>12.320328542094456</c:v>
                </c:pt>
                <c:pt idx="109">
                  <c:v>12.386036960985626</c:v>
                </c:pt>
                <c:pt idx="110">
                  <c:v>12.386036960985626</c:v>
                </c:pt>
                <c:pt idx="111">
                  <c:v>12.451745379876797</c:v>
                </c:pt>
                <c:pt idx="112">
                  <c:v>12.451745379876797</c:v>
                </c:pt>
                <c:pt idx="113">
                  <c:v>12.648870636550308</c:v>
                </c:pt>
                <c:pt idx="114">
                  <c:v>12.648870636550308</c:v>
                </c:pt>
                <c:pt idx="115">
                  <c:v>12.878850102669405</c:v>
                </c:pt>
                <c:pt idx="116">
                  <c:v>12.878850102669405</c:v>
                </c:pt>
                <c:pt idx="117">
                  <c:v>12.944558521560575</c:v>
                </c:pt>
                <c:pt idx="118">
                  <c:v>12.944558521560575</c:v>
                </c:pt>
                <c:pt idx="119">
                  <c:v>13.240246406570842</c:v>
                </c:pt>
                <c:pt idx="120">
                  <c:v>13.240246406570842</c:v>
                </c:pt>
                <c:pt idx="121">
                  <c:v>13.470225872689939</c:v>
                </c:pt>
                <c:pt idx="122">
                  <c:v>13.470225872689939</c:v>
                </c:pt>
                <c:pt idx="123">
                  <c:v>13.634496919917865</c:v>
                </c:pt>
                <c:pt idx="124">
                  <c:v>13.634496919917865</c:v>
                </c:pt>
                <c:pt idx="125">
                  <c:v>13.700205338809035</c:v>
                </c:pt>
                <c:pt idx="126">
                  <c:v>13.700205338809035</c:v>
                </c:pt>
                <c:pt idx="127">
                  <c:v>13.798767967145791</c:v>
                </c:pt>
                <c:pt idx="128">
                  <c:v>13.798767967145791</c:v>
                </c:pt>
                <c:pt idx="129">
                  <c:v>13.995893223819301</c:v>
                </c:pt>
                <c:pt idx="130">
                  <c:v>13.995893223819301</c:v>
                </c:pt>
                <c:pt idx="131">
                  <c:v>14.324435318275153</c:v>
                </c:pt>
                <c:pt idx="132">
                  <c:v>14.324435318275153</c:v>
                </c:pt>
                <c:pt idx="133">
                  <c:v>14.390143737166325</c:v>
                </c:pt>
                <c:pt idx="134">
                  <c:v>14.390143737166325</c:v>
                </c:pt>
                <c:pt idx="135">
                  <c:v>14.652977412731007</c:v>
                </c:pt>
                <c:pt idx="136">
                  <c:v>14.652977412731007</c:v>
                </c:pt>
                <c:pt idx="137">
                  <c:v>14.718685831622176</c:v>
                </c:pt>
                <c:pt idx="138">
                  <c:v>14.718685831622176</c:v>
                </c:pt>
                <c:pt idx="139">
                  <c:v>14.751540041067761</c:v>
                </c:pt>
                <c:pt idx="140">
                  <c:v>14.751540041067761</c:v>
                </c:pt>
                <c:pt idx="141">
                  <c:v>14.948665297741274</c:v>
                </c:pt>
                <c:pt idx="142">
                  <c:v>14.948665297741274</c:v>
                </c:pt>
                <c:pt idx="143">
                  <c:v>14.981519507186858</c:v>
                </c:pt>
                <c:pt idx="144">
                  <c:v>14.981519507186858</c:v>
                </c:pt>
                <c:pt idx="145">
                  <c:v>15.112936344969199</c:v>
                </c:pt>
                <c:pt idx="146">
                  <c:v>15.112936344969199</c:v>
                </c:pt>
                <c:pt idx="147">
                  <c:v>15.277207392197125</c:v>
                </c:pt>
                <c:pt idx="148">
                  <c:v>15.277207392197125</c:v>
                </c:pt>
                <c:pt idx="149">
                  <c:v>15.474332648870636</c:v>
                </c:pt>
                <c:pt idx="150">
                  <c:v>15.474332648870636</c:v>
                </c:pt>
                <c:pt idx="151">
                  <c:v>15.540041067761807</c:v>
                </c:pt>
                <c:pt idx="152">
                  <c:v>15.540041067761807</c:v>
                </c:pt>
                <c:pt idx="153">
                  <c:v>15.605749486652977</c:v>
                </c:pt>
                <c:pt idx="154">
                  <c:v>15.605749486652977</c:v>
                </c:pt>
                <c:pt idx="155">
                  <c:v>15.638603696098563</c:v>
                </c:pt>
                <c:pt idx="156">
                  <c:v>15.638603696098563</c:v>
                </c:pt>
                <c:pt idx="157">
                  <c:v>15.802874743326489</c:v>
                </c:pt>
                <c:pt idx="158">
                  <c:v>15.802874743326489</c:v>
                </c:pt>
                <c:pt idx="159">
                  <c:v>15.967145790554415</c:v>
                </c:pt>
                <c:pt idx="160">
                  <c:v>15.967145790554415</c:v>
                </c:pt>
                <c:pt idx="161">
                  <c:v>16.098562628336754</c:v>
                </c:pt>
                <c:pt idx="162">
                  <c:v>16.098562628336754</c:v>
                </c:pt>
                <c:pt idx="163">
                  <c:v>16.131416837782339</c:v>
                </c:pt>
                <c:pt idx="164">
                  <c:v>16.131416837782339</c:v>
                </c:pt>
                <c:pt idx="165">
                  <c:v>16.262833675564682</c:v>
                </c:pt>
                <c:pt idx="166">
                  <c:v>16.262833675564682</c:v>
                </c:pt>
                <c:pt idx="167">
                  <c:v>16.361396303901437</c:v>
                </c:pt>
                <c:pt idx="168">
                  <c:v>16.361396303901437</c:v>
                </c:pt>
                <c:pt idx="169">
                  <c:v>16.427104722792606</c:v>
                </c:pt>
                <c:pt idx="170">
                  <c:v>16.427104722792606</c:v>
                </c:pt>
                <c:pt idx="171">
                  <c:v>16.492813141683779</c:v>
                </c:pt>
                <c:pt idx="172">
                  <c:v>16.492813141683779</c:v>
                </c:pt>
                <c:pt idx="173">
                  <c:v>16.525667351129364</c:v>
                </c:pt>
                <c:pt idx="174">
                  <c:v>16.525667351129364</c:v>
                </c:pt>
                <c:pt idx="175">
                  <c:v>16.558521560574949</c:v>
                </c:pt>
                <c:pt idx="176">
                  <c:v>16.558521560574949</c:v>
                </c:pt>
                <c:pt idx="177">
                  <c:v>16.919917864476385</c:v>
                </c:pt>
                <c:pt idx="178">
                  <c:v>16.919917864476385</c:v>
                </c:pt>
                <c:pt idx="179">
                  <c:v>17.018480492813143</c:v>
                </c:pt>
                <c:pt idx="180">
                  <c:v>17.018480492813143</c:v>
                </c:pt>
                <c:pt idx="181">
                  <c:v>17.248459958932237</c:v>
                </c:pt>
                <c:pt idx="182">
                  <c:v>17.248459958932237</c:v>
                </c:pt>
                <c:pt idx="183">
                  <c:v>17.37987679671458</c:v>
                </c:pt>
                <c:pt idx="184">
                  <c:v>17.37987679671458</c:v>
                </c:pt>
                <c:pt idx="185">
                  <c:v>17.412731006160165</c:v>
                </c:pt>
                <c:pt idx="186">
                  <c:v>17.412731006160165</c:v>
                </c:pt>
                <c:pt idx="187">
                  <c:v>17.511293634496919</c:v>
                </c:pt>
                <c:pt idx="188">
                  <c:v>17.511293634496919</c:v>
                </c:pt>
                <c:pt idx="189">
                  <c:v>17.577002053388089</c:v>
                </c:pt>
                <c:pt idx="190">
                  <c:v>17.577002053388089</c:v>
                </c:pt>
                <c:pt idx="191">
                  <c:v>17.609856262833677</c:v>
                </c:pt>
                <c:pt idx="192">
                  <c:v>17.609856262833677</c:v>
                </c:pt>
                <c:pt idx="193">
                  <c:v>17.642710472279262</c:v>
                </c:pt>
                <c:pt idx="194">
                  <c:v>17.642710472279262</c:v>
                </c:pt>
                <c:pt idx="195">
                  <c:v>17.741273100616016</c:v>
                </c:pt>
                <c:pt idx="196">
                  <c:v>17.741273100616016</c:v>
                </c:pt>
                <c:pt idx="197">
                  <c:v>17.806981519507186</c:v>
                </c:pt>
                <c:pt idx="198">
                  <c:v>17.806981519507186</c:v>
                </c:pt>
                <c:pt idx="199">
                  <c:v>17.872689938398356</c:v>
                </c:pt>
                <c:pt idx="200">
                  <c:v>17.872689938398356</c:v>
                </c:pt>
                <c:pt idx="201">
                  <c:v>17.905544147843944</c:v>
                </c:pt>
                <c:pt idx="202">
                  <c:v>17.905544147843944</c:v>
                </c:pt>
                <c:pt idx="203">
                  <c:v>17.971252566735114</c:v>
                </c:pt>
                <c:pt idx="204">
                  <c:v>17.971252566735114</c:v>
                </c:pt>
                <c:pt idx="205">
                  <c:v>18.004106776180699</c:v>
                </c:pt>
                <c:pt idx="206">
                  <c:v>18.004106776180699</c:v>
                </c:pt>
                <c:pt idx="207">
                  <c:v>18.069815195071868</c:v>
                </c:pt>
                <c:pt idx="208">
                  <c:v>18.069815195071868</c:v>
                </c:pt>
                <c:pt idx="209">
                  <c:v>18.135523613963038</c:v>
                </c:pt>
                <c:pt idx="210">
                  <c:v>18.135523613963038</c:v>
                </c:pt>
                <c:pt idx="211">
                  <c:v>18.201232032854211</c:v>
                </c:pt>
                <c:pt idx="212">
                  <c:v>18.201232032854211</c:v>
                </c:pt>
                <c:pt idx="213">
                  <c:v>18.299794661190965</c:v>
                </c:pt>
                <c:pt idx="214">
                  <c:v>18.299794661190965</c:v>
                </c:pt>
                <c:pt idx="215">
                  <c:v>18.365503080082135</c:v>
                </c:pt>
                <c:pt idx="216">
                  <c:v>18.365503080082135</c:v>
                </c:pt>
                <c:pt idx="217">
                  <c:v>18.496919917864478</c:v>
                </c:pt>
                <c:pt idx="218">
                  <c:v>18.496919917864478</c:v>
                </c:pt>
                <c:pt idx="219">
                  <c:v>18.529774127310063</c:v>
                </c:pt>
                <c:pt idx="220">
                  <c:v>18.529774127310063</c:v>
                </c:pt>
                <c:pt idx="221">
                  <c:v>18.759753593429156</c:v>
                </c:pt>
                <c:pt idx="222">
                  <c:v>18.759753593429156</c:v>
                </c:pt>
                <c:pt idx="223">
                  <c:v>18.82546201232033</c:v>
                </c:pt>
                <c:pt idx="224">
                  <c:v>18.82546201232033</c:v>
                </c:pt>
                <c:pt idx="225">
                  <c:v>18.891170431211499</c:v>
                </c:pt>
                <c:pt idx="226">
                  <c:v>18.891170431211499</c:v>
                </c:pt>
                <c:pt idx="227">
                  <c:v>18.956878850102669</c:v>
                </c:pt>
                <c:pt idx="228">
                  <c:v>18.956878850102669</c:v>
                </c:pt>
                <c:pt idx="229">
                  <c:v>18.989733059548254</c:v>
                </c:pt>
                <c:pt idx="230">
                  <c:v>18.989733059548254</c:v>
                </c:pt>
                <c:pt idx="231">
                  <c:v>19.022587268993838</c:v>
                </c:pt>
                <c:pt idx="232">
                  <c:v>19.022587268993838</c:v>
                </c:pt>
                <c:pt idx="233">
                  <c:v>19.252566735112936</c:v>
                </c:pt>
                <c:pt idx="234">
                  <c:v>19.252566735112936</c:v>
                </c:pt>
                <c:pt idx="235">
                  <c:v>19.515400410677618</c:v>
                </c:pt>
                <c:pt idx="236">
                  <c:v>19.515400410677618</c:v>
                </c:pt>
                <c:pt idx="237">
                  <c:v>19.548254620123203</c:v>
                </c:pt>
                <c:pt idx="238">
                  <c:v>19.548254620123203</c:v>
                </c:pt>
                <c:pt idx="239">
                  <c:v>19.646817248459961</c:v>
                </c:pt>
                <c:pt idx="240">
                  <c:v>19.646817248459961</c:v>
                </c:pt>
                <c:pt idx="241">
                  <c:v>19.71252566735113</c:v>
                </c:pt>
                <c:pt idx="242">
                  <c:v>19.71252566735113</c:v>
                </c:pt>
                <c:pt idx="243">
                  <c:v>20.106776180698152</c:v>
                </c:pt>
                <c:pt idx="244">
                  <c:v>20.106776180698152</c:v>
                </c:pt>
                <c:pt idx="245">
                  <c:v>20.435318275154003</c:v>
                </c:pt>
                <c:pt idx="246">
                  <c:v>20.435318275154003</c:v>
                </c:pt>
                <c:pt idx="247">
                  <c:v>20.501026694045173</c:v>
                </c:pt>
                <c:pt idx="248">
                  <c:v>20.501026694045173</c:v>
                </c:pt>
                <c:pt idx="249">
                  <c:v>20.6652977412731</c:v>
                </c:pt>
                <c:pt idx="250">
                  <c:v>20.6652977412731</c:v>
                </c:pt>
                <c:pt idx="251">
                  <c:v>20.763860369609855</c:v>
                </c:pt>
                <c:pt idx="252">
                  <c:v>20.763860369609855</c:v>
                </c:pt>
                <c:pt idx="253">
                  <c:v>20.928131416837783</c:v>
                </c:pt>
                <c:pt idx="254">
                  <c:v>20.928131416837783</c:v>
                </c:pt>
                <c:pt idx="255">
                  <c:v>21.223819301848049</c:v>
                </c:pt>
                <c:pt idx="256">
                  <c:v>21.223819301848049</c:v>
                </c:pt>
                <c:pt idx="257">
                  <c:v>21.289527720739219</c:v>
                </c:pt>
                <c:pt idx="258">
                  <c:v>21.289527720739219</c:v>
                </c:pt>
                <c:pt idx="259">
                  <c:v>21.355236139630389</c:v>
                </c:pt>
                <c:pt idx="260">
                  <c:v>21.355236139630389</c:v>
                </c:pt>
                <c:pt idx="261">
                  <c:v>21.749486652977414</c:v>
                </c:pt>
                <c:pt idx="262">
                  <c:v>21.749486652977414</c:v>
                </c:pt>
                <c:pt idx="263">
                  <c:v>22.012320328542096</c:v>
                </c:pt>
                <c:pt idx="264">
                  <c:v>22.012320328542096</c:v>
                </c:pt>
                <c:pt idx="265">
                  <c:v>22.17659137577002</c:v>
                </c:pt>
                <c:pt idx="266">
                  <c:v>22.17659137577002</c:v>
                </c:pt>
                <c:pt idx="267">
                  <c:v>22.308008213552363</c:v>
                </c:pt>
                <c:pt idx="268">
                  <c:v>22.308008213552363</c:v>
                </c:pt>
                <c:pt idx="269">
                  <c:v>22.570841889117045</c:v>
                </c:pt>
                <c:pt idx="270">
                  <c:v>22.570841889117045</c:v>
                </c:pt>
                <c:pt idx="271">
                  <c:v>22.932238193018481</c:v>
                </c:pt>
                <c:pt idx="272">
                  <c:v>22.932238193018481</c:v>
                </c:pt>
                <c:pt idx="273">
                  <c:v>23.227926078028748</c:v>
                </c:pt>
                <c:pt idx="274">
                  <c:v>23.227926078028748</c:v>
                </c:pt>
                <c:pt idx="275">
                  <c:v>23.392197125256672</c:v>
                </c:pt>
                <c:pt idx="276">
                  <c:v>23.392197125256672</c:v>
                </c:pt>
                <c:pt idx="277">
                  <c:v>23.457905544147845</c:v>
                </c:pt>
                <c:pt idx="278">
                  <c:v>23.457905544147845</c:v>
                </c:pt>
                <c:pt idx="279">
                  <c:v>23.720739219712527</c:v>
                </c:pt>
                <c:pt idx="280">
                  <c:v>23.720739219712527</c:v>
                </c:pt>
                <c:pt idx="281">
                  <c:v>23.885010266940451</c:v>
                </c:pt>
                <c:pt idx="282">
                  <c:v>23.885010266940451</c:v>
                </c:pt>
                <c:pt idx="283">
                  <c:v>23.950718685831621</c:v>
                </c:pt>
                <c:pt idx="284">
                  <c:v>23.950718685831621</c:v>
                </c:pt>
                <c:pt idx="285">
                  <c:v>23.983572895277206</c:v>
                </c:pt>
                <c:pt idx="286">
                  <c:v>23.983572895277206</c:v>
                </c:pt>
                <c:pt idx="287">
                  <c:v>24.016427104722794</c:v>
                </c:pt>
                <c:pt idx="288">
                  <c:v>24.016427104722794</c:v>
                </c:pt>
                <c:pt idx="289">
                  <c:v>24.049281314168379</c:v>
                </c:pt>
                <c:pt idx="290">
                  <c:v>24.049281314168379</c:v>
                </c:pt>
                <c:pt idx="291">
                  <c:v>24.377823408624231</c:v>
                </c:pt>
                <c:pt idx="292">
                  <c:v>24.377823408624231</c:v>
                </c:pt>
                <c:pt idx="293">
                  <c:v>24.476386036960985</c:v>
                </c:pt>
                <c:pt idx="294">
                  <c:v>24.476386036960985</c:v>
                </c:pt>
                <c:pt idx="295">
                  <c:v>24.542094455852155</c:v>
                </c:pt>
                <c:pt idx="296">
                  <c:v>24.542094455852155</c:v>
                </c:pt>
                <c:pt idx="297">
                  <c:v>24.57494866529774</c:v>
                </c:pt>
                <c:pt idx="298">
                  <c:v>24.57494866529774</c:v>
                </c:pt>
                <c:pt idx="299">
                  <c:v>24.772073921971252</c:v>
                </c:pt>
                <c:pt idx="300">
                  <c:v>24.772073921971252</c:v>
                </c:pt>
                <c:pt idx="301">
                  <c:v>24.804928131416837</c:v>
                </c:pt>
                <c:pt idx="302">
                  <c:v>24.804928131416837</c:v>
                </c:pt>
                <c:pt idx="303">
                  <c:v>25.034907597535934</c:v>
                </c:pt>
                <c:pt idx="304">
                  <c:v>25.034907597535934</c:v>
                </c:pt>
                <c:pt idx="305">
                  <c:v>25.264887063655031</c:v>
                </c:pt>
                <c:pt idx="306">
                  <c:v>25.264887063655031</c:v>
                </c:pt>
                <c:pt idx="307">
                  <c:v>25.363449691991786</c:v>
                </c:pt>
                <c:pt idx="308">
                  <c:v>25.363449691991786</c:v>
                </c:pt>
                <c:pt idx="309">
                  <c:v>25.494866529774129</c:v>
                </c:pt>
                <c:pt idx="310">
                  <c:v>25.494866529774129</c:v>
                </c:pt>
                <c:pt idx="311">
                  <c:v>25.757700205338811</c:v>
                </c:pt>
                <c:pt idx="312">
                  <c:v>25.757700205338811</c:v>
                </c:pt>
                <c:pt idx="313">
                  <c:v>25.95482546201232</c:v>
                </c:pt>
                <c:pt idx="314">
                  <c:v>25.95482546201232</c:v>
                </c:pt>
                <c:pt idx="315">
                  <c:v>26.119096509240247</c:v>
                </c:pt>
                <c:pt idx="316">
                  <c:v>26.119096509240247</c:v>
                </c:pt>
                <c:pt idx="317">
                  <c:v>26.184804928131417</c:v>
                </c:pt>
                <c:pt idx="318">
                  <c:v>26.184804928131417</c:v>
                </c:pt>
                <c:pt idx="319">
                  <c:v>26.250513347022586</c:v>
                </c:pt>
                <c:pt idx="320">
                  <c:v>26.250513347022586</c:v>
                </c:pt>
                <c:pt idx="321">
                  <c:v>26.316221765913756</c:v>
                </c:pt>
                <c:pt idx="322">
                  <c:v>26.316221765913756</c:v>
                </c:pt>
                <c:pt idx="323">
                  <c:v>26.447638603696099</c:v>
                </c:pt>
                <c:pt idx="324">
                  <c:v>26.447638603696099</c:v>
                </c:pt>
                <c:pt idx="325">
                  <c:v>26.90759753593429</c:v>
                </c:pt>
                <c:pt idx="326">
                  <c:v>26.90759753593429</c:v>
                </c:pt>
                <c:pt idx="327">
                  <c:v>27.170431211498972</c:v>
                </c:pt>
                <c:pt idx="328">
                  <c:v>27.170431211498972</c:v>
                </c:pt>
                <c:pt idx="329">
                  <c:v>27.466119096509239</c:v>
                </c:pt>
                <c:pt idx="330">
                  <c:v>27.466119096509239</c:v>
                </c:pt>
                <c:pt idx="331">
                  <c:v>27.531827515400412</c:v>
                </c:pt>
                <c:pt idx="332">
                  <c:v>27.531827515400412</c:v>
                </c:pt>
                <c:pt idx="333">
                  <c:v>27.663244353182751</c:v>
                </c:pt>
                <c:pt idx="334">
                  <c:v>27.663244353182751</c:v>
                </c:pt>
                <c:pt idx="335">
                  <c:v>28.090349075975361</c:v>
                </c:pt>
                <c:pt idx="336">
                  <c:v>28.090349075975361</c:v>
                </c:pt>
                <c:pt idx="337">
                  <c:v>28.156057494866531</c:v>
                </c:pt>
                <c:pt idx="338">
                  <c:v>28.156057494866531</c:v>
                </c:pt>
                <c:pt idx="339">
                  <c:v>28.2217659137577</c:v>
                </c:pt>
                <c:pt idx="340">
                  <c:v>28.2217659137577</c:v>
                </c:pt>
                <c:pt idx="341">
                  <c:v>28.28747433264887</c:v>
                </c:pt>
                <c:pt idx="342">
                  <c:v>28.28747433264887</c:v>
                </c:pt>
                <c:pt idx="343">
                  <c:v>28.418891170431213</c:v>
                </c:pt>
                <c:pt idx="344">
                  <c:v>28.418891170431213</c:v>
                </c:pt>
                <c:pt idx="345">
                  <c:v>28.451745379876797</c:v>
                </c:pt>
                <c:pt idx="346">
                  <c:v>28.451745379876797</c:v>
                </c:pt>
                <c:pt idx="347">
                  <c:v>28.484599589322382</c:v>
                </c:pt>
                <c:pt idx="348">
                  <c:v>28.484599589322382</c:v>
                </c:pt>
                <c:pt idx="349">
                  <c:v>28.780287474332649</c:v>
                </c:pt>
                <c:pt idx="350">
                  <c:v>28.780287474332649</c:v>
                </c:pt>
                <c:pt idx="351">
                  <c:v>29.010266940451746</c:v>
                </c:pt>
                <c:pt idx="352">
                  <c:v>29.010266940451746</c:v>
                </c:pt>
                <c:pt idx="353">
                  <c:v>29.207392197125255</c:v>
                </c:pt>
                <c:pt idx="354">
                  <c:v>29.207392197125255</c:v>
                </c:pt>
                <c:pt idx="355">
                  <c:v>29.240246406570844</c:v>
                </c:pt>
                <c:pt idx="356">
                  <c:v>29.240246406570844</c:v>
                </c:pt>
                <c:pt idx="357">
                  <c:v>29.273100616016428</c:v>
                </c:pt>
                <c:pt idx="358">
                  <c:v>29.273100616016428</c:v>
                </c:pt>
                <c:pt idx="359">
                  <c:v>29.338809034907598</c:v>
                </c:pt>
                <c:pt idx="360">
                  <c:v>29.338809034907598</c:v>
                </c:pt>
                <c:pt idx="361">
                  <c:v>30.160164271047229</c:v>
                </c:pt>
                <c:pt idx="362">
                  <c:v>30.160164271047229</c:v>
                </c:pt>
                <c:pt idx="363">
                  <c:v>31.04722792607803</c:v>
                </c:pt>
                <c:pt idx="364">
                  <c:v>31.04722792607803</c:v>
                </c:pt>
                <c:pt idx="365">
                  <c:v>31.408624229979466</c:v>
                </c:pt>
                <c:pt idx="366">
                  <c:v>31.408624229979466</c:v>
                </c:pt>
                <c:pt idx="367">
                  <c:v>31.507186858316221</c:v>
                </c:pt>
                <c:pt idx="368">
                  <c:v>31.507186858316221</c:v>
                </c:pt>
                <c:pt idx="369">
                  <c:v>31.540041067761805</c:v>
                </c:pt>
                <c:pt idx="370">
                  <c:v>31.540041067761805</c:v>
                </c:pt>
                <c:pt idx="371">
                  <c:v>31.671457905544148</c:v>
                </c:pt>
                <c:pt idx="372">
                  <c:v>31.671457905544148</c:v>
                </c:pt>
                <c:pt idx="373">
                  <c:v>32.229979466119097</c:v>
                </c:pt>
                <c:pt idx="374">
                  <c:v>32.229979466119097</c:v>
                </c:pt>
                <c:pt idx="375">
                  <c:v>32.262833675564679</c:v>
                </c:pt>
                <c:pt idx="376">
                  <c:v>32.262833675564679</c:v>
                </c:pt>
                <c:pt idx="377">
                  <c:v>32.295687885010267</c:v>
                </c:pt>
                <c:pt idx="378">
                  <c:v>32.295687885010267</c:v>
                </c:pt>
                <c:pt idx="379">
                  <c:v>32.558521560574945</c:v>
                </c:pt>
                <c:pt idx="380">
                  <c:v>32.558521560574945</c:v>
                </c:pt>
                <c:pt idx="381">
                  <c:v>32.919917864476389</c:v>
                </c:pt>
                <c:pt idx="382">
                  <c:v>32.919917864476389</c:v>
                </c:pt>
                <c:pt idx="383">
                  <c:v>34.036960985626287</c:v>
                </c:pt>
                <c:pt idx="384">
                  <c:v>34.036960985626287</c:v>
                </c:pt>
                <c:pt idx="385">
                  <c:v>34.266940451745377</c:v>
                </c:pt>
                <c:pt idx="386">
                  <c:v>34.266940451745377</c:v>
                </c:pt>
                <c:pt idx="387">
                  <c:v>34.792607802874741</c:v>
                </c:pt>
                <c:pt idx="388">
                  <c:v>34.792607802874741</c:v>
                </c:pt>
                <c:pt idx="389">
                  <c:v>35.482546201232033</c:v>
                </c:pt>
                <c:pt idx="390">
                  <c:v>35.482546201232033</c:v>
                </c:pt>
                <c:pt idx="391">
                  <c:v>35.811088295687888</c:v>
                </c:pt>
                <c:pt idx="392">
                  <c:v>35.811088295687888</c:v>
                </c:pt>
                <c:pt idx="393">
                  <c:v>35.909650924024639</c:v>
                </c:pt>
                <c:pt idx="394">
                  <c:v>35.909650924024639</c:v>
                </c:pt>
                <c:pt idx="395">
                  <c:v>35.942505133470227</c:v>
                </c:pt>
                <c:pt idx="396">
                  <c:v>35.942505133470227</c:v>
                </c:pt>
                <c:pt idx="397">
                  <c:v>36.303901437371664</c:v>
                </c:pt>
                <c:pt idx="398">
                  <c:v>36.303901437371664</c:v>
                </c:pt>
                <c:pt idx="399">
                  <c:v>36.402464065708422</c:v>
                </c:pt>
                <c:pt idx="400">
                  <c:v>36.402464065708422</c:v>
                </c:pt>
                <c:pt idx="401">
                  <c:v>36.79671457905544</c:v>
                </c:pt>
                <c:pt idx="402">
                  <c:v>36.79671457905544</c:v>
                </c:pt>
                <c:pt idx="403">
                  <c:v>37.453798767967143</c:v>
                </c:pt>
                <c:pt idx="404">
                  <c:v>37.453798767967143</c:v>
                </c:pt>
                <c:pt idx="405">
                  <c:v>37.650924024640659</c:v>
                </c:pt>
                <c:pt idx="406">
                  <c:v>37.650924024640659</c:v>
                </c:pt>
                <c:pt idx="407">
                  <c:v>37.782340862422998</c:v>
                </c:pt>
                <c:pt idx="408">
                  <c:v>37.782340862422998</c:v>
                </c:pt>
                <c:pt idx="409">
                  <c:v>38.012320328542096</c:v>
                </c:pt>
                <c:pt idx="410">
                  <c:v>38.012320328542096</c:v>
                </c:pt>
                <c:pt idx="411">
                  <c:v>38.176591375770023</c:v>
                </c:pt>
                <c:pt idx="412">
                  <c:v>38.176591375770023</c:v>
                </c:pt>
                <c:pt idx="413">
                  <c:v>38.242299794661193</c:v>
                </c:pt>
                <c:pt idx="414">
                  <c:v>38.242299794661193</c:v>
                </c:pt>
                <c:pt idx="415">
                  <c:v>38.439425051334702</c:v>
                </c:pt>
                <c:pt idx="416">
                  <c:v>38.439425051334702</c:v>
                </c:pt>
                <c:pt idx="417">
                  <c:v>38.570841889117041</c:v>
                </c:pt>
                <c:pt idx="418">
                  <c:v>38.570841889117041</c:v>
                </c:pt>
                <c:pt idx="419">
                  <c:v>38.866529774127308</c:v>
                </c:pt>
                <c:pt idx="420">
                  <c:v>38.866529774127308</c:v>
                </c:pt>
                <c:pt idx="421">
                  <c:v>39.162217659137575</c:v>
                </c:pt>
                <c:pt idx="422">
                  <c:v>39.162217659137575</c:v>
                </c:pt>
                <c:pt idx="423">
                  <c:v>39.195071868583163</c:v>
                </c:pt>
                <c:pt idx="424">
                  <c:v>39.195071868583163</c:v>
                </c:pt>
                <c:pt idx="425">
                  <c:v>39.655030800821358</c:v>
                </c:pt>
                <c:pt idx="426">
                  <c:v>39.655030800821358</c:v>
                </c:pt>
                <c:pt idx="427">
                  <c:v>40.016427104722794</c:v>
                </c:pt>
                <c:pt idx="428">
                  <c:v>40.016427104722794</c:v>
                </c:pt>
                <c:pt idx="429">
                  <c:v>40.049281314168375</c:v>
                </c:pt>
                <c:pt idx="430">
                  <c:v>40.049281314168375</c:v>
                </c:pt>
                <c:pt idx="431">
                  <c:v>40.246406570841891</c:v>
                </c:pt>
                <c:pt idx="432">
                  <c:v>40.246406570841891</c:v>
                </c:pt>
                <c:pt idx="433">
                  <c:v>40.936344969199176</c:v>
                </c:pt>
                <c:pt idx="434">
                  <c:v>40.936344969199176</c:v>
                </c:pt>
                <c:pt idx="435">
                  <c:v>41.166324435318273</c:v>
                </c:pt>
                <c:pt idx="436">
                  <c:v>41.166324435318273</c:v>
                </c:pt>
                <c:pt idx="437">
                  <c:v>42.020533880903493</c:v>
                </c:pt>
                <c:pt idx="438">
                  <c:v>42.020533880903493</c:v>
                </c:pt>
                <c:pt idx="439">
                  <c:v>42.053388090349074</c:v>
                </c:pt>
                <c:pt idx="440">
                  <c:v>42.053388090349074</c:v>
                </c:pt>
                <c:pt idx="441">
                  <c:v>42.579055441478438</c:v>
                </c:pt>
                <c:pt idx="442">
                  <c:v>42.579055441478438</c:v>
                </c:pt>
                <c:pt idx="443">
                  <c:v>42.907597535934293</c:v>
                </c:pt>
                <c:pt idx="444">
                  <c:v>42.907597535934293</c:v>
                </c:pt>
                <c:pt idx="445">
                  <c:v>43.663244353182755</c:v>
                </c:pt>
                <c:pt idx="446">
                  <c:v>43.663244353182755</c:v>
                </c:pt>
                <c:pt idx="447">
                  <c:v>43.926078028747433</c:v>
                </c:pt>
                <c:pt idx="448">
                  <c:v>43.926078028747433</c:v>
                </c:pt>
                <c:pt idx="449">
                  <c:v>44.123203285420942</c:v>
                </c:pt>
                <c:pt idx="450">
                  <c:v>44.123203285420942</c:v>
                </c:pt>
                <c:pt idx="451">
                  <c:v>44.418891170431209</c:v>
                </c:pt>
                <c:pt idx="452">
                  <c:v>44.418891170431209</c:v>
                </c:pt>
                <c:pt idx="453">
                  <c:v>44.780287474332646</c:v>
                </c:pt>
                <c:pt idx="454">
                  <c:v>44.780287474332646</c:v>
                </c:pt>
                <c:pt idx="455">
                  <c:v>44.878850102669404</c:v>
                </c:pt>
                <c:pt idx="456">
                  <c:v>44.878850102669404</c:v>
                </c:pt>
                <c:pt idx="457">
                  <c:v>45.043121149897331</c:v>
                </c:pt>
                <c:pt idx="458">
                  <c:v>45.043121149897331</c:v>
                </c:pt>
                <c:pt idx="459">
                  <c:v>45.568788501026695</c:v>
                </c:pt>
                <c:pt idx="460">
                  <c:v>45.568788501026695</c:v>
                </c:pt>
                <c:pt idx="461">
                  <c:v>45.601642710472277</c:v>
                </c:pt>
                <c:pt idx="462">
                  <c:v>45.601642710472277</c:v>
                </c:pt>
                <c:pt idx="463">
                  <c:v>46.652977412731005</c:v>
                </c:pt>
                <c:pt idx="464">
                  <c:v>46.652977412731005</c:v>
                </c:pt>
                <c:pt idx="465">
                  <c:v>47.605749486652975</c:v>
                </c:pt>
                <c:pt idx="466">
                  <c:v>47.605749486652975</c:v>
                </c:pt>
                <c:pt idx="467">
                  <c:v>47.93429158110883</c:v>
                </c:pt>
                <c:pt idx="468">
                  <c:v>47.93429158110883</c:v>
                </c:pt>
                <c:pt idx="469">
                  <c:v>47.967145790554412</c:v>
                </c:pt>
                <c:pt idx="470">
                  <c:v>47.967145790554412</c:v>
                </c:pt>
                <c:pt idx="471">
                  <c:v>48.06570841889117</c:v>
                </c:pt>
                <c:pt idx="472">
                  <c:v>48.06570841889117</c:v>
                </c:pt>
                <c:pt idx="473">
                  <c:v>48.657084188911703</c:v>
                </c:pt>
                <c:pt idx="474">
                  <c:v>48.657084188911703</c:v>
                </c:pt>
                <c:pt idx="475">
                  <c:v>49.051334702258728</c:v>
                </c:pt>
                <c:pt idx="476">
                  <c:v>49.051334702258728</c:v>
                </c:pt>
                <c:pt idx="477">
                  <c:v>49.347022587268995</c:v>
                </c:pt>
                <c:pt idx="478">
                  <c:v>49.347022587268995</c:v>
                </c:pt>
                <c:pt idx="479">
                  <c:v>49.97125256673511</c:v>
                </c:pt>
                <c:pt idx="480">
                  <c:v>49.97125256673511</c:v>
                </c:pt>
                <c:pt idx="481">
                  <c:v>50.102669404517457</c:v>
                </c:pt>
                <c:pt idx="482">
                  <c:v>50.102669404517457</c:v>
                </c:pt>
                <c:pt idx="483">
                  <c:v>50.201232032854207</c:v>
                </c:pt>
                <c:pt idx="484">
                  <c:v>50.201232032854207</c:v>
                </c:pt>
                <c:pt idx="485">
                  <c:v>52.139630390143736</c:v>
                </c:pt>
                <c:pt idx="486">
                  <c:v>52.139630390143736</c:v>
                </c:pt>
                <c:pt idx="487">
                  <c:v>52.205338809034906</c:v>
                </c:pt>
                <c:pt idx="488">
                  <c:v>52.205338809034906</c:v>
                </c:pt>
                <c:pt idx="489">
                  <c:v>52.599589322381931</c:v>
                </c:pt>
                <c:pt idx="490">
                  <c:v>52.599589322381931</c:v>
                </c:pt>
                <c:pt idx="491">
                  <c:v>53.913757700205338</c:v>
                </c:pt>
                <c:pt idx="492">
                  <c:v>53.913757700205338</c:v>
                </c:pt>
                <c:pt idx="493">
                  <c:v>55.030800821355236</c:v>
                </c:pt>
                <c:pt idx="494">
                  <c:v>55.030800821355236</c:v>
                </c:pt>
                <c:pt idx="495">
                  <c:v>55.162217659137575</c:v>
                </c:pt>
                <c:pt idx="496">
                  <c:v>55.162217659137575</c:v>
                </c:pt>
                <c:pt idx="497">
                  <c:v>55.326488706365502</c:v>
                </c:pt>
                <c:pt idx="498">
                  <c:v>55.326488706365502</c:v>
                </c:pt>
                <c:pt idx="499">
                  <c:v>55.885010266940455</c:v>
                </c:pt>
                <c:pt idx="500">
                  <c:v>55.885010266940455</c:v>
                </c:pt>
                <c:pt idx="501">
                  <c:v>56.837782340862425</c:v>
                </c:pt>
                <c:pt idx="502">
                  <c:v>56.837782340862425</c:v>
                </c:pt>
                <c:pt idx="503">
                  <c:v>57.593429158110879</c:v>
                </c:pt>
                <c:pt idx="504">
                  <c:v>57.593429158110879</c:v>
                </c:pt>
                <c:pt idx="505">
                  <c:v>57.921971252566735</c:v>
                </c:pt>
                <c:pt idx="506">
                  <c:v>57.921971252566735</c:v>
                </c:pt>
                <c:pt idx="507">
                  <c:v>59.3347022587269</c:v>
                </c:pt>
                <c:pt idx="508">
                  <c:v>59.3347022587269</c:v>
                </c:pt>
                <c:pt idx="509">
                  <c:v>59.367556468172488</c:v>
                </c:pt>
                <c:pt idx="510">
                  <c:v>59.367556468172488</c:v>
                </c:pt>
                <c:pt idx="511">
                  <c:v>59.597535934291578</c:v>
                </c:pt>
                <c:pt idx="512">
                  <c:v>59.597535934291578</c:v>
                </c:pt>
                <c:pt idx="513">
                  <c:v>63.014373716632441</c:v>
                </c:pt>
                <c:pt idx="514">
                  <c:v>63.014373716632441</c:v>
                </c:pt>
                <c:pt idx="515">
                  <c:v>64.887063655030801</c:v>
                </c:pt>
                <c:pt idx="516">
                  <c:v>64.887063655030801</c:v>
                </c:pt>
                <c:pt idx="517">
                  <c:v>64.952772073921977</c:v>
                </c:pt>
                <c:pt idx="518">
                  <c:v>64.952772073921977</c:v>
                </c:pt>
                <c:pt idx="519">
                  <c:v>65.347022587268995</c:v>
                </c:pt>
                <c:pt idx="520">
                  <c:v>65.347022587268995</c:v>
                </c:pt>
                <c:pt idx="521">
                  <c:v>65.379876796714584</c:v>
                </c:pt>
                <c:pt idx="522">
                  <c:v>65.379876796714584</c:v>
                </c:pt>
                <c:pt idx="523">
                  <c:v>66.201232032854207</c:v>
                </c:pt>
                <c:pt idx="524">
                  <c:v>66.201232032854207</c:v>
                </c:pt>
                <c:pt idx="525">
                  <c:v>66.299794661190958</c:v>
                </c:pt>
                <c:pt idx="526">
                  <c:v>66.299794661190958</c:v>
                </c:pt>
                <c:pt idx="527">
                  <c:v>66.69404517453799</c:v>
                </c:pt>
                <c:pt idx="528">
                  <c:v>66.69404517453799</c:v>
                </c:pt>
                <c:pt idx="529">
                  <c:v>66.82546201232033</c:v>
                </c:pt>
                <c:pt idx="530">
                  <c:v>66.82546201232033</c:v>
                </c:pt>
                <c:pt idx="531">
                  <c:v>66.989733059548257</c:v>
                </c:pt>
                <c:pt idx="532">
                  <c:v>66.989733059548257</c:v>
                </c:pt>
                <c:pt idx="533">
                  <c:v>68.763860369609858</c:v>
                </c:pt>
                <c:pt idx="534">
                  <c:v>68.763860369609858</c:v>
                </c:pt>
                <c:pt idx="535">
                  <c:v>75.104722792607802</c:v>
                </c:pt>
                <c:pt idx="536">
                  <c:v>75.104722792607802</c:v>
                </c:pt>
                <c:pt idx="537">
                  <c:v>77.930184804928132</c:v>
                </c:pt>
                <c:pt idx="538">
                  <c:v>77.930184804928132</c:v>
                </c:pt>
                <c:pt idx="539">
                  <c:v>80.689938398357285</c:v>
                </c:pt>
                <c:pt idx="540">
                  <c:v>80.689938398357285</c:v>
                </c:pt>
                <c:pt idx="541">
                  <c:v>87.359342915811084</c:v>
                </c:pt>
              </c:numCache>
            </c:numRef>
          </c:xVal>
          <c:yVal>
            <c:numRef>
              <c:f>Data!$N$6:$N$1154</c:f>
              <c:numCache>
                <c:formatCode>0.0000</c:formatCode>
                <c:ptCount val="1149"/>
                <c:pt idx="0">
                  <c:v>1</c:v>
                </c:pt>
                <c:pt idx="1">
                  <c:v>1</c:v>
                </c:pt>
                <c:pt idx="2">
                  <c:v>0.99851190476190477</c:v>
                </c:pt>
                <c:pt idx="3">
                  <c:v>0.99851190476190477</c:v>
                </c:pt>
                <c:pt idx="4">
                  <c:v>0.99702380952380953</c:v>
                </c:pt>
                <c:pt idx="5">
                  <c:v>0.99702380952380953</c:v>
                </c:pt>
                <c:pt idx="6">
                  <c:v>0.9955357142857143</c:v>
                </c:pt>
                <c:pt idx="7">
                  <c:v>0.9955357142857143</c:v>
                </c:pt>
                <c:pt idx="8">
                  <c:v>0.99404539136013692</c:v>
                </c:pt>
                <c:pt idx="9">
                  <c:v>0.99404539136013692</c:v>
                </c:pt>
                <c:pt idx="10">
                  <c:v>0.99255283071244904</c:v>
                </c:pt>
                <c:pt idx="11">
                  <c:v>0.99255283071244904</c:v>
                </c:pt>
                <c:pt idx="12">
                  <c:v>0.99105802223246042</c:v>
                </c:pt>
                <c:pt idx="13">
                  <c:v>0.99105802223246042</c:v>
                </c:pt>
                <c:pt idx="14">
                  <c:v>0.9895632137524718</c:v>
                </c:pt>
                <c:pt idx="15">
                  <c:v>0.9895632137524718</c:v>
                </c:pt>
                <c:pt idx="16">
                  <c:v>0.98806840527248319</c:v>
                </c:pt>
                <c:pt idx="17">
                  <c:v>0.98806840527248319</c:v>
                </c:pt>
                <c:pt idx="18">
                  <c:v>0.98657359679249457</c:v>
                </c:pt>
                <c:pt idx="19">
                  <c:v>0.98657359679249457</c:v>
                </c:pt>
                <c:pt idx="20">
                  <c:v>0.98358397983251733</c:v>
                </c:pt>
                <c:pt idx="21">
                  <c:v>0.98358397983251733</c:v>
                </c:pt>
                <c:pt idx="22">
                  <c:v>0.98208689614936273</c:v>
                </c:pt>
                <c:pt idx="23">
                  <c:v>0.98208689614936273</c:v>
                </c:pt>
                <c:pt idx="24">
                  <c:v>0.98058981246620824</c:v>
                </c:pt>
                <c:pt idx="25">
                  <c:v>0.98058981246620824</c:v>
                </c:pt>
                <c:pt idx="26">
                  <c:v>0.97909272878305376</c:v>
                </c:pt>
                <c:pt idx="27">
                  <c:v>0.97909272878305376</c:v>
                </c:pt>
                <c:pt idx="28">
                  <c:v>0.97759335247557588</c:v>
                </c:pt>
                <c:pt idx="29">
                  <c:v>0.97759335247557588</c:v>
                </c:pt>
                <c:pt idx="30">
                  <c:v>0.97609397616809801</c:v>
                </c:pt>
                <c:pt idx="31">
                  <c:v>0.97609397616809801</c:v>
                </c:pt>
                <c:pt idx="32">
                  <c:v>0.97459229312783946</c:v>
                </c:pt>
                <c:pt idx="33">
                  <c:v>0.97459229312783946</c:v>
                </c:pt>
                <c:pt idx="34">
                  <c:v>0.97308829267548169</c:v>
                </c:pt>
                <c:pt idx="35">
                  <c:v>0.97308829267548169</c:v>
                </c:pt>
                <c:pt idx="36">
                  <c:v>0.97158429222312392</c:v>
                </c:pt>
                <c:pt idx="37">
                  <c:v>0.97158429222312392</c:v>
                </c:pt>
                <c:pt idx="38">
                  <c:v>0.9700779599871191</c:v>
                </c:pt>
                <c:pt idx="39">
                  <c:v>0.9700779599871191</c:v>
                </c:pt>
                <c:pt idx="40">
                  <c:v>0.96857162775111427</c:v>
                </c:pt>
                <c:pt idx="41">
                  <c:v>0.96857162775111427</c:v>
                </c:pt>
                <c:pt idx="42">
                  <c:v>0.96706529551510945</c:v>
                </c:pt>
                <c:pt idx="43">
                  <c:v>0.96706529551510945</c:v>
                </c:pt>
                <c:pt idx="44">
                  <c:v>0.96555896327910462</c:v>
                </c:pt>
                <c:pt idx="45">
                  <c:v>0.96555896327910462</c:v>
                </c:pt>
                <c:pt idx="46">
                  <c:v>0.96405263104309979</c:v>
                </c:pt>
                <c:pt idx="47">
                  <c:v>0.96405263104309979</c:v>
                </c:pt>
                <c:pt idx="48">
                  <c:v>0.96254629880709497</c:v>
                </c:pt>
                <c:pt idx="49">
                  <c:v>0.96254629880709497</c:v>
                </c:pt>
                <c:pt idx="50">
                  <c:v>0.96103996657109014</c:v>
                </c:pt>
                <c:pt idx="51">
                  <c:v>0.96103996657109014</c:v>
                </c:pt>
                <c:pt idx="52">
                  <c:v>0.95802730209908049</c:v>
                </c:pt>
                <c:pt idx="53">
                  <c:v>0.95802730209908049</c:v>
                </c:pt>
                <c:pt idx="54">
                  <c:v>0.95651859768632597</c:v>
                </c:pt>
                <c:pt idx="55">
                  <c:v>0.95651859768632597</c:v>
                </c:pt>
                <c:pt idx="56">
                  <c:v>0.95349642202223017</c:v>
                </c:pt>
                <c:pt idx="57">
                  <c:v>0.95349642202223017</c:v>
                </c:pt>
                <c:pt idx="58">
                  <c:v>0.95047424635813438</c:v>
                </c:pt>
                <c:pt idx="59">
                  <c:v>0.95047424635813438</c:v>
                </c:pt>
                <c:pt idx="60">
                  <c:v>0.94896315852608648</c:v>
                </c:pt>
                <c:pt idx="61">
                  <c:v>0.94896315852608648</c:v>
                </c:pt>
                <c:pt idx="62">
                  <c:v>0.94745207069403847</c:v>
                </c:pt>
                <c:pt idx="63">
                  <c:v>0.94745207069403847</c:v>
                </c:pt>
                <c:pt idx="64">
                  <c:v>0.94594098286199058</c:v>
                </c:pt>
                <c:pt idx="65">
                  <c:v>0.94594098286199058</c:v>
                </c:pt>
                <c:pt idx="66">
                  <c:v>0.94442747728941134</c:v>
                </c:pt>
                <c:pt idx="67">
                  <c:v>0.94442747728941134</c:v>
                </c:pt>
                <c:pt idx="68">
                  <c:v>0.94291397171683211</c:v>
                </c:pt>
                <c:pt idx="69">
                  <c:v>0.94291397171683211</c:v>
                </c:pt>
                <c:pt idx="70">
                  <c:v>0.93988696057167376</c:v>
                </c:pt>
                <c:pt idx="71">
                  <c:v>0.93988696057167376</c:v>
                </c:pt>
                <c:pt idx="72">
                  <c:v>0.93837101386107435</c:v>
                </c:pt>
                <c:pt idx="73">
                  <c:v>0.93837101386107435</c:v>
                </c:pt>
                <c:pt idx="74">
                  <c:v>0.9368501532227258</c:v>
                </c:pt>
                <c:pt idx="75">
                  <c:v>0.9368501532227258</c:v>
                </c:pt>
                <c:pt idx="76">
                  <c:v>0.93532929258437725</c:v>
                </c:pt>
                <c:pt idx="77">
                  <c:v>0.93532929258437725</c:v>
                </c:pt>
                <c:pt idx="78">
                  <c:v>0.93076671066933148</c:v>
                </c:pt>
                <c:pt idx="79">
                  <c:v>0.93076671066933148</c:v>
                </c:pt>
                <c:pt idx="80">
                  <c:v>0.92924585003098292</c:v>
                </c:pt>
                <c:pt idx="81">
                  <c:v>0.92924585003098292</c:v>
                </c:pt>
                <c:pt idx="82">
                  <c:v>0.92772498939263437</c:v>
                </c:pt>
                <c:pt idx="83">
                  <c:v>0.92772498939263437</c:v>
                </c:pt>
                <c:pt idx="84">
                  <c:v>0.92620412875428582</c:v>
                </c:pt>
                <c:pt idx="85">
                  <c:v>0.92620412875428582</c:v>
                </c:pt>
                <c:pt idx="86">
                  <c:v>0.92468326811593726</c:v>
                </c:pt>
                <c:pt idx="87">
                  <c:v>0.92468326811593726</c:v>
                </c:pt>
                <c:pt idx="88">
                  <c:v>0.9231624074775886</c:v>
                </c:pt>
                <c:pt idx="89">
                  <c:v>0.9231624074775886</c:v>
                </c:pt>
                <c:pt idx="90">
                  <c:v>0.92164154683924004</c:v>
                </c:pt>
                <c:pt idx="91">
                  <c:v>0.92164154683924004</c:v>
                </c:pt>
                <c:pt idx="92">
                  <c:v>0.92012068620089149</c:v>
                </c:pt>
                <c:pt idx="93">
                  <c:v>0.92012068620089149</c:v>
                </c:pt>
                <c:pt idx="94">
                  <c:v>0.91707896492419427</c:v>
                </c:pt>
                <c:pt idx="95">
                  <c:v>0.91707896492419427</c:v>
                </c:pt>
                <c:pt idx="96">
                  <c:v>0.91555810428584572</c:v>
                </c:pt>
                <c:pt idx="97">
                  <c:v>0.91555810428584572</c:v>
                </c:pt>
                <c:pt idx="98">
                  <c:v>0.91403471309735018</c:v>
                </c:pt>
                <c:pt idx="99">
                  <c:v>0.91403471309735018</c:v>
                </c:pt>
                <c:pt idx="100">
                  <c:v>0.910987930720359</c:v>
                </c:pt>
                <c:pt idx="101">
                  <c:v>0.910987930720359</c:v>
                </c:pt>
                <c:pt idx="102">
                  <c:v>0.90946453953186346</c:v>
                </c:pt>
                <c:pt idx="103">
                  <c:v>0.90946453953186346</c:v>
                </c:pt>
                <c:pt idx="104">
                  <c:v>0.90794114834336781</c:v>
                </c:pt>
                <c:pt idx="105">
                  <c:v>0.90794114834336781</c:v>
                </c:pt>
                <c:pt idx="106">
                  <c:v>0.90641775715487216</c:v>
                </c:pt>
                <c:pt idx="107">
                  <c:v>0.90641775715487216</c:v>
                </c:pt>
                <c:pt idx="108">
                  <c:v>0.90489436596637662</c:v>
                </c:pt>
                <c:pt idx="109">
                  <c:v>0.90489436596637662</c:v>
                </c:pt>
                <c:pt idx="110">
                  <c:v>0.90337097477788098</c:v>
                </c:pt>
                <c:pt idx="111">
                  <c:v>0.90337097477788098</c:v>
                </c:pt>
                <c:pt idx="112">
                  <c:v>0.90184758358938544</c:v>
                </c:pt>
                <c:pt idx="113">
                  <c:v>0.90184758358938544</c:v>
                </c:pt>
                <c:pt idx="114">
                  <c:v>0.9003241924008899</c:v>
                </c:pt>
                <c:pt idx="115">
                  <c:v>0.9003241924008899</c:v>
                </c:pt>
                <c:pt idx="116">
                  <c:v>0.89880080121239436</c:v>
                </c:pt>
                <c:pt idx="117">
                  <c:v>0.89880080121239436</c:v>
                </c:pt>
                <c:pt idx="118">
                  <c:v>0.89727741002389882</c:v>
                </c:pt>
                <c:pt idx="119">
                  <c:v>0.89727741002389882</c:v>
                </c:pt>
                <c:pt idx="120">
                  <c:v>0.89575401883540318</c:v>
                </c:pt>
                <c:pt idx="121">
                  <c:v>0.89575401883540318</c:v>
                </c:pt>
                <c:pt idx="122">
                  <c:v>0.89423062764690764</c:v>
                </c:pt>
                <c:pt idx="123">
                  <c:v>0.89423062764690764</c:v>
                </c:pt>
                <c:pt idx="124">
                  <c:v>0.8927072364584121</c:v>
                </c:pt>
                <c:pt idx="125">
                  <c:v>0.8927072364584121</c:v>
                </c:pt>
                <c:pt idx="126">
                  <c:v>0.89118384526991645</c:v>
                </c:pt>
                <c:pt idx="127">
                  <c:v>0.89118384526991645</c:v>
                </c:pt>
                <c:pt idx="128">
                  <c:v>0.88813706289292527</c:v>
                </c:pt>
                <c:pt idx="129">
                  <c:v>0.88813706289292527</c:v>
                </c:pt>
                <c:pt idx="130">
                  <c:v>0.88508504549466782</c:v>
                </c:pt>
                <c:pt idx="131">
                  <c:v>0.88508504549466782</c:v>
                </c:pt>
                <c:pt idx="132">
                  <c:v>0.88355375648862167</c:v>
                </c:pt>
                <c:pt idx="133">
                  <c:v>0.88355375648862167</c:v>
                </c:pt>
                <c:pt idx="134">
                  <c:v>0.88202246748257551</c:v>
                </c:pt>
                <c:pt idx="135">
                  <c:v>0.88202246748257551</c:v>
                </c:pt>
                <c:pt idx="136">
                  <c:v>0.88049117847652936</c:v>
                </c:pt>
                <c:pt idx="137">
                  <c:v>0.88049117847652936</c:v>
                </c:pt>
                <c:pt idx="138">
                  <c:v>0.8789598894704832</c:v>
                </c:pt>
                <c:pt idx="139">
                  <c:v>0.8789598894704832</c:v>
                </c:pt>
                <c:pt idx="140">
                  <c:v>0.87742860046443705</c:v>
                </c:pt>
                <c:pt idx="141">
                  <c:v>0.87742860046443705</c:v>
                </c:pt>
                <c:pt idx="142">
                  <c:v>0.87589731145839089</c:v>
                </c:pt>
                <c:pt idx="143">
                  <c:v>0.87589731145839089</c:v>
                </c:pt>
                <c:pt idx="144">
                  <c:v>0.87436602245234474</c:v>
                </c:pt>
                <c:pt idx="145">
                  <c:v>0.87436602245234474</c:v>
                </c:pt>
                <c:pt idx="146">
                  <c:v>0.87283473344629858</c:v>
                </c:pt>
                <c:pt idx="147">
                  <c:v>0.87283473344629858</c:v>
                </c:pt>
                <c:pt idx="148">
                  <c:v>0.8712980525775551</c:v>
                </c:pt>
                <c:pt idx="149">
                  <c:v>0.8712980525775551</c:v>
                </c:pt>
                <c:pt idx="150">
                  <c:v>0.86976137170881163</c:v>
                </c:pt>
                <c:pt idx="151">
                  <c:v>0.86976137170881163</c:v>
                </c:pt>
                <c:pt idx="152">
                  <c:v>0.86822469084006815</c:v>
                </c:pt>
                <c:pt idx="153">
                  <c:v>0.86822469084006815</c:v>
                </c:pt>
                <c:pt idx="154">
                  <c:v>0.86668800997132467</c:v>
                </c:pt>
                <c:pt idx="155">
                  <c:v>0.86668800997132467</c:v>
                </c:pt>
                <c:pt idx="156">
                  <c:v>0.86361464823383771</c:v>
                </c:pt>
                <c:pt idx="157">
                  <c:v>0.86361464823383771</c:v>
                </c:pt>
                <c:pt idx="158">
                  <c:v>0.86207796736509423</c:v>
                </c:pt>
                <c:pt idx="159">
                  <c:v>0.86207796736509423</c:v>
                </c:pt>
                <c:pt idx="160">
                  <c:v>0.86054128649635075</c:v>
                </c:pt>
                <c:pt idx="161">
                  <c:v>0.86054128649635075</c:v>
                </c:pt>
                <c:pt idx="162">
                  <c:v>0.85900185664573114</c:v>
                </c:pt>
                <c:pt idx="163">
                  <c:v>0.85900185664573114</c:v>
                </c:pt>
                <c:pt idx="164">
                  <c:v>0.85438356709387242</c:v>
                </c:pt>
                <c:pt idx="165">
                  <c:v>0.85438356709387242</c:v>
                </c:pt>
                <c:pt idx="166">
                  <c:v>0.85284413724325281</c:v>
                </c:pt>
                <c:pt idx="167">
                  <c:v>0.85284413724325281</c:v>
                </c:pt>
                <c:pt idx="168">
                  <c:v>0.8513047073926332</c:v>
                </c:pt>
                <c:pt idx="169">
                  <c:v>0.8513047073926332</c:v>
                </c:pt>
                <c:pt idx="170">
                  <c:v>0.84976527754201359</c:v>
                </c:pt>
                <c:pt idx="171">
                  <c:v>0.84976527754201359</c:v>
                </c:pt>
                <c:pt idx="172">
                  <c:v>0.84822584769139397</c:v>
                </c:pt>
                <c:pt idx="173">
                  <c:v>0.84822584769139397</c:v>
                </c:pt>
                <c:pt idx="174">
                  <c:v>0.84668641784077436</c:v>
                </c:pt>
                <c:pt idx="175">
                  <c:v>0.84668641784077436</c:v>
                </c:pt>
                <c:pt idx="176">
                  <c:v>0.84514698799015475</c:v>
                </c:pt>
                <c:pt idx="177">
                  <c:v>0.84514698799015475</c:v>
                </c:pt>
                <c:pt idx="178">
                  <c:v>0.84360755813953514</c:v>
                </c:pt>
                <c:pt idx="179">
                  <c:v>0.84360755813953514</c:v>
                </c:pt>
                <c:pt idx="180">
                  <c:v>0.84206812828891553</c:v>
                </c:pt>
                <c:pt idx="181">
                  <c:v>0.84206812828891553</c:v>
                </c:pt>
                <c:pt idx="182">
                  <c:v>0.84052869843829603</c:v>
                </c:pt>
                <c:pt idx="183">
                  <c:v>0.84052869843829603</c:v>
                </c:pt>
                <c:pt idx="184">
                  <c:v>0.83898644394574873</c:v>
                </c:pt>
                <c:pt idx="185">
                  <c:v>0.83898644394574873</c:v>
                </c:pt>
                <c:pt idx="186">
                  <c:v>0.83744134920551716</c:v>
                </c:pt>
                <c:pt idx="187">
                  <c:v>0.83744134920551716</c:v>
                </c:pt>
                <c:pt idx="188">
                  <c:v>0.83589625446528559</c:v>
                </c:pt>
                <c:pt idx="189">
                  <c:v>0.83589625446528559</c:v>
                </c:pt>
                <c:pt idx="190">
                  <c:v>0.83435115972505403</c:v>
                </c:pt>
                <c:pt idx="191">
                  <c:v>0.83435115972505403</c:v>
                </c:pt>
                <c:pt idx="192">
                  <c:v>0.83280606498482246</c:v>
                </c:pt>
                <c:pt idx="193">
                  <c:v>0.83280606498482246</c:v>
                </c:pt>
                <c:pt idx="194">
                  <c:v>0.83126097024459089</c:v>
                </c:pt>
                <c:pt idx="195">
                  <c:v>0.83126097024459089</c:v>
                </c:pt>
                <c:pt idx="196">
                  <c:v>0.82971587550435932</c:v>
                </c:pt>
                <c:pt idx="197">
                  <c:v>0.82971587550435932</c:v>
                </c:pt>
                <c:pt idx="198">
                  <c:v>0.82816789812468694</c:v>
                </c:pt>
                <c:pt idx="199">
                  <c:v>0.82816789812468694</c:v>
                </c:pt>
                <c:pt idx="200">
                  <c:v>0.82507194336534229</c:v>
                </c:pt>
                <c:pt idx="201">
                  <c:v>0.82507194336534229</c:v>
                </c:pt>
                <c:pt idx="202">
                  <c:v>0.8235239659856699</c:v>
                </c:pt>
                <c:pt idx="203">
                  <c:v>0.8235239659856699</c:v>
                </c:pt>
                <c:pt idx="204">
                  <c:v>0.82197307339435977</c:v>
                </c:pt>
                <c:pt idx="205">
                  <c:v>0.82197307339435977</c:v>
                </c:pt>
                <c:pt idx="206">
                  <c:v>0.81732039562042946</c:v>
                </c:pt>
                <c:pt idx="207">
                  <c:v>0.81732039562042946</c:v>
                </c:pt>
                <c:pt idx="208">
                  <c:v>0.8142186104378093</c:v>
                </c:pt>
                <c:pt idx="209">
                  <c:v>0.8142186104378093</c:v>
                </c:pt>
                <c:pt idx="210">
                  <c:v>0.81111682525518902</c:v>
                </c:pt>
                <c:pt idx="211">
                  <c:v>0.81111682525518902</c:v>
                </c:pt>
                <c:pt idx="212">
                  <c:v>0.80800909795536069</c:v>
                </c:pt>
                <c:pt idx="213">
                  <c:v>0.80800909795536069</c:v>
                </c:pt>
                <c:pt idx="214">
                  <c:v>0.80645523430544652</c:v>
                </c:pt>
                <c:pt idx="215">
                  <c:v>0.80645523430544652</c:v>
                </c:pt>
                <c:pt idx="216">
                  <c:v>0.80490137065553236</c:v>
                </c:pt>
                <c:pt idx="217">
                  <c:v>0.80490137065553236</c:v>
                </c:pt>
                <c:pt idx="218">
                  <c:v>0.80334750700561819</c:v>
                </c:pt>
                <c:pt idx="219">
                  <c:v>0.80334750700561819</c:v>
                </c:pt>
                <c:pt idx="220">
                  <c:v>0.80179364335570402</c:v>
                </c:pt>
                <c:pt idx="221">
                  <c:v>0.80179364335570402</c:v>
                </c:pt>
                <c:pt idx="222">
                  <c:v>0.8002306927838605</c:v>
                </c:pt>
                <c:pt idx="223">
                  <c:v>0.8002306927838605</c:v>
                </c:pt>
                <c:pt idx="224">
                  <c:v>0.79866774221201697</c:v>
                </c:pt>
                <c:pt idx="225">
                  <c:v>0.79866774221201697</c:v>
                </c:pt>
                <c:pt idx="226">
                  <c:v>0.79710479164017345</c:v>
                </c:pt>
                <c:pt idx="227">
                  <c:v>0.79710479164017345</c:v>
                </c:pt>
                <c:pt idx="228">
                  <c:v>0.79554184106832992</c:v>
                </c:pt>
                <c:pt idx="229">
                  <c:v>0.79554184106832992</c:v>
                </c:pt>
                <c:pt idx="230">
                  <c:v>0.79397889049648651</c:v>
                </c:pt>
                <c:pt idx="231">
                  <c:v>0.79397889049648651</c:v>
                </c:pt>
                <c:pt idx="232">
                  <c:v>0.79241593992464299</c:v>
                </c:pt>
                <c:pt idx="233">
                  <c:v>0.79241593992464299</c:v>
                </c:pt>
                <c:pt idx="234">
                  <c:v>0.79085298935279946</c:v>
                </c:pt>
                <c:pt idx="235">
                  <c:v>0.79085298935279946</c:v>
                </c:pt>
                <c:pt idx="236">
                  <c:v>0.78772708820911252</c:v>
                </c:pt>
                <c:pt idx="237">
                  <c:v>0.78772708820911252</c:v>
                </c:pt>
                <c:pt idx="238">
                  <c:v>0.786164137637269</c:v>
                </c:pt>
                <c:pt idx="239">
                  <c:v>0.786164137637269</c:v>
                </c:pt>
                <c:pt idx="240">
                  <c:v>0.78459807361807121</c:v>
                </c:pt>
                <c:pt idx="241">
                  <c:v>0.78459807361807121</c:v>
                </c:pt>
                <c:pt idx="242">
                  <c:v>0.78303200959887342</c:v>
                </c:pt>
                <c:pt idx="243">
                  <c:v>0.78303200959887342</c:v>
                </c:pt>
                <c:pt idx="244">
                  <c:v>0.78146594557967564</c:v>
                </c:pt>
                <c:pt idx="245">
                  <c:v>0.78146594557967564</c:v>
                </c:pt>
                <c:pt idx="246">
                  <c:v>0.77989673685361205</c:v>
                </c:pt>
                <c:pt idx="247">
                  <c:v>0.77989673685361205</c:v>
                </c:pt>
                <c:pt idx="248">
                  <c:v>0.77674563892693071</c:v>
                </c:pt>
                <c:pt idx="249">
                  <c:v>0.77674563892693071</c:v>
                </c:pt>
                <c:pt idx="250">
                  <c:v>0.77516688762829866</c:v>
                </c:pt>
                <c:pt idx="251">
                  <c:v>0.77516688762829866</c:v>
                </c:pt>
                <c:pt idx="252">
                  <c:v>0.77358167926914068</c:v>
                </c:pt>
                <c:pt idx="253">
                  <c:v>0.77358167926914068</c:v>
                </c:pt>
                <c:pt idx="254">
                  <c:v>0.77199647090998258</c:v>
                </c:pt>
                <c:pt idx="255">
                  <c:v>0.77199647090998258</c:v>
                </c:pt>
                <c:pt idx="256">
                  <c:v>0.77040800080522953</c:v>
                </c:pt>
                <c:pt idx="257">
                  <c:v>0.77040800080522953</c:v>
                </c:pt>
                <c:pt idx="258">
                  <c:v>0.76881953070047648</c:v>
                </c:pt>
                <c:pt idx="259">
                  <c:v>0.76881953070047648</c:v>
                </c:pt>
                <c:pt idx="260">
                  <c:v>0.76723106059572344</c:v>
                </c:pt>
                <c:pt idx="261">
                  <c:v>0.76723106059572344</c:v>
                </c:pt>
                <c:pt idx="262">
                  <c:v>0.76562932560491814</c:v>
                </c:pt>
                <c:pt idx="263">
                  <c:v>0.76562932560491814</c:v>
                </c:pt>
                <c:pt idx="264">
                  <c:v>0.76402423267912167</c:v>
                </c:pt>
                <c:pt idx="265">
                  <c:v>0.76402423267912167</c:v>
                </c:pt>
                <c:pt idx="266">
                  <c:v>0.7624191397533252</c:v>
                </c:pt>
                <c:pt idx="267">
                  <c:v>0.7624191397533252</c:v>
                </c:pt>
                <c:pt idx="268">
                  <c:v>0.76081066055553337</c:v>
                </c:pt>
                <c:pt idx="269">
                  <c:v>0.76081066055553337</c:v>
                </c:pt>
                <c:pt idx="270">
                  <c:v>0.75920218135774153</c:v>
                </c:pt>
                <c:pt idx="271">
                  <c:v>0.75920218135774153</c:v>
                </c:pt>
                <c:pt idx="272">
                  <c:v>0.75758685756761868</c:v>
                </c:pt>
                <c:pt idx="273">
                  <c:v>0.75758685756761868</c:v>
                </c:pt>
                <c:pt idx="274">
                  <c:v>0.75597153377749582</c:v>
                </c:pt>
                <c:pt idx="275">
                  <c:v>0.75597153377749582</c:v>
                </c:pt>
                <c:pt idx="276">
                  <c:v>0.75435620998737296</c:v>
                </c:pt>
                <c:pt idx="277">
                  <c:v>0.75435620998737296</c:v>
                </c:pt>
                <c:pt idx="278">
                  <c:v>0.7527408861972501</c:v>
                </c:pt>
                <c:pt idx="279">
                  <c:v>0.7527408861972501</c:v>
                </c:pt>
                <c:pt idx="280">
                  <c:v>0.75111859980458362</c:v>
                </c:pt>
                <c:pt idx="281">
                  <c:v>0.75111859980458362</c:v>
                </c:pt>
                <c:pt idx="282">
                  <c:v>0.74948927529307696</c:v>
                </c:pt>
                <c:pt idx="283">
                  <c:v>0.74948927529307696</c:v>
                </c:pt>
                <c:pt idx="284">
                  <c:v>0.7478599507815703</c:v>
                </c:pt>
                <c:pt idx="285">
                  <c:v>0.7478599507815703</c:v>
                </c:pt>
                <c:pt idx="286">
                  <c:v>0.74623062627006365</c:v>
                </c:pt>
                <c:pt idx="287">
                  <c:v>0.74623062627006365</c:v>
                </c:pt>
                <c:pt idx="288">
                  <c:v>0.74460130175855699</c:v>
                </c:pt>
                <c:pt idx="289">
                  <c:v>0.74460130175855699</c:v>
                </c:pt>
                <c:pt idx="290">
                  <c:v>0.74297197724705033</c:v>
                </c:pt>
                <c:pt idx="291">
                  <c:v>0.74297197724705033</c:v>
                </c:pt>
                <c:pt idx="292">
                  <c:v>0.74131725123981862</c:v>
                </c:pt>
                <c:pt idx="293">
                  <c:v>0.74131725123981862</c:v>
                </c:pt>
                <c:pt idx="294">
                  <c:v>0.7396625252325868</c:v>
                </c:pt>
                <c:pt idx="295">
                  <c:v>0.7396625252325868</c:v>
                </c:pt>
                <c:pt idx="296">
                  <c:v>0.73800779922535509</c:v>
                </c:pt>
                <c:pt idx="297">
                  <c:v>0.73800779922535509</c:v>
                </c:pt>
                <c:pt idx="298">
                  <c:v>0.7363493547327139</c:v>
                </c:pt>
                <c:pt idx="299">
                  <c:v>0.7363493547327139</c:v>
                </c:pt>
                <c:pt idx="300">
                  <c:v>0.73468340596635029</c:v>
                </c:pt>
                <c:pt idx="301">
                  <c:v>0.73468340596635029</c:v>
                </c:pt>
                <c:pt idx="302">
                  <c:v>0.73301745719998668</c:v>
                </c:pt>
                <c:pt idx="303">
                  <c:v>0.73301745719998668</c:v>
                </c:pt>
                <c:pt idx="304">
                  <c:v>0.73134007171440318</c:v>
                </c:pt>
                <c:pt idx="305">
                  <c:v>0.73134007171440318</c:v>
                </c:pt>
                <c:pt idx="306">
                  <c:v>0.72965495634178934</c:v>
                </c:pt>
                <c:pt idx="307">
                  <c:v>0.72965495634178934</c:v>
                </c:pt>
                <c:pt idx="308">
                  <c:v>0.72796594023914629</c:v>
                </c:pt>
                <c:pt idx="309">
                  <c:v>0.72796594023914629</c:v>
                </c:pt>
                <c:pt idx="310">
                  <c:v>0.72627299619207852</c:v>
                </c:pt>
                <c:pt idx="311">
                  <c:v>0.72627299619207852</c:v>
                </c:pt>
                <c:pt idx="312">
                  <c:v>0.72457609666826528</c:v>
                </c:pt>
                <c:pt idx="313">
                  <c:v>0.72457609666826528</c:v>
                </c:pt>
                <c:pt idx="314">
                  <c:v>0.72287919714445203</c:v>
                </c:pt>
                <c:pt idx="315">
                  <c:v>0.72287919714445203</c:v>
                </c:pt>
                <c:pt idx="316">
                  <c:v>0.72117830491587687</c:v>
                </c:pt>
                <c:pt idx="317">
                  <c:v>0.72117830491587687</c:v>
                </c:pt>
                <c:pt idx="318">
                  <c:v>0.71777652045872642</c:v>
                </c:pt>
                <c:pt idx="319">
                  <c:v>0.71777652045872642</c:v>
                </c:pt>
                <c:pt idx="320">
                  <c:v>0.71607158810609284</c:v>
                </c:pt>
                <c:pt idx="321">
                  <c:v>0.71607158810609284</c:v>
                </c:pt>
                <c:pt idx="322">
                  <c:v>0.71436665575345926</c:v>
                </c:pt>
                <c:pt idx="323">
                  <c:v>0.71436665575345926</c:v>
                </c:pt>
                <c:pt idx="324">
                  <c:v>0.71266172340082568</c:v>
                </c:pt>
                <c:pt idx="325">
                  <c:v>0.71266172340082568</c:v>
                </c:pt>
                <c:pt idx="326">
                  <c:v>0.71095270248139919</c:v>
                </c:pt>
                <c:pt idx="327">
                  <c:v>0.71095270248139919</c:v>
                </c:pt>
                <c:pt idx="328">
                  <c:v>0.70923956343927541</c:v>
                </c:pt>
                <c:pt idx="329">
                  <c:v>0.70923956343927541</c:v>
                </c:pt>
                <c:pt idx="330">
                  <c:v>0.70752227636072995</c:v>
                </c:pt>
                <c:pt idx="331">
                  <c:v>0.70752227636072995</c:v>
                </c:pt>
                <c:pt idx="332">
                  <c:v>0.70580498928218449</c:v>
                </c:pt>
                <c:pt idx="333">
                  <c:v>0.70580498928218449</c:v>
                </c:pt>
                <c:pt idx="334">
                  <c:v>0.70408351369856936</c:v>
                </c:pt>
                <c:pt idx="335">
                  <c:v>0.70408351369856936</c:v>
                </c:pt>
                <c:pt idx="336">
                  <c:v>0.70062364385238474</c:v>
                </c:pt>
                <c:pt idx="337">
                  <c:v>0.70062364385238474</c:v>
                </c:pt>
                <c:pt idx="338">
                  <c:v>0.69888942691215605</c:v>
                </c:pt>
                <c:pt idx="339">
                  <c:v>0.69888942691215605</c:v>
                </c:pt>
                <c:pt idx="340">
                  <c:v>0.69540369410960168</c:v>
                </c:pt>
                <c:pt idx="341">
                  <c:v>0.69540369410960168</c:v>
                </c:pt>
                <c:pt idx="342">
                  <c:v>0.69365644864701481</c:v>
                </c:pt>
                <c:pt idx="343">
                  <c:v>0.69365644864701481</c:v>
                </c:pt>
                <c:pt idx="344">
                  <c:v>0.69190920318442795</c:v>
                </c:pt>
                <c:pt idx="345">
                  <c:v>0.69190920318442795</c:v>
                </c:pt>
                <c:pt idx="346">
                  <c:v>0.69016195772184108</c:v>
                </c:pt>
                <c:pt idx="347">
                  <c:v>0.69016195772184108</c:v>
                </c:pt>
                <c:pt idx="348">
                  <c:v>0.6884147122592541</c:v>
                </c:pt>
                <c:pt idx="349">
                  <c:v>0.6884147122592541</c:v>
                </c:pt>
                <c:pt idx="350">
                  <c:v>0.68665855227900097</c:v>
                </c:pt>
                <c:pt idx="351">
                  <c:v>0.68665855227900097</c:v>
                </c:pt>
                <c:pt idx="352">
                  <c:v>0.6848978893244394</c:v>
                </c:pt>
                <c:pt idx="353">
                  <c:v>0.6848978893244394</c:v>
                </c:pt>
                <c:pt idx="354">
                  <c:v>0.68313268857875786</c:v>
                </c:pt>
                <c:pt idx="355">
                  <c:v>0.68313268857875786</c:v>
                </c:pt>
                <c:pt idx="356">
                  <c:v>0.68136748783307632</c:v>
                </c:pt>
                <c:pt idx="357">
                  <c:v>0.68136748783307632</c:v>
                </c:pt>
                <c:pt idx="358">
                  <c:v>0.67960228708739479</c:v>
                </c:pt>
                <c:pt idx="359">
                  <c:v>0.67960228708739479</c:v>
                </c:pt>
                <c:pt idx="360">
                  <c:v>0.67783248946477137</c:v>
                </c:pt>
                <c:pt idx="361">
                  <c:v>0.67783248946477137</c:v>
                </c:pt>
                <c:pt idx="362">
                  <c:v>0.67605805886407822</c:v>
                </c:pt>
                <c:pt idx="363">
                  <c:v>0.67605805886407822</c:v>
                </c:pt>
                <c:pt idx="364">
                  <c:v>0.67425041699545762</c:v>
                </c:pt>
                <c:pt idx="365">
                  <c:v>0.67425041699545762</c:v>
                </c:pt>
                <c:pt idx="366">
                  <c:v>0.67062541475354653</c:v>
                </c:pt>
                <c:pt idx="367">
                  <c:v>0.67062541475354653</c:v>
                </c:pt>
                <c:pt idx="368">
                  <c:v>0.66881291363259099</c:v>
                </c:pt>
                <c:pt idx="369">
                  <c:v>0.66881291363259099</c:v>
                </c:pt>
                <c:pt idx="370">
                  <c:v>0.66700041251163544</c:v>
                </c:pt>
                <c:pt idx="371">
                  <c:v>0.66700041251163544</c:v>
                </c:pt>
                <c:pt idx="372">
                  <c:v>0.6651879113906799</c:v>
                </c:pt>
                <c:pt idx="373">
                  <c:v>0.6651879113906799</c:v>
                </c:pt>
                <c:pt idx="374">
                  <c:v>0.66332984459908584</c:v>
                </c:pt>
                <c:pt idx="375">
                  <c:v>0.66332984459908584</c:v>
                </c:pt>
                <c:pt idx="376">
                  <c:v>0.66147177780749178</c:v>
                </c:pt>
                <c:pt idx="377">
                  <c:v>0.66147177780749178</c:v>
                </c:pt>
                <c:pt idx="378">
                  <c:v>0.65961371101589772</c:v>
                </c:pt>
                <c:pt idx="379">
                  <c:v>0.65961371101589772</c:v>
                </c:pt>
                <c:pt idx="380">
                  <c:v>0.65775039544805614</c:v>
                </c:pt>
                <c:pt idx="381">
                  <c:v>0.65775039544805614</c:v>
                </c:pt>
                <c:pt idx="382">
                  <c:v>0.65588178637007877</c:v>
                </c:pt>
                <c:pt idx="383">
                  <c:v>0.65588178637007877</c:v>
                </c:pt>
                <c:pt idx="384">
                  <c:v>0.65400783840902132</c:v>
                </c:pt>
                <c:pt idx="385">
                  <c:v>0.65400783840902132</c:v>
                </c:pt>
                <c:pt idx="386">
                  <c:v>0.65213389044796399</c:v>
                </c:pt>
                <c:pt idx="387">
                  <c:v>0.65213389044796399</c:v>
                </c:pt>
                <c:pt idx="388">
                  <c:v>0.65025994248690666</c:v>
                </c:pt>
                <c:pt idx="389">
                  <c:v>0.65025994248690666</c:v>
                </c:pt>
                <c:pt idx="390">
                  <c:v>0.64836965195642149</c:v>
                </c:pt>
                <c:pt idx="391">
                  <c:v>0.64836965195642149</c:v>
                </c:pt>
                <c:pt idx="392">
                  <c:v>0.64646268239184379</c:v>
                </c:pt>
                <c:pt idx="393">
                  <c:v>0.64646268239184379</c:v>
                </c:pt>
                <c:pt idx="394">
                  <c:v>0.64454439550047338</c:v>
                </c:pt>
                <c:pt idx="395">
                  <c:v>0.64454439550047338</c:v>
                </c:pt>
                <c:pt idx="396">
                  <c:v>0.64262038237957642</c:v>
                </c:pt>
                <c:pt idx="397">
                  <c:v>0.64262038237957642</c:v>
                </c:pt>
                <c:pt idx="398">
                  <c:v>0.63872571339545769</c:v>
                </c:pt>
                <c:pt idx="399">
                  <c:v>0.63872571339545769</c:v>
                </c:pt>
                <c:pt idx="400">
                  <c:v>0.63677837890339839</c:v>
                </c:pt>
                <c:pt idx="401">
                  <c:v>0.63677837890339839</c:v>
                </c:pt>
                <c:pt idx="402">
                  <c:v>0.63480080629810831</c:v>
                </c:pt>
                <c:pt idx="403">
                  <c:v>0.63480080629810831</c:v>
                </c:pt>
                <c:pt idx="404">
                  <c:v>0.63281705377842667</c:v>
                </c:pt>
                <c:pt idx="405">
                  <c:v>0.63281705377842667</c:v>
                </c:pt>
                <c:pt idx="406">
                  <c:v>0.63083330125874504</c:v>
                </c:pt>
                <c:pt idx="407">
                  <c:v>0.63083330125874504</c:v>
                </c:pt>
                <c:pt idx="408">
                  <c:v>0.6288495487390634</c:v>
                </c:pt>
                <c:pt idx="409">
                  <c:v>0.6288495487390634</c:v>
                </c:pt>
                <c:pt idx="410">
                  <c:v>0.62685320096528863</c:v>
                </c:pt>
                <c:pt idx="411">
                  <c:v>0.62685320096528863</c:v>
                </c:pt>
                <c:pt idx="412">
                  <c:v>0.62485685319151385</c:v>
                </c:pt>
                <c:pt idx="413">
                  <c:v>0.62485685319151385</c:v>
                </c:pt>
                <c:pt idx="414">
                  <c:v>0.62285410686718212</c:v>
                </c:pt>
                <c:pt idx="415">
                  <c:v>0.62285410686718212</c:v>
                </c:pt>
                <c:pt idx="416">
                  <c:v>0.62083839778346961</c:v>
                </c:pt>
                <c:pt idx="417">
                  <c:v>0.62083839778346961</c:v>
                </c:pt>
                <c:pt idx="418">
                  <c:v>0.61881612287212284</c:v>
                </c:pt>
                <c:pt idx="419">
                  <c:v>0.61881612287212284</c:v>
                </c:pt>
                <c:pt idx="420">
                  <c:v>0.61678054352056977</c:v>
                </c:pt>
                <c:pt idx="421">
                  <c:v>0.61678054352056977</c:v>
                </c:pt>
                <c:pt idx="422">
                  <c:v>0.61473822384003807</c:v>
                </c:pt>
                <c:pt idx="423">
                  <c:v>0.61473822384003807</c:v>
                </c:pt>
                <c:pt idx="424">
                  <c:v>0.61268909642723801</c:v>
                </c:pt>
                <c:pt idx="425">
                  <c:v>0.61268909642723801</c:v>
                </c:pt>
                <c:pt idx="426">
                  <c:v>0.61062617017664123</c:v>
                </c:pt>
                <c:pt idx="427">
                  <c:v>0.61062617017664123</c:v>
                </c:pt>
                <c:pt idx="428">
                  <c:v>0.60854921041413568</c:v>
                </c:pt>
                <c:pt idx="429">
                  <c:v>0.60854921041413568</c:v>
                </c:pt>
                <c:pt idx="430">
                  <c:v>0.60647225065163002</c:v>
                </c:pt>
                <c:pt idx="431">
                  <c:v>0.60647225065163002</c:v>
                </c:pt>
                <c:pt idx="432">
                  <c:v>0.60437373075318146</c:v>
                </c:pt>
                <c:pt idx="433">
                  <c:v>0.60437373075318146</c:v>
                </c:pt>
                <c:pt idx="434">
                  <c:v>0.6022305614951915</c:v>
                </c:pt>
                <c:pt idx="435">
                  <c:v>0.6022305614951915</c:v>
                </c:pt>
                <c:pt idx="436">
                  <c:v>0.60007973806128012</c:v>
                </c:pt>
                <c:pt idx="437">
                  <c:v>0.60007973806128012</c:v>
                </c:pt>
                <c:pt idx="438">
                  <c:v>0.59791338521629356</c:v>
                </c:pt>
                <c:pt idx="439">
                  <c:v>0.59791338521629356</c:v>
                </c:pt>
                <c:pt idx="440">
                  <c:v>0.59358067952632043</c:v>
                </c:pt>
                <c:pt idx="441">
                  <c:v>0.59358067952632043</c:v>
                </c:pt>
                <c:pt idx="442">
                  <c:v>0.59140639132292727</c:v>
                </c:pt>
                <c:pt idx="443">
                  <c:v>0.59140639132292727</c:v>
                </c:pt>
                <c:pt idx="444">
                  <c:v>0.58922407991583159</c:v>
                </c:pt>
                <c:pt idx="445">
                  <c:v>0.58922407991583159</c:v>
                </c:pt>
                <c:pt idx="446">
                  <c:v>0.58702548260271281</c:v>
                </c:pt>
                <c:pt idx="447">
                  <c:v>0.58702548260271281</c:v>
                </c:pt>
                <c:pt idx="448">
                  <c:v>0.58481029210232527</c:v>
                </c:pt>
                <c:pt idx="449">
                  <c:v>0.58481029210232527</c:v>
                </c:pt>
                <c:pt idx="450">
                  <c:v>0.58256102174808555</c:v>
                </c:pt>
                <c:pt idx="451">
                  <c:v>0.58256102174808555</c:v>
                </c:pt>
                <c:pt idx="452">
                  <c:v>0.58027646872162253</c:v>
                </c:pt>
                <c:pt idx="453">
                  <c:v>0.58027646872162253</c:v>
                </c:pt>
                <c:pt idx="454">
                  <c:v>0.5779366442509708</c:v>
                </c:pt>
                <c:pt idx="455">
                  <c:v>0.5779366442509708</c:v>
                </c:pt>
                <c:pt idx="456">
                  <c:v>0.57558730829873106</c:v>
                </c:pt>
                <c:pt idx="457">
                  <c:v>0.57558730829873106</c:v>
                </c:pt>
                <c:pt idx="458">
                  <c:v>0.57323797234649132</c:v>
                </c:pt>
                <c:pt idx="459">
                  <c:v>0.57323797234649132</c:v>
                </c:pt>
                <c:pt idx="460">
                  <c:v>0.57088863639425158</c:v>
                </c:pt>
                <c:pt idx="461">
                  <c:v>0.57088863639425158</c:v>
                </c:pt>
                <c:pt idx="462">
                  <c:v>0.56853930044201184</c:v>
                </c:pt>
                <c:pt idx="463">
                  <c:v>0.56853930044201184</c:v>
                </c:pt>
                <c:pt idx="464">
                  <c:v>0.56618021620781267</c:v>
                </c:pt>
                <c:pt idx="465">
                  <c:v>0.56618021620781267</c:v>
                </c:pt>
                <c:pt idx="466">
                  <c:v>0.5637397842413997</c:v>
                </c:pt>
                <c:pt idx="467">
                  <c:v>0.5637397842413997</c:v>
                </c:pt>
                <c:pt idx="468">
                  <c:v>0.56129935227498673</c:v>
                </c:pt>
                <c:pt idx="469">
                  <c:v>0.56129935227498673</c:v>
                </c:pt>
                <c:pt idx="470">
                  <c:v>0.55884826340042348</c:v>
                </c:pt>
                <c:pt idx="471">
                  <c:v>0.55884826340042348</c:v>
                </c:pt>
                <c:pt idx="472">
                  <c:v>0.55639717452586024</c:v>
                </c:pt>
                <c:pt idx="473">
                  <c:v>0.55639717452586024</c:v>
                </c:pt>
                <c:pt idx="474">
                  <c:v>0.5539021199315739</c:v>
                </c:pt>
                <c:pt idx="475">
                  <c:v>0.5539021199315739</c:v>
                </c:pt>
                <c:pt idx="476">
                  <c:v>0.55136128451904376</c:v>
                </c:pt>
                <c:pt idx="477">
                  <c:v>0.55136128451904376</c:v>
                </c:pt>
                <c:pt idx="478">
                  <c:v>0.54878482991848754</c:v>
                </c:pt>
                <c:pt idx="479">
                  <c:v>0.54878482991848754</c:v>
                </c:pt>
                <c:pt idx="480">
                  <c:v>0.54615906518203539</c:v>
                </c:pt>
                <c:pt idx="481">
                  <c:v>0.54615906518203539</c:v>
                </c:pt>
                <c:pt idx="482">
                  <c:v>0.54353330044558334</c:v>
                </c:pt>
                <c:pt idx="483">
                  <c:v>0.54353330044558334</c:v>
                </c:pt>
                <c:pt idx="484">
                  <c:v>0.54089478927837176</c:v>
                </c:pt>
                <c:pt idx="485">
                  <c:v>0.54089478927837176</c:v>
                </c:pt>
                <c:pt idx="486">
                  <c:v>0.53819031533197992</c:v>
                </c:pt>
                <c:pt idx="487">
                  <c:v>0.53819031533197992</c:v>
                </c:pt>
                <c:pt idx="488">
                  <c:v>0.53548584138558808</c:v>
                </c:pt>
                <c:pt idx="489">
                  <c:v>0.53548584138558808</c:v>
                </c:pt>
                <c:pt idx="490">
                  <c:v>0.53275377076627384</c:v>
                </c:pt>
                <c:pt idx="491">
                  <c:v>0.53275377076627384</c:v>
                </c:pt>
                <c:pt idx="492">
                  <c:v>0.52987402065402378</c:v>
                </c:pt>
                <c:pt idx="493">
                  <c:v>0.52987402065402378</c:v>
                </c:pt>
                <c:pt idx="494">
                  <c:v>0.52688038211925536</c:v>
                </c:pt>
                <c:pt idx="495">
                  <c:v>0.52688038211925536</c:v>
                </c:pt>
                <c:pt idx="496">
                  <c:v>0.52386963707857392</c:v>
                </c:pt>
                <c:pt idx="497">
                  <c:v>0.52386963707857392</c:v>
                </c:pt>
                <c:pt idx="498">
                  <c:v>0.52084148888736825</c:v>
                </c:pt>
                <c:pt idx="499">
                  <c:v>0.52084148888736825</c:v>
                </c:pt>
                <c:pt idx="500">
                  <c:v>0.51774124192970539</c:v>
                </c:pt>
                <c:pt idx="501">
                  <c:v>0.51774124192970539</c:v>
                </c:pt>
                <c:pt idx="502">
                  <c:v>0.51428963365017399</c:v>
                </c:pt>
                <c:pt idx="503">
                  <c:v>0.51428963365017399</c:v>
                </c:pt>
                <c:pt idx="504">
                  <c:v>0.51071817786093665</c:v>
                </c:pt>
                <c:pt idx="505">
                  <c:v>0.51071817786093665</c:v>
                </c:pt>
                <c:pt idx="506">
                  <c:v>0.50707019087621574</c:v>
                </c:pt>
                <c:pt idx="507">
                  <c:v>0.50707019087621574</c:v>
                </c:pt>
                <c:pt idx="508">
                  <c:v>0.50322875003624445</c:v>
                </c:pt>
                <c:pt idx="509">
                  <c:v>0.50322875003624445</c:v>
                </c:pt>
                <c:pt idx="510">
                  <c:v>0.49938730919627311</c:v>
                </c:pt>
                <c:pt idx="511">
                  <c:v>0.49938730919627311</c:v>
                </c:pt>
                <c:pt idx="512">
                  <c:v>0.49164487029400528</c:v>
                </c:pt>
                <c:pt idx="513">
                  <c:v>0.49164487029400528</c:v>
                </c:pt>
                <c:pt idx="514">
                  <c:v>0.48641460571640949</c:v>
                </c:pt>
                <c:pt idx="515">
                  <c:v>0.48641460571640949</c:v>
                </c:pt>
                <c:pt idx="516">
                  <c:v>0.48062395564835703</c:v>
                </c:pt>
                <c:pt idx="517">
                  <c:v>0.48062395564835703</c:v>
                </c:pt>
                <c:pt idx="518">
                  <c:v>0.4747626878965478</c:v>
                </c:pt>
                <c:pt idx="519">
                  <c:v>0.4747626878965478</c:v>
                </c:pt>
                <c:pt idx="520">
                  <c:v>0.46859693870308611</c:v>
                </c:pt>
                <c:pt idx="521">
                  <c:v>0.46859693870308611</c:v>
                </c:pt>
                <c:pt idx="522">
                  <c:v>0.46243118950962442</c:v>
                </c:pt>
                <c:pt idx="523">
                  <c:v>0.46243118950962442</c:v>
                </c:pt>
                <c:pt idx="524">
                  <c:v>0.45563073084036526</c:v>
                </c:pt>
                <c:pt idx="525">
                  <c:v>0.45563073084036526</c:v>
                </c:pt>
                <c:pt idx="526">
                  <c:v>0.44872723491854155</c:v>
                </c:pt>
                <c:pt idx="527">
                  <c:v>0.44872723491854155</c:v>
                </c:pt>
                <c:pt idx="528">
                  <c:v>0.44160458039602501</c:v>
                </c:pt>
                <c:pt idx="529">
                  <c:v>0.44160458039602501</c:v>
                </c:pt>
                <c:pt idx="530">
                  <c:v>0.43436516104527051</c:v>
                </c:pt>
                <c:pt idx="531">
                  <c:v>0.43436516104527051</c:v>
                </c:pt>
                <c:pt idx="532">
                  <c:v>0.427125741694516</c:v>
                </c:pt>
                <c:pt idx="533">
                  <c:v>0.427125741694516</c:v>
                </c:pt>
                <c:pt idx="534">
                  <c:v>0.41875072715148626</c:v>
                </c:pt>
                <c:pt idx="535">
                  <c:v>0.41875072715148626</c:v>
                </c:pt>
                <c:pt idx="536">
                  <c:v>0.40200069806542676</c:v>
                </c:pt>
                <c:pt idx="537">
                  <c:v>0.40200069806542676</c:v>
                </c:pt>
                <c:pt idx="538">
                  <c:v>0.38084276658829902</c:v>
                </c:pt>
                <c:pt idx="539">
                  <c:v>0.38084276658829902</c:v>
                </c:pt>
                <c:pt idx="540">
                  <c:v>0.34275848992946911</c:v>
                </c:pt>
                <c:pt idx="541">
                  <c:v>0.34275848992946911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AF-4382-9251-125CE67AFDBD}"/>
            </c:ext>
          </c:extLst>
        </c:ser>
        <c:ser>
          <c:idx val="1"/>
          <c:order val="1"/>
          <c:tx>
            <c:v>At Risk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630398E-E3F8-45E8-AEA3-FD87DFF6E1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AF-4382-9251-125CE67AFD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EA13C5-D904-466D-8B49-36FFD06E52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AF-4382-9251-125CE67AFD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6908A3-D79F-4897-BB42-F4E64A44F9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AF-4382-9251-125CE67AFD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67D2C8-D442-4F6B-9C4E-0116B3E93E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AF-4382-9251-125CE67AFD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B2A189-5344-4C41-A930-387C2AE83B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AF-4382-9251-125CE67AFD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254C2E-DB56-4866-9E79-A02E587A4D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AF-4382-9251-125CE67AFD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BBAADD-151D-4634-ADE0-5A3D891D2F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AF-4382-9251-125CE67AFD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A3443B-C37B-4080-890C-DAA6CE12F5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AF-4382-9251-125CE67AFD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623065-86AA-4D95-AAF6-AACEF48DDB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AF-4382-9251-125CE67AFD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1A1F12-9D3A-4F0A-85CF-C5E50FE5F6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AF-4382-9251-125CE67AFD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41BE17-FD5D-4B68-832D-12EC707B1C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AF-4382-9251-125CE67AFD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46CB81-41C7-4657-B07A-71C2C48B04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AF-4382-9251-125CE67AFD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E3A2C6-E814-4939-B24F-FC8FFEF2C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AF-4382-9251-125CE67AFD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1E1D04-30DC-425D-85FD-DEDC712B42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AF-4382-9251-125CE67AFD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3DE17A-5686-410A-AF9C-3C95EFCA51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AF-4382-9251-125CE67AFD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F93644-093B-4FEC-8959-2A824E4A3F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AF-4382-9251-125CE67AFDBD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Data!$Q$7:$Q$22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Data!$S$7:$S$22</c:f>
              <c:numCache>
                <c:formatCode>General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Data!$R$7:$R$22</c15:f>
                <c15:dlblRangeCache>
                  <c:ptCount val="16"/>
                  <c:pt idx="0">
                    <c:v>686</c:v>
                  </c:pt>
                  <c:pt idx="1">
                    <c:v>655</c:v>
                  </c:pt>
                  <c:pt idx="2">
                    <c:v>602</c:v>
                  </c:pt>
                  <c:pt idx="3">
                    <c:v>530</c:v>
                  </c:pt>
                  <c:pt idx="4">
                    <c:v>458</c:v>
                  </c:pt>
                  <c:pt idx="5">
                    <c:v>383</c:v>
                  </c:pt>
                  <c:pt idx="6">
                    <c:v>331</c:v>
                  </c:pt>
                  <c:pt idx="7">
                    <c:v>277</c:v>
                  </c:pt>
                  <c:pt idx="8">
                    <c:v>228</c:v>
                  </c:pt>
                  <c:pt idx="9">
                    <c:v>183</c:v>
                  </c:pt>
                  <c:pt idx="10">
                    <c:v>121</c:v>
                  </c:pt>
                  <c:pt idx="11">
                    <c:v>74</c:v>
                  </c:pt>
                  <c:pt idx="12">
                    <c:v>36</c:v>
                  </c:pt>
                  <c:pt idx="13">
                    <c:v>16</c:v>
                  </c:pt>
                  <c:pt idx="14">
                    <c:v>3</c:v>
                  </c:pt>
                  <c:pt idx="15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62AF-4382-9251-125CE67AFDBD}"/>
            </c:ext>
          </c:extLst>
        </c:ser>
        <c:ser>
          <c:idx val="3"/>
          <c:order val="2"/>
          <c:tx>
            <c:v>RCS Log Normal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'RCS-Plot'!$A$11:$A$585</c:f>
              <c:numCache>
                <c:formatCode>0.000</c:formatCode>
                <c:ptCount val="575"/>
                <c:pt idx="0">
                  <c:v>0</c:v>
                </c:pt>
                <c:pt idx="1">
                  <c:v>0.26283367556468173</c:v>
                </c:pt>
                <c:pt idx="2">
                  <c:v>0.49281314168377821</c:v>
                </c:pt>
                <c:pt idx="3">
                  <c:v>0.52566735112936347</c:v>
                </c:pt>
                <c:pt idx="4">
                  <c:v>0.55852156057494862</c:v>
                </c:pt>
                <c:pt idx="5">
                  <c:v>0.59137577002053388</c:v>
                </c:pt>
                <c:pt idx="6">
                  <c:v>0.95277207392197127</c:v>
                </c:pt>
                <c:pt idx="7">
                  <c:v>1.3798767967145791</c:v>
                </c:pt>
                <c:pt idx="8">
                  <c:v>1.5112936344969199</c:v>
                </c:pt>
                <c:pt idx="9">
                  <c:v>1.8726899383983573</c:v>
                </c:pt>
                <c:pt idx="10">
                  <c:v>2.0698151950718686</c:v>
                </c:pt>
                <c:pt idx="11">
                  <c:v>2.1355236139630391</c:v>
                </c:pt>
                <c:pt idx="12">
                  <c:v>2.2012320328542097</c:v>
                </c:pt>
                <c:pt idx="13">
                  <c:v>2.3326488706365502</c:v>
                </c:pt>
                <c:pt idx="14">
                  <c:v>2.3655030800821355</c:v>
                </c:pt>
                <c:pt idx="15">
                  <c:v>3.2197125256673513</c:v>
                </c:pt>
                <c:pt idx="16">
                  <c:v>3.7125256673511293</c:v>
                </c:pt>
                <c:pt idx="17">
                  <c:v>3.7453798767967146</c:v>
                </c:pt>
                <c:pt idx="18">
                  <c:v>3.9425051334702257</c:v>
                </c:pt>
                <c:pt idx="19">
                  <c:v>4.862422997946612</c:v>
                </c:pt>
                <c:pt idx="20">
                  <c:v>5.2566735112936342</c:v>
                </c:pt>
                <c:pt idx="21">
                  <c:v>5.5195071868583163</c:v>
                </c:pt>
                <c:pt idx="22">
                  <c:v>5.5523613963039011</c:v>
                </c:pt>
                <c:pt idx="23">
                  <c:v>5.6180698151950716</c:v>
                </c:pt>
                <c:pt idx="24">
                  <c:v>5.6837782340862422</c:v>
                </c:pt>
                <c:pt idx="25">
                  <c:v>5.7494866529774127</c:v>
                </c:pt>
                <c:pt idx="26">
                  <c:v>5.8151950718685832</c:v>
                </c:pt>
                <c:pt idx="27">
                  <c:v>5.9137577002053385</c:v>
                </c:pt>
                <c:pt idx="28">
                  <c:v>5.9466119096509242</c:v>
                </c:pt>
                <c:pt idx="29">
                  <c:v>6.0451745379876796</c:v>
                </c:pt>
                <c:pt idx="30">
                  <c:v>6.1108829568788501</c:v>
                </c:pt>
                <c:pt idx="31">
                  <c:v>6.2751540041067759</c:v>
                </c:pt>
                <c:pt idx="32">
                  <c:v>6.406570841889117</c:v>
                </c:pt>
                <c:pt idx="33">
                  <c:v>6.7351129363449695</c:v>
                </c:pt>
                <c:pt idx="34">
                  <c:v>6.9979466119096507</c:v>
                </c:pt>
                <c:pt idx="35">
                  <c:v>7.3264887063655033</c:v>
                </c:pt>
                <c:pt idx="36">
                  <c:v>7.4579055441478443</c:v>
                </c:pt>
                <c:pt idx="37">
                  <c:v>7.523613963039014</c:v>
                </c:pt>
                <c:pt idx="38">
                  <c:v>7.655030800821355</c:v>
                </c:pt>
                <c:pt idx="39">
                  <c:v>7.8193018480492817</c:v>
                </c:pt>
                <c:pt idx="40">
                  <c:v>7.9178644763860371</c:v>
                </c:pt>
                <c:pt idx="41">
                  <c:v>7.9507186858316219</c:v>
                </c:pt>
                <c:pt idx="42">
                  <c:v>8.1149897330595486</c:v>
                </c:pt>
                <c:pt idx="43">
                  <c:v>8.1806981519507183</c:v>
                </c:pt>
                <c:pt idx="44">
                  <c:v>8.2464065708418897</c:v>
                </c:pt>
                <c:pt idx="45">
                  <c:v>8.9363449691991779</c:v>
                </c:pt>
                <c:pt idx="46">
                  <c:v>8.9691991786447645</c:v>
                </c:pt>
                <c:pt idx="47">
                  <c:v>9.0349075975359341</c:v>
                </c:pt>
                <c:pt idx="48">
                  <c:v>9.0677618069815189</c:v>
                </c:pt>
                <c:pt idx="49">
                  <c:v>9.2320328542094447</c:v>
                </c:pt>
                <c:pt idx="50">
                  <c:v>9.3634496919917858</c:v>
                </c:pt>
                <c:pt idx="51">
                  <c:v>9.3963039014373724</c:v>
                </c:pt>
                <c:pt idx="52">
                  <c:v>9.462012320328542</c:v>
                </c:pt>
                <c:pt idx="53">
                  <c:v>9.6262833675564679</c:v>
                </c:pt>
                <c:pt idx="54">
                  <c:v>9.7248459958932241</c:v>
                </c:pt>
                <c:pt idx="55">
                  <c:v>10.020533880903491</c:v>
                </c:pt>
                <c:pt idx="56">
                  <c:v>10.086242299794661</c:v>
                </c:pt>
                <c:pt idx="57">
                  <c:v>10.119096509240247</c:v>
                </c:pt>
                <c:pt idx="58">
                  <c:v>10.184804928131417</c:v>
                </c:pt>
                <c:pt idx="59">
                  <c:v>10.381930184804927</c:v>
                </c:pt>
                <c:pt idx="60">
                  <c:v>10.480492813141684</c:v>
                </c:pt>
                <c:pt idx="61">
                  <c:v>10.57905544147844</c:v>
                </c:pt>
                <c:pt idx="62">
                  <c:v>10.809034907597535</c:v>
                </c:pt>
                <c:pt idx="63">
                  <c:v>11.039014373716633</c:v>
                </c:pt>
                <c:pt idx="64">
                  <c:v>11.104722792607802</c:v>
                </c:pt>
                <c:pt idx="65">
                  <c:v>11.268993839835728</c:v>
                </c:pt>
                <c:pt idx="66">
                  <c:v>11.301848049281315</c:v>
                </c:pt>
                <c:pt idx="67">
                  <c:v>11.433264887063656</c:v>
                </c:pt>
                <c:pt idx="68">
                  <c:v>11.498973305954825</c:v>
                </c:pt>
                <c:pt idx="69">
                  <c:v>11.597535934291582</c:v>
                </c:pt>
                <c:pt idx="70">
                  <c:v>11.728952772073923</c:v>
                </c:pt>
                <c:pt idx="71">
                  <c:v>11.761806981519507</c:v>
                </c:pt>
                <c:pt idx="72">
                  <c:v>11.794661190965092</c:v>
                </c:pt>
                <c:pt idx="73">
                  <c:v>11.827515400410677</c:v>
                </c:pt>
                <c:pt idx="74">
                  <c:v>12.090349075975359</c:v>
                </c:pt>
                <c:pt idx="75">
                  <c:v>12.123203285420944</c:v>
                </c:pt>
                <c:pt idx="76">
                  <c:v>12.156057494866531</c:v>
                </c:pt>
                <c:pt idx="77">
                  <c:v>12.188911704312115</c:v>
                </c:pt>
                <c:pt idx="78">
                  <c:v>12.2217659137577</c:v>
                </c:pt>
                <c:pt idx="79">
                  <c:v>12.28747433264887</c:v>
                </c:pt>
                <c:pt idx="80">
                  <c:v>12.320328542094456</c:v>
                </c:pt>
                <c:pt idx="81">
                  <c:v>12.386036960985626</c:v>
                </c:pt>
                <c:pt idx="82">
                  <c:v>12.451745379876797</c:v>
                </c:pt>
                <c:pt idx="83">
                  <c:v>12.648870636550308</c:v>
                </c:pt>
                <c:pt idx="84">
                  <c:v>12.878850102669405</c:v>
                </c:pt>
                <c:pt idx="85">
                  <c:v>12.944558521560575</c:v>
                </c:pt>
                <c:pt idx="86">
                  <c:v>13.240246406570842</c:v>
                </c:pt>
                <c:pt idx="87">
                  <c:v>13.470225872689939</c:v>
                </c:pt>
                <c:pt idx="88">
                  <c:v>13.634496919917865</c:v>
                </c:pt>
                <c:pt idx="89">
                  <c:v>13.700205338809035</c:v>
                </c:pt>
                <c:pt idx="90">
                  <c:v>13.798767967145791</c:v>
                </c:pt>
                <c:pt idx="91">
                  <c:v>13.930184804928132</c:v>
                </c:pt>
                <c:pt idx="92">
                  <c:v>13.995893223819301</c:v>
                </c:pt>
                <c:pt idx="93">
                  <c:v>14.094455852156058</c:v>
                </c:pt>
                <c:pt idx="94">
                  <c:v>14.193018480492814</c:v>
                </c:pt>
                <c:pt idx="95">
                  <c:v>14.324435318275153</c:v>
                </c:pt>
                <c:pt idx="96">
                  <c:v>14.390143737166325</c:v>
                </c:pt>
                <c:pt idx="97">
                  <c:v>14.652977412731007</c:v>
                </c:pt>
                <c:pt idx="98">
                  <c:v>14.718685831622176</c:v>
                </c:pt>
                <c:pt idx="99">
                  <c:v>14.751540041067761</c:v>
                </c:pt>
                <c:pt idx="100">
                  <c:v>14.948665297741274</c:v>
                </c:pt>
                <c:pt idx="101">
                  <c:v>14.981519507186858</c:v>
                </c:pt>
                <c:pt idx="102">
                  <c:v>15.112936344969199</c:v>
                </c:pt>
                <c:pt idx="103">
                  <c:v>15.145790554414784</c:v>
                </c:pt>
                <c:pt idx="104">
                  <c:v>15.211498973305956</c:v>
                </c:pt>
                <c:pt idx="105">
                  <c:v>15.277207392197125</c:v>
                </c:pt>
                <c:pt idx="106">
                  <c:v>15.474332648870636</c:v>
                </c:pt>
                <c:pt idx="107">
                  <c:v>15.540041067761807</c:v>
                </c:pt>
                <c:pt idx="108">
                  <c:v>15.605749486652977</c:v>
                </c:pt>
                <c:pt idx="109">
                  <c:v>15.638603696098563</c:v>
                </c:pt>
                <c:pt idx="110">
                  <c:v>15.802874743326489</c:v>
                </c:pt>
                <c:pt idx="111">
                  <c:v>15.967145790554415</c:v>
                </c:pt>
                <c:pt idx="112">
                  <c:v>16.032854209445585</c:v>
                </c:pt>
                <c:pt idx="113">
                  <c:v>16.098562628336754</c:v>
                </c:pt>
                <c:pt idx="114">
                  <c:v>16.131416837782339</c:v>
                </c:pt>
                <c:pt idx="115">
                  <c:v>16.262833675564682</c:v>
                </c:pt>
                <c:pt idx="116">
                  <c:v>16.361396303901437</c:v>
                </c:pt>
                <c:pt idx="117">
                  <c:v>16.427104722792606</c:v>
                </c:pt>
                <c:pt idx="118">
                  <c:v>16.492813141683779</c:v>
                </c:pt>
                <c:pt idx="119">
                  <c:v>16.525667351129364</c:v>
                </c:pt>
                <c:pt idx="120">
                  <c:v>16.558521560574949</c:v>
                </c:pt>
                <c:pt idx="121">
                  <c:v>16.919917864476385</c:v>
                </c:pt>
                <c:pt idx="122">
                  <c:v>17.018480492813143</c:v>
                </c:pt>
                <c:pt idx="123">
                  <c:v>17.248459958932237</c:v>
                </c:pt>
                <c:pt idx="124">
                  <c:v>17.281314168377822</c:v>
                </c:pt>
                <c:pt idx="125">
                  <c:v>17.37987679671458</c:v>
                </c:pt>
                <c:pt idx="126">
                  <c:v>17.412731006160165</c:v>
                </c:pt>
                <c:pt idx="127">
                  <c:v>17.511293634496919</c:v>
                </c:pt>
                <c:pt idx="128">
                  <c:v>17.577002053388089</c:v>
                </c:pt>
                <c:pt idx="129">
                  <c:v>17.609856262833677</c:v>
                </c:pt>
                <c:pt idx="130">
                  <c:v>17.642710472279262</c:v>
                </c:pt>
                <c:pt idx="131">
                  <c:v>17.741273100616016</c:v>
                </c:pt>
                <c:pt idx="132">
                  <c:v>17.774127310061601</c:v>
                </c:pt>
                <c:pt idx="133">
                  <c:v>17.806981519507186</c:v>
                </c:pt>
                <c:pt idx="134">
                  <c:v>17.872689938398356</c:v>
                </c:pt>
                <c:pt idx="135">
                  <c:v>17.905544147843944</c:v>
                </c:pt>
                <c:pt idx="136">
                  <c:v>17.938398357289529</c:v>
                </c:pt>
                <c:pt idx="137">
                  <c:v>17.971252566735114</c:v>
                </c:pt>
                <c:pt idx="138">
                  <c:v>18.004106776180699</c:v>
                </c:pt>
                <c:pt idx="139">
                  <c:v>18.069815195071868</c:v>
                </c:pt>
                <c:pt idx="140">
                  <c:v>18.135523613963038</c:v>
                </c:pt>
                <c:pt idx="141">
                  <c:v>18.168377823408623</c:v>
                </c:pt>
                <c:pt idx="142">
                  <c:v>18.201232032854211</c:v>
                </c:pt>
                <c:pt idx="143">
                  <c:v>18.299794661190965</c:v>
                </c:pt>
                <c:pt idx="144">
                  <c:v>18.365503080082135</c:v>
                </c:pt>
                <c:pt idx="145">
                  <c:v>18.496919917864478</c:v>
                </c:pt>
                <c:pt idx="146">
                  <c:v>18.529774127310063</c:v>
                </c:pt>
                <c:pt idx="147">
                  <c:v>18.595482546201232</c:v>
                </c:pt>
                <c:pt idx="148">
                  <c:v>18.628336755646817</c:v>
                </c:pt>
                <c:pt idx="149">
                  <c:v>18.726899383983572</c:v>
                </c:pt>
                <c:pt idx="150">
                  <c:v>18.759753593429156</c:v>
                </c:pt>
                <c:pt idx="151">
                  <c:v>18.82546201232033</c:v>
                </c:pt>
                <c:pt idx="152">
                  <c:v>18.891170431211499</c:v>
                </c:pt>
                <c:pt idx="153">
                  <c:v>18.956878850102669</c:v>
                </c:pt>
                <c:pt idx="154">
                  <c:v>18.989733059548254</c:v>
                </c:pt>
                <c:pt idx="155">
                  <c:v>19.022587268993838</c:v>
                </c:pt>
                <c:pt idx="156">
                  <c:v>19.252566735112936</c:v>
                </c:pt>
                <c:pt idx="157">
                  <c:v>19.515400410677618</c:v>
                </c:pt>
                <c:pt idx="158">
                  <c:v>19.548254620123203</c:v>
                </c:pt>
                <c:pt idx="159">
                  <c:v>19.581108829568787</c:v>
                </c:pt>
                <c:pt idx="160">
                  <c:v>19.646817248459961</c:v>
                </c:pt>
                <c:pt idx="161">
                  <c:v>19.71252566735113</c:v>
                </c:pt>
                <c:pt idx="162">
                  <c:v>20.106776180698152</c:v>
                </c:pt>
                <c:pt idx="163">
                  <c:v>20.205338809034906</c:v>
                </c:pt>
                <c:pt idx="164">
                  <c:v>20.435318275154003</c:v>
                </c:pt>
                <c:pt idx="165">
                  <c:v>20.468172484599588</c:v>
                </c:pt>
                <c:pt idx="166">
                  <c:v>20.501026694045173</c:v>
                </c:pt>
                <c:pt idx="167">
                  <c:v>20.632443531827516</c:v>
                </c:pt>
                <c:pt idx="168">
                  <c:v>20.6652977412731</c:v>
                </c:pt>
                <c:pt idx="169">
                  <c:v>20.73100616016427</c:v>
                </c:pt>
                <c:pt idx="170">
                  <c:v>20.763860369609855</c:v>
                </c:pt>
                <c:pt idx="171">
                  <c:v>20.928131416837783</c:v>
                </c:pt>
                <c:pt idx="172">
                  <c:v>21.223819301848049</c:v>
                </c:pt>
                <c:pt idx="173">
                  <c:v>21.289527720739219</c:v>
                </c:pt>
                <c:pt idx="174">
                  <c:v>21.355236139630389</c:v>
                </c:pt>
                <c:pt idx="175">
                  <c:v>21.388090349075977</c:v>
                </c:pt>
                <c:pt idx="176">
                  <c:v>21.420944558521562</c:v>
                </c:pt>
                <c:pt idx="177">
                  <c:v>21.585215605749486</c:v>
                </c:pt>
                <c:pt idx="178">
                  <c:v>21.749486652977414</c:v>
                </c:pt>
                <c:pt idx="179">
                  <c:v>21.782340862422998</c:v>
                </c:pt>
                <c:pt idx="180">
                  <c:v>22.012320328542096</c:v>
                </c:pt>
                <c:pt idx="181">
                  <c:v>22.17659137577002</c:v>
                </c:pt>
                <c:pt idx="182">
                  <c:v>22.308008213552363</c:v>
                </c:pt>
                <c:pt idx="183">
                  <c:v>22.570841889117045</c:v>
                </c:pt>
                <c:pt idx="184">
                  <c:v>22.735112936344969</c:v>
                </c:pt>
                <c:pt idx="185">
                  <c:v>22.833675564681723</c:v>
                </c:pt>
                <c:pt idx="186">
                  <c:v>22.932238193018481</c:v>
                </c:pt>
                <c:pt idx="187">
                  <c:v>23.227926078028748</c:v>
                </c:pt>
                <c:pt idx="188">
                  <c:v>23.392197125256672</c:v>
                </c:pt>
                <c:pt idx="189">
                  <c:v>23.457905544147845</c:v>
                </c:pt>
                <c:pt idx="190">
                  <c:v>23.5564681724846</c:v>
                </c:pt>
                <c:pt idx="191">
                  <c:v>23.687885010266939</c:v>
                </c:pt>
                <c:pt idx="192">
                  <c:v>23.720739219712527</c:v>
                </c:pt>
                <c:pt idx="193">
                  <c:v>23.753593429158112</c:v>
                </c:pt>
                <c:pt idx="194">
                  <c:v>23.885010266940451</c:v>
                </c:pt>
                <c:pt idx="195">
                  <c:v>23.950718685831621</c:v>
                </c:pt>
                <c:pt idx="196">
                  <c:v>23.983572895277206</c:v>
                </c:pt>
                <c:pt idx="197">
                  <c:v>24.016427104722794</c:v>
                </c:pt>
                <c:pt idx="198">
                  <c:v>24.049281314168379</c:v>
                </c:pt>
                <c:pt idx="199">
                  <c:v>24.082135523613964</c:v>
                </c:pt>
                <c:pt idx="200">
                  <c:v>24.114989733059549</c:v>
                </c:pt>
                <c:pt idx="201">
                  <c:v>24.213552361396303</c:v>
                </c:pt>
                <c:pt idx="202">
                  <c:v>24.312114989733061</c:v>
                </c:pt>
                <c:pt idx="203">
                  <c:v>24.344969199178646</c:v>
                </c:pt>
                <c:pt idx="204">
                  <c:v>24.377823408624231</c:v>
                </c:pt>
                <c:pt idx="205">
                  <c:v>24.476386036960985</c:v>
                </c:pt>
                <c:pt idx="206">
                  <c:v>24.542094455852155</c:v>
                </c:pt>
                <c:pt idx="207">
                  <c:v>24.57494866529774</c:v>
                </c:pt>
                <c:pt idx="208">
                  <c:v>24.673511293634498</c:v>
                </c:pt>
                <c:pt idx="209">
                  <c:v>24.739219712525667</c:v>
                </c:pt>
                <c:pt idx="210">
                  <c:v>24.772073921971252</c:v>
                </c:pt>
                <c:pt idx="211">
                  <c:v>24.804928131416837</c:v>
                </c:pt>
                <c:pt idx="212">
                  <c:v>24.903490759753595</c:v>
                </c:pt>
                <c:pt idx="213">
                  <c:v>25.002053388090349</c:v>
                </c:pt>
                <c:pt idx="214">
                  <c:v>25.034907597535934</c:v>
                </c:pt>
                <c:pt idx="215">
                  <c:v>25.166324435318277</c:v>
                </c:pt>
                <c:pt idx="216">
                  <c:v>25.232032854209447</c:v>
                </c:pt>
                <c:pt idx="217">
                  <c:v>25.264887063655031</c:v>
                </c:pt>
                <c:pt idx="218">
                  <c:v>25.297741273100616</c:v>
                </c:pt>
                <c:pt idx="219">
                  <c:v>25.363449691991786</c:v>
                </c:pt>
                <c:pt idx="220">
                  <c:v>25.494866529774129</c:v>
                </c:pt>
                <c:pt idx="221">
                  <c:v>25.593429158110883</c:v>
                </c:pt>
                <c:pt idx="222">
                  <c:v>25.757700205338811</c:v>
                </c:pt>
                <c:pt idx="223">
                  <c:v>25.95482546201232</c:v>
                </c:pt>
                <c:pt idx="224">
                  <c:v>26.020533880903489</c:v>
                </c:pt>
                <c:pt idx="225">
                  <c:v>26.119096509240247</c:v>
                </c:pt>
                <c:pt idx="226">
                  <c:v>26.184804928131417</c:v>
                </c:pt>
                <c:pt idx="227">
                  <c:v>26.217659137577002</c:v>
                </c:pt>
                <c:pt idx="228">
                  <c:v>26.250513347022586</c:v>
                </c:pt>
                <c:pt idx="229">
                  <c:v>26.316221765913756</c:v>
                </c:pt>
                <c:pt idx="230">
                  <c:v>26.447638603696099</c:v>
                </c:pt>
                <c:pt idx="231">
                  <c:v>26.480492813141684</c:v>
                </c:pt>
                <c:pt idx="232">
                  <c:v>26.90759753593429</c:v>
                </c:pt>
                <c:pt idx="233">
                  <c:v>27.104722792607802</c:v>
                </c:pt>
                <c:pt idx="234">
                  <c:v>27.170431211498972</c:v>
                </c:pt>
                <c:pt idx="235">
                  <c:v>27.20328542094456</c:v>
                </c:pt>
                <c:pt idx="236">
                  <c:v>27.466119096509239</c:v>
                </c:pt>
                <c:pt idx="237">
                  <c:v>27.531827515400412</c:v>
                </c:pt>
                <c:pt idx="238">
                  <c:v>27.630390143737166</c:v>
                </c:pt>
                <c:pt idx="239">
                  <c:v>27.663244353182751</c:v>
                </c:pt>
                <c:pt idx="240">
                  <c:v>28.024640657084188</c:v>
                </c:pt>
                <c:pt idx="241">
                  <c:v>28.057494866529773</c:v>
                </c:pt>
                <c:pt idx="242">
                  <c:v>28.090349075975361</c:v>
                </c:pt>
                <c:pt idx="243">
                  <c:v>28.156057494866531</c:v>
                </c:pt>
                <c:pt idx="244">
                  <c:v>28.188911704312115</c:v>
                </c:pt>
                <c:pt idx="245">
                  <c:v>28.2217659137577</c:v>
                </c:pt>
                <c:pt idx="246">
                  <c:v>28.28747433264887</c:v>
                </c:pt>
                <c:pt idx="247">
                  <c:v>28.418891170431213</c:v>
                </c:pt>
                <c:pt idx="248">
                  <c:v>28.451745379876797</c:v>
                </c:pt>
                <c:pt idx="249">
                  <c:v>28.484599589322382</c:v>
                </c:pt>
                <c:pt idx="250">
                  <c:v>28.583162217659137</c:v>
                </c:pt>
                <c:pt idx="251">
                  <c:v>28.780287474332649</c:v>
                </c:pt>
                <c:pt idx="252">
                  <c:v>28.813141683778234</c:v>
                </c:pt>
                <c:pt idx="253">
                  <c:v>29.010266940451746</c:v>
                </c:pt>
                <c:pt idx="254">
                  <c:v>29.17453798767967</c:v>
                </c:pt>
                <c:pt idx="255">
                  <c:v>29.207392197125255</c:v>
                </c:pt>
                <c:pt idx="256">
                  <c:v>29.240246406570844</c:v>
                </c:pt>
                <c:pt idx="257">
                  <c:v>29.273100616016428</c:v>
                </c:pt>
                <c:pt idx="258">
                  <c:v>29.305954825462013</c:v>
                </c:pt>
                <c:pt idx="259">
                  <c:v>29.338809034907598</c:v>
                </c:pt>
                <c:pt idx="260">
                  <c:v>30.094455852156056</c:v>
                </c:pt>
                <c:pt idx="261">
                  <c:v>30.160164271047229</c:v>
                </c:pt>
                <c:pt idx="262">
                  <c:v>30.652977412731005</c:v>
                </c:pt>
                <c:pt idx="263">
                  <c:v>30.751540041067763</c:v>
                </c:pt>
                <c:pt idx="264">
                  <c:v>30.882956878850102</c:v>
                </c:pt>
                <c:pt idx="265">
                  <c:v>30.948665297741272</c:v>
                </c:pt>
                <c:pt idx="266">
                  <c:v>31.04722792607803</c:v>
                </c:pt>
                <c:pt idx="267">
                  <c:v>31.408624229979466</c:v>
                </c:pt>
                <c:pt idx="268">
                  <c:v>31.507186858316221</c:v>
                </c:pt>
                <c:pt idx="269">
                  <c:v>31.540041067761805</c:v>
                </c:pt>
                <c:pt idx="270">
                  <c:v>31.671457905544148</c:v>
                </c:pt>
                <c:pt idx="271">
                  <c:v>31.770020533880903</c:v>
                </c:pt>
                <c:pt idx="272">
                  <c:v>31.835728952772072</c:v>
                </c:pt>
                <c:pt idx="273">
                  <c:v>31.868583162217661</c:v>
                </c:pt>
                <c:pt idx="274">
                  <c:v>31.93429158110883</c:v>
                </c:pt>
                <c:pt idx="275">
                  <c:v>31.967145790554415</c:v>
                </c:pt>
                <c:pt idx="276">
                  <c:v>32</c:v>
                </c:pt>
                <c:pt idx="277">
                  <c:v>32.229979466119097</c:v>
                </c:pt>
                <c:pt idx="278">
                  <c:v>32.262833675564679</c:v>
                </c:pt>
                <c:pt idx="279">
                  <c:v>32.295687885010267</c:v>
                </c:pt>
                <c:pt idx="280">
                  <c:v>32.394250513347025</c:v>
                </c:pt>
                <c:pt idx="281">
                  <c:v>32.558521560574945</c:v>
                </c:pt>
                <c:pt idx="282">
                  <c:v>32.689938398357292</c:v>
                </c:pt>
                <c:pt idx="283">
                  <c:v>32.919917864476389</c:v>
                </c:pt>
                <c:pt idx="284">
                  <c:v>33.281314168377826</c:v>
                </c:pt>
                <c:pt idx="285">
                  <c:v>34.036960985626287</c:v>
                </c:pt>
                <c:pt idx="286">
                  <c:v>34.266940451745377</c:v>
                </c:pt>
                <c:pt idx="287">
                  <c:v>34.792607802874741</c:v>
                </c:pt>
                <c:pt idx="288">
                  <c:v>34.891170431211499</c:v>
                </c:pt>
                <c:pt idx="289">
                  <c:v>35.383983572895275</c:v>
                </c:pt>
                <c:pt idx="290">
                  <c:v>35.416837782340863</c:v>
                </c:pt>
                <c:pt idx="291">
                  <c:v>35.482546201232033</c:v>
                </c:pt>
                <c:pt idx="292">
                  <c:v>35.745379876796711</c:v>
                </c:pt>
                <c:pt idx="293">
                  <c:v>35.7782340862423</c:v>
                </c:pt>
                <c:pt idx="294">
                  <c:v>35.811088295687888</c:v>
                </c:pt>
                <c:pt idx="295">
                  <c:v>35.843942505133469</c:v>
                </c:pt>
                <c:pt idx="296">
                  <c:v>35.909650924024639</c:v>
                </c:pt>
                <c:pt idx="297">
                  <c:v>35.942505133470227</c:v>
                </c:pt>
                <c:pt idx="298">
                  <c:v>35.975359342915809</c:v>
                </c:pt>
                <c:pt idx="299">
                  <c:v>36.139630390143736</c:v>
                </c:pt>
                <c:pt idx="300">
                  <c:v>36.303901437371664</c:v>
                </c:pt>
                <c:pt idx="301">
                  <c:v>36.402464065708422</c:v>
                </c:pt>
                <c:pt idx="302">
                  <c:v>36.435318275154003</c:v>
                </c:pt>
                <c:pt idx="303">
                  <c:v>36.566735112936342</c:v>
                </c:pt>
                <c:pt idx="304">
                  <c:v>36.599589322381931</c:v>
                </c:pt>
                <c:pt idx="305">
                  <c:v>36.698151950718689</c:v>
                </c:pt>
                <c:pt idx="306">
                  <c:v>36.763860369609858</c:v>
                </c:pt>
                <c:pt idx="307">
                  <c:v>36.79671457905544</c:v>
                </c:pt>
                <c:pt idx="308">
                  <c:v>36.960985626283367</c:v>
                </c:pt>
                <c:pt idx="309">
                  <c:v>37.453798767967143</c:v>
                </c:pt>
                <c:pt idx="310">
                  <c:v>37.650924024640659</c:v>
                </c:pt>
                <c:pt idx="311">
                  <c:v>37.782340862422998</c:v>
                </c:pt>
                <c:pt idx="312">
                  <c:v>37.848049281314168</c:v>
                </c:pt>
                <c:pt idx="313">
                  <c:v>38.012320328542096</c:v>
                </c:pt>
                <c:pt idx="314">
                  <c:v>38.176591375770023</c:v>
                </c:pt>
                <c:pt idx="315">
                  <c:v>38.209445585215605</c:v>
                </c:pt>
                <c:pt idx="316">
                  <c:v>38.242299794661193</c:v>
                </c:pt>
                <c:pt idx="317">
                  <c:v>38.340862422997944</c:v>
                </c:pt>
                <c:pt idx="318">
                  <c:v>38.406570841889121</c:v>
                </c:pt>
                <c:pt idx="319">
                  <c:v>38.439425051334702</c:v>
                </c:pt>
                <c:pt idx="320">
                  <c:v>38.47227926078029</c:v>
                </c:pt>
                <c:pt idx="321">
                  <c:v>38.570841889117041</c:v>
                </c:pt>
                <c:pt idx="322">
                  <c:v>38.669404517453799</c:v>
                </c:pt>
                <c:pt idx="323">
                  <c:v>38.833675564681727</c:v>
                </c:pt>
                <c:pt idx="324">
                  <c:v>38.866529774127308</c:v>
                </c:pt>
                <c:pt idx="325">
                  <c:v>38.932238193018478</c:v>
                </c:pt>
                <c:pt idx="326">
                  <c:v>39.162217659137575</c:v>
                </c:pt>
                <c:pt idx="327">
                  <c:v>39.195071868583163</c:v>
                </c:pt>
                <c:pt idx="328">
                  <c:v>39.260780287474333</c:v>
                </c:pt>
                <c:pt idx="329">
                  <c:v>39.589322381930188</c:v>
                </c:pt>
                <c:pt idx="330">
                  <c:v>39.655030800821358</c:v>
                </c:pt>
                <c:pt idx="331">
                  <c:v>39.687885010266939</c:v>
                </c:pt>
                <c:pt idx="332">
                  <c:v>39.819301848049278</c:v>
                </c:pt>
                <c:pt idx="333">
                  <c:v>40.016427104722794</c:v>
                </c:pt>
                <c:pt idx="334">
                  <c:v>40.049281314168375</c:v>
                </c:pt>
                <c:pt idx="335">
                  <c:v>40.147843942505133</c:v>
                </c:pt>
                <c:pt idx="336">
                  <c:v>40.246406570841891</c:v>
                </c:pt>
                <c:pt idx="337">
                  <c:v>40.410677618069812</c:v>
                </c:pt>
                <c:pt idx="338">
                  <c:v>40.4435318275154</c:v>
                </c:pt>
                <c:pt idx="339">
                  <c:v>40.476386036960989</c:v>
                </c:pt>
                <c:pt idx="340">
                  <c:v>40.50924024640657</c:v>
                </c:pt>
                <c:pt idx="341">
                  <c:v>40.739219712525667</c:v>
                </c:pt>
                <c:pt idx="342">
                  <c:v>40.837782340862425</c:v>
                </c:pt>
                <c:pt idx="343">
                  <c:v>40.936344969199176</c:v>
                </c:pt>
                <c:pt idx="344">
                  <c:v>41.067761806981522</c:v>
                </c:pt>
                <c:pt idx="345">
                  <c:v>41.166324435318273</c:v>
                </c:pt>
                <c:pt idx="346">
                  <c:v>41.52772073921971</c:v>
                </c:pt>
                <c:pt idx="347">
                  <c:v>41.954825462012323</c:v>
                </c:pt>
                <c:pt idx="348">
                  <c:v>42.020533880903493</c:v>
                </c:pt>
                <c:pt idx="349">
                  <c:v>42.053388090349074</c:v>
                </c:pt>
                <c:pt idx="350">
                  <c:v>42.151950718685832</c:v>
                </c:pt>
                <c:pt idx="351">
                  <c:v>42.579055441478438</c:v>
                </c:pt>
                <c:pt idx="352">
                  <c:v>42.907597535934293</c:v>
                </c:pt>
                <c:pt idx="353">
                  <c:v>43.26899383983573</c:v>
                </c:pt>
                <c:pt idx="354">
                  <c:v>43.466119096509239</c:v>
                </c:pt>
                <c:pt idx="355">
                  <c:v>43.663244353182755</c:v>
                </c:pt>
                <c:pt idx="356">
                  <c:v>43.728952772073924</c:v>
                </c:pt>
                <c:pt idx="357">
                  <c:v>43.926078028747433</c:v>
                </c:pt>
                <c:pt idx="358">
                  <c:v>44.024640657084191</c:v>
                </c:pt>
                <c:pt idx="359">
                  <c:v>44.057494866529773</c:v>
                </c:pt>
                <c:pt idx="360">
                  <c:v>44.090349075975361</c:v>
                </c:pt>
                <c:pt idx="361">
                  <c:v>44.123203285420942</c:v>
                </c:pt>
                <c:pt idx="362">
                  <c:v>44.320328542094458</c:v>
                </c:pt>
                <c:pt idx="363">
                  <c:v>44.353182751540039</c:v>
                </c:pt>
                <c:pt idx="364">
                  <c:v>44.386036960985628</c:v>
                </c:pt>
                <c:pt idx="365">
                  <c:v>44.418891170431209</c:v>
                </c:pt>
                <c:pt idx="366">
                  <c:v>44.517453798767967</c:v>
                </c:pt>
                <c:pt idx="367">
                  <c:v>44.550308008213555</c:v>
                </c:pt>
                <c:pt idx="368">
                  <c:v>44.583162217659137</c:v>
                </c:pt>
                <c:pt idx="369">
                  <c:v>44.616016427104725</c:v>
                </c:pt>
                <c:pt idx="370">
                  <c:v>44.780287474332646</c:v>
                </c:pt>
                <c:pt idx="371">
                  <c:v>44.813141683778234</c:v>
                </c:pt>
                <c:pt idx="372">
                  <c:v>44.878850102669404</c:v>
                </c:pt>
                <c:pt idx="373">
                  <c:v>45.043121149897331</c:v>
                </c:pt>
                <c:pt idx="374">
                  <c:v>45.568788501026695</c:v>
                </c:pt>
                <c:pt idx="375">
                  <c:v>45.601642710472277</c:v>
                </c:pt>
                <c:pt idx="376">
                  <c:v>46.02874743326489</c:v>
                </c:pt>
                <c:pt idx="377">
                  <c:v>46.652977412731005</c:v>
                </c:pt>
                <c:pt idx="378">
                  <c:v>46.882956878850102</c:v>
                </c:pt>
                <c:pt idx="379">
                  <c:v>47.04722792607803</c:v>
                </c:pt>
                <c:pt idx="380">
                  <c:v>47.112936344969199</c:v>
                </c:pt>
                <c:pt idx="381">
                  <c:v>47.145790554414788</c:v>
                </c:pt>
                <c:pt idx="382">
                  <c:v>47.342915811088297</c:v>
                </c:pt>
                <c:pt idx="383">
                  <c:v>47.408624229979466</c:v>
                </c:pt>
                <c:pt idx="384">
                  <c:v>47.605749486652975</c:v>
                </c:pt>
                <c:pt idx="385">
                  <c:v>47.93429158110883</c:v>
                </c:pt>
                <c:pt idx="386">
                  <c:v>47.967145790554412</c:v>
                </c:pt>
                <c:pt idx="387">
                  <c:v>48.06570841889117</c:v>
                </c:pt>
                <c:pt idx="388">
                  <c:v>48.262833675564679</c:v>
                </c:pt>
                <c:pt idx="389">
                  <c:v>48.361396303901437</c:v>
                </c:pt>
                <c:pt idx="390">
                  <c:v>48.459958932238195</c:v>
                </c:pt>
                <c:pt idx="391">
                  <c:v>48.657084188911703</c:v>
                </c:pt>
                <c:pt idx="392">
                  <c:v>48.722792607802873</c:v>
                </c:pt>
                <c:pt idx="393">
                  <c:v>48.821355236139631</c:v>
                </c:pt>
                <c:pt idx="394">
                  <c:v>48.95277207392197</c:v>
                </c:pt>
                <c:pt idx="395">
                  <c:v>49.051334702258728</c:v>
                </c:pt>
                <c:pt idx="396">
                  <c:v>49.248459958932237</c:v>
                </c:pt>
                <c:pt idx="397">
                  <c:v>49.347022587268995</c:v>
                </c:pt>
                <c:pt idx="398">
                  <c:v>49.445585215605746</c:v>
                </c:pt>
                <c:pt idx="399">
                  <c:v>49.741273100616013</c:v>
                </c:pt>
                <c:pt idx="400">
                  <c:v>49.97125256673511</c:v>
                </c:pt>
                <c:pt idx="401">
                  <c:v>50.102669404517457</c:v>
                </c:pt>
                <c:pt idx="402">
                  <c:v>50.168377823408626</c:v>
                </c:pt>
                <c:pt idx="403">
                  <c:v>50.201232032854207</c:v>
                </c:pt>
                <c:pt idx="404">
                  <c:v>51.154004106776178</c:v>
                </c:pt>
                <c:pt idx="405">
                  <c:v>51.252566735112936</c:v>
                </c:pt>
                <c:pt idx="406">
                  <c:v>51.581108829568791</c:v>
                </c:pt>
                <c:pt idx="407">
                  <c:v>51.843942505133469</c:v>
                </c:pt>
                <c:pt idx="408">
                  <c:v>51.975359342915809</c:v>
                </c:pt>
                <c:pt idx="409">
                  <c:v>52.139630390143736</c:v>
                </c:pt>
                <c:pt idx="410">
                  <c:v>52.205338809034906</c:v>
                </c:pt>
                <c:pt idx="411">
                  <c:v>52.501026694045173</c:v>
                </c:pt>
                <c:pt idx="412">
                  <c:v>52.566735112936342</c:v>
                </c:pt>
                <c:pt idx="413">
                  <c:v>52.599589322381931</c:v>
                </c:pt>
                <c:pt idx="414">
                  <c:v>52.6652977412731</c:v>
                </c:pt>
                <c:pt idx="415">
                  <c:v>52.698151950718689</c:v>
                </c:pt>
                <c:pt idx="416">
                  <c:v>53.125256673511295</c:v>
                </c:pt>
                <c:pt idx="417">
                  <c:v>53.355236139630392</c:v>
                </c:pt>
                <c:pt idx="418">
                  <c:v>53.388090349075974</c:v>
                </c:pt>
                <c:pt idx="419">
                  <c:v>53.453798767967143</c:v>
                </c:pt>
                <c:pt idx="420">
                  <c:v>53.519507186858313</c:v>
                </c:pt>
                <c:pt idx="421">
                  <c:v>53.618069815195071</c:v>
                </c:pt>
                <c:pt idx="422">
                  <c:v>53.782340862422998</c:v>
                </c:pt>
                <c:pt idx="423">
                  <c:v>53.913757700205338</c:v>
                </c:pt>
                <c:pt idx="424">
                  <c:v>53.946611909650926</c:v>
                </c:pt>
                <c:pt idx="425">
                  <c:v>54.045174537987677</c:v>
                </c:pt>
                <c:pt idx="426">
                  <c:v>54.308008213552363</c:v>
                </c:pt>
                <c:pt idx="427">
                  <c:v>54.373716632443532</c:v>
                </c:pt>
                <c:pt idx="428">
                  <c:v>54.735112936344969</c:v>
                </c:pt>
                <c:pt idx="429">
                  <c:v>55.030800821355236</c:v>
                </c:pt>
                <c:pt idx="430">
                  <c:v>55.162217659137575</c:v>
                </c:pt>
                <c:pt idx="431">
                  <c:v>55.195071868583163</c:v>
                </c:pt>
                <c:pt idx="432">
                  <c:v>55.326488706365502</c:v>
                </c:pt>
                <c:pt idx="433">
                  <c:v>55.359342915811091</c:v>
                </c:pt>
                <c:pt idx="434">
                  <c:v>55.589322381930188</c:v>
                </c:pt>
                <c:pt idx="435">
                  <c:v>55.622176591375769</c:v>
                </c:pt>
                <c:pt idx="436">
                  <c:v>55.885010266940455</c:v>
                </c:pt>
                <c:pt idx="437">
                  <c:v>55.917864476386036</c:v>
                </c:pt>
                <c:pt idx="438">
                  <c:v>55.950718685831625</c:v>
                </c:pt>
                <c:pt idx="439">
                  <c:v>56.082135523613964</c:v>
                </c:pt>
                <c:pt idx="440">
                  <c:v>56.312114989733061</c:v>
                </c:pt>
                <c:pt idx="441">
                  <c:v>56.410677618069812</c:v>
                </c:pt>
                <c:pt idx="442">
                  <c:v>56.50924024640657</c:v>
                </c:pt>
                <c:pt idx="443">
                  <c:v>56.542094455852158</c:v>
                </c:pt>
                <c:pt idx="444">
                  <c:v>56.57494866529774</c:v>
                </c:pt>
                <c:pt idx="445">
                  <c:v>56.804928131416837</c:v>
                </c:pt>
                <c:pt idx="446">
                  <c:v>56.837782340862425</c:v>
                </c:pt>
                <c:pt idx="447">
                  <c:v>57.002053388090346</c:v>
                </c:pt>
                <c:pt idx="448">
                  <c:v>57.264887063655031</c:v>
                </c:pt>
                <c:pt idx="449">
                  <c:v>57.52772073921971</c:v>
                </c:pt>
                <c:pt idx="450">
                  <c:v>57.593429158110879</c:v>
                </c:pt>
                <c:pt idx="451">
                  <c:v>57.691991786447637</c:v>
                </c:pt>
                <c:pt idx="452">
                  <c:v>57.823408624229977</c:v>
                </c:pt>
                <c:pt idx="453">
                  <c:v>57.921971252566735</c:v>
                </c:pt>
                <c:pt idx="454">
                  <c:v>57.987679671457904</c:v>
                </c:pt>
                <c:pt idx="455">
                  <c:v>58.053388090349074</c:v>
                </c:pt>
                <c:pt idx="456">
                  <c:v>58.18480492813142</c:v>
                </c:pt>
                <c:pt idx="457">
                  <c:v>58.513347022587268</c:v>
                </c:pt>
                <c:pt idx="458">
                  <c:v>58.677618069815196</c:v>
                </c:pt>
                <c:pt idx="459">
                  <c:v>58.776180698151954</c:v>
                </c:pt>
                <c:pt idx="460">
                  <c:v>58.841889117043124</c:v>
                </c:pt>
                <c:pt idx="461">
                  <c:v>59.3347022587269</c:v>
                </c:pt>
                <c:pt idx="462">
                  <c:v>59.367556468172488</c:v>
                </c:pt>
                <c:pt idx="463">
                  <c:v>59.597535934291578</c:v>
                </c:pt>
                <c:pt idx="464">
                  <c:v>59.728952772073924</c:v>
                </c:pt>
                <c:pt idx="465">
                  <c:v>59.794661190965094</c:v>
                </c:pt>
                <c:pt idx="466">
                  <c:v>59.827515400410675</c:v>
                </c:pt>
                <c:pt idx="467">
                  <c:v>59.991786447638603</c:v>
                </c:pt>
                <c:pt idx="468">
                  <c:v>60.2217659137577</c:v>
                </c:pt>
                <c:pt idx="469">
                  <c:v>60.254620123203289</c:v>
                </c:pt>
                <c:pt idx="470">
                  <c:v>60.386036960985628</c:v>
                </c:pt>
                <c:pt idx="471">
                  <c:v>60.451745379876797</c:v>
                </c:pt>
                <c:pt idx="472">
                  <c:v>60.484599589322379</c:v>
                </c:pt>
                <c:pt idx="473">
                  <c:v>60.517453798767967</c:v>
                </c:pt>
                <c:pt idx="474">
                  <c:v>60.648870636550306</c:v>
                </c:pt>
                <c:pt idx="475">
                  <c:v>60.681724845995895</c:v>
                </c:pt>
                <c:pt idx="476">
                  <c:v>60.845995893223822</c:v>
                </c:pt>
                <c:pt idx="477">
                  <c:v>60.878850102669404</c:v>
                </c:pt>
                <c:pt idx="478">
                  <c:v>60.911704312114992</c:v>
                </c:pt>
                <c:pt idx="479">
                  <c:v>60.944558521560573</c:v>
                </c:pt>
                <c:pt idx="480">
                  <c:v>60.977412731006162</c:v>
                </c:pt>
                <c:pt idx="481">
                  <c:v>61.043121149897331</c:v>
                </c:pt>
                <c:pt idx="482">
                  <c:v>61.141683778234089</c:v>
                </c:pt>
                <c:pt idx="483">
                  <c:v>61.17453798767967</c:v>
                </c:pt>
                <c:pt idx="484">
                  <c:v>61.207392197125259</c:v>
                </c:pt>
                <c:pt idx="485">
                  <c:v>61.30595482546201</c:v>
                </c:pt>
                <c:pt idx="486">
                  <c:v>61.371663244353179</c:v>
                </c:pt>
                <c:pt idx="487">
                  <c:v>61.404517453798768</c:v>
                </c:pt>
                <c:pt idx="488">
                  <c:v>61.700205338809035</c:v>
                </c:pt>
                <c:pt idx="489">
                  <c:v>61.897330595482543</c:v>
                </c:pt>
                <c:pt idx="490">
                  <c:v>62.324435318275157</c:v>
                </c:pt>
                <c:pt idx="491">
                  <c:v>62.554414784394254</c:v>
                </c:pt>
                <c:pt idx="492">
                  <c:v>62.587268993839835</c:v>
                </c:pt>
                <c:pt idx="493">
                  <c:v>63.014373716632441</c:v>
                </c:pt>
                <c:pt idx="494">
                  <c:v>63.145790554414788</c:v>
                </c:pt>
                <c:pt idx="495">
                  <c:v>63.277207392197127</c:v>
                </c:pt>
                <c:pt idx="496">
                  <c:v>63.507186858316224</c:v>
                </c:pt>
                <c:pt idx="497">
                  <c:v>63.671457905544145</c:v>
                </c:pt>
                <c:pt idx="498">
                  <c:v>64.262833675564679</c:v>
                </c:pt>
                <c:pt idx="499">
                  <c:v>64.361396303901444</c:v>
                </c:pt>
                <c:pt idx="500">
                  <c:v>64.558521560574945</c:v>
                </c:pt>
                <c:pt idx="501">
                  <c:v>64.887063655030801</c:v>
                </c:pt>
                <c:pt idx="502">
                  <c:v>64.919917864476389</c:v>
                </c:pt>
                <c:pt idx="503">
                  <c:v>64.952772073921977</c:v>
                </c:pt>
                <c:pt idx="504">
                  <c:v>65.01848049281314</c:v>
                </c:pt>
                <c:pt idx="505">
                  <c:v>65.084188911704317</c:v>
                </c:pt>
                <c:pt idx="506">
                  <c:v>65.182751540041068</c:v>
                </c:pt>
                <c:pt idx="507">
                  <c:v>65.347022587268995</c:v>
                </c:pt>
                <c:pt idx="508">
                  <c:v>65.379876796714584</c:v>
                </c:pt>
                <c:pt idx="509">
                  <c:v>65.938398357289529</c:v>
                </c:pt>
                <c:pt idx="510">
                  <c:v>66.004106776180691</c:v>
                </c:pt>
                <c:pt idx="511">
                  <c:v>66.03696098562628</c:v>
                </c:pt>
                <c:pt idx="512">
                  <c:v>66.069815195071868</c:v>
                </c:pt>
                <c:pt idx="513">
                  <c:v>66.168377823408619</c:v>
                </c:pt>
                <c:pt idx="514">
                  <c:v>66.201232032854207</c:v>
                </c:pt>
                <c:pt idx="515">
                  <c:v>66.266940451745384</c:v>
                </c:pt>
                <c:pt idx="516">
                  <c:v>66.299794661190958</c:v>
                </c:pt>
                <c:pt idx="517">
                  <c:v>66.496919917864474</c:v>
                </c:pt>
                <c:pt idx="518">
                  <c:v>66.595482546201225</c:v>
                </c:pt>
                <c:pt idx="519">
                  <c:v>66.69404517453799</c:v>
                </c:pt>
                <c:pt idx="520">
                  <c:v>66.82546201232033</c:v>
                </c:pt>
                <c:pt idx="521">
                  <c:v>66.989733059548257</c:v>
                </c:pt>
                <c:pt idx="522">
                  <c:v>67.285420944558524</c:v>
                </c:pt>
                <c:pt idx="523">
                  <c:v>67.318275154004112</c:v>
                </c:pt>
                <c:pt idx="524">
                  <c:v>67.383983572895275</c:v>
                </c:pt>
                <c:pt idx="525">
                  <c:v>67.416837782340863</c:v>
                </c:pt>
                <c:pt idx="526">
                  <c:v>67.548254620123203</c:v>
                </c:pt>
                <c:pt idx="527">
                  <c:v>67.581108829568791</c:v>
                </c:pt>
                <c:pt idx="528">
                  <c:v>67.646817248459953</c:v>
                </c:pt>
                <c:pt idx="529">
                  <c:v>67.843942505133469</c:v>
                </c:pt>
                <c:pt idx="530">
                  <c:v>68.763860369609858</c:v>
                </c:pt>
                <c:pt idx="531">
                  <c:v>69.848049281314175</c:v>
                </c:pt>
                <c:pt idx="532">
                  <c:v>69.913757700205338</c:v>
                </c:pt>
                <c:pt idx="533">
                  <c:v>70.045174537987677</c:v>
                </c:pt>
                <c:pt idx="534">
                  <c:v>70.242299794661193</c:v>
                </c:pt>
                <c:pt idx="535">
                  <c:v>70.439425051334709</c:v>
                </c:pt>
                <c:pt idx="536">
                  <c:v>70.570841889117048</c:v>
                </c:pt>
                <c:pt idx="537">
                  <c:v>70.735112936344976</c:v>
                </c:pt>
                <c:pt idx="538">
                  <c:v>70.833675564681727</c:v>
                </c:pt>
                <c:pt idx="539">
                  <c:v>70.997946611909654</c:v>
                </c:pt>
                <c:pt idx="540">
                  <c:v>71.293634496919921</c:v>
                </c:pt>
                <c:pt idx="541">
                  <c:v>71.359342915811084</c:v>
                </c:pt>
                <c:pt idx="542">
                  <c:v>71.457905544147849</c:v>
                </c:pt>
                <c:pt idx="543">
                  <c:v>71.523613963039011</c:v>
                </c:pt>
                <c:pt idx="544">
                  <c:v>72.016427104722794</c:v>
                </c:pt>
                <c:pt idx="545">
                  <c:v>72.114989733059545</c:v>
                </c:pt>
                <c:pt idx="546">
                  <c:v>72.4435318275154</c:v>
                </c:pt>
                <c:pt idx="547">
                  <c:v>72.837782340862418</c:v>
                </c:pt>
                <c:pt idx="548">
                  <c:v>73.166324435318273</c:v>
                </c:pt>
                <c:pt idx="549">
                  <c:v>73.363449691991789</c:v>
                </c:pt>
                <c:pt idx="550">
                  <c:v>73.396303901437378</c:v>
                </c:pt>
                <c:pt idx="551">
                  <c:v>73.494866529774129</c:v>
                </c:pt>
                <c:pt idx="552">
                  <c:v>73.560574948665291</c:v>
                </c:pt>
                <c:pt idx="553">
                  <c:v>74.611909650924019</c:v>
                </c:pt>
                <c:pt idx="554">
                  <c:v>75.104722792607802</c:v>
                </c:pt>
                <c:pt idx="555">
                  <c:v>75.433264887063658</c:v>
                </c:pt>
                <c:pt idx="556">
                  <c:v>75.466119096509246</c:v>
                </c:pt>
                <c:pt idx="557">
                  <c:v>76.221765913757707</c:v>
                </c:pt>
                <c:pt idx="558">
                  <c:v>77.30595482546201</c:v>
                </c:pt>
                <c:pt idx="559">
                  <c:v>77.864476386036955</c:v>
                </c:pt>
                <c:pt idx="560">
                  <c:v>77.930184804928132</c:v>
                </c:pt>
                <c:pt idx="561">
                  <c:v>78.19301848049281</c:v>
                </c:pt>
                <c:pt idx="562">
                  <c:v>78.455852156057489</c:v>
                </c:pt>
                <c:pt idx="563">
                  <c:v>78.882956878850109</c:v>
                </c:pt>
                <c:pt idx="564">
                  <c:v>80.098562628336751</c:v>
                </c:pt>
                <c:pt idx="565">
                  <c:v>80.459958932238195</c:v>
                </c:pt>
                <c:pt idx="566">
                  <c:v>80.689938398357285</c:v>
                </c:pt>
                <c:pt idx="567">
                  <c:v>81.051334702258728</c:v>
                </c:pt>
                <c:pt idx="568">
                  <c:v>81.182751540041068</c:v>
                </c:pt>
                <c:pt idx="569">
                  <c:v>83.416837782340863</c:v>
                </c:pt>
                <c:pt idx="570">
                  <c:v>83.811088295687881</c:v>
                </c:pt>
                <c:pt idx="571">
                  <c:v>83.975359342915809</c:v>
                </c:pt>
                <c:pt idx="572">
                  <c:v>84.205338809034913</c:v>
                </c:pt>
                <c:pt idx="573">
                  <c:v>85.815195071868587</c:v>
                </c:pt>
                <c:pt idx="574">
                  <c:v>87.359342915811084</c:v>
                </c:pt>
              </c:numCache>
            </c:numRef>
          </c:xVal>
          <c:yVal>
            <c:numRef>
              <c:f>'RCS-Plot'!$C$11:$C$585</c:f>
              <c:numCache>
                <c:formatCode>0.0000</c:formatCode>
                <c:ptCount val="575"/>
                <c:pt idx="0">
                  <c:v>1</c:v>
                </c:pt>
                <c:pt idx="1">
                  <c:v>0.99999999968044084</c:v>
                </c:pt>
                <c:pt idx="2">
                  <c:v>0.99999996045952477</c:v>
                </c:pt>
                <c:pt idx="3">
                  <c:v>0.99999993746356308</c:v>
                </c:pt>
                <c:pt idx="4">
                  <c:v>0.99999990439336406</c:v>
                </c:pt>
                <c:pt idx="5">
                  <c:v>0.99999985811320391</c:v>
                </c:pt>
                <c:pt idx="6">
                  <c:v>0.99999688485013616</c:v>
                </c:pt>
                <c:pt idx="7">
                  <c:v>0.99997332347608159</c:v>
                </c:pt>
                <c:pt idx="8">
                  <c:v>0.99995627829726175</c:v>
                </c:pt>
                <c:pt idx="9">
                  <c:v>0.99986698804167062</c:v>
                </c:pt>
                <c:pt idx="10">
                  <c:v>0.99978190086826646</c:v>
                </c:pt>
                <c:pt idx="11">
                  <c:v>0.99974630297600431</c:v>
                </c:pt>
                <c:pt idx="12">
                  <c:v>0.99970667381400025</c:v>
                </c:pt>
                <c:pt idx="13">
                  <c:v>0.999614324525119</c:v>
                </c:pt>
                <c:pt idx="14">
                  <c:v>0.99958832842871037</c:v>
                </c:pt>
                <c:pt idx="15">
                  <c:v>0.99839925798863083</c:v>
                </c:pt>
                <c:pt idx="16">
                  <c:v>0.99715821505128455</c:v>
                </c:pt>
                <c:pt idx="17">
                  <c:v>0.99705883643279625</c:v>
                </c:pt>
                <c:pt idx="18">
                  <c:v>0.99641673891602689</c:v>
                </c:pt>
                <c:pt idx="19">
                  <c:v>0.99233619540664975</c:v>
                </c:pt>
                <c:pt idx="20">
                  <c:v>0.99002813452350691</c:v>
                </c:pt>
                <c:pt idx="21">
                  <c:v>0.98830455213401558</c:v>
                </c:pt>
                <c:pt idx="22">
                  <c:v>0.98807885269880702</c:v>
                </c:pt>
                <c:pt idx="23">
                  <c:v>0.9876206854805748</c:v>
                </c:pt>
                <c:pt idx="24">
                  <c:v>0.98715353828472363</c:v>
                </c:pt>
                <c:pt idx="25">
                  <c:v>0.98667746716331928</c:v>
                </c:pt>
                <c:pt idx="26">
                  <c:v>0.98619253108550931</c:v>
                </c:pt>
                <c:pt idx="27">
                  <c:v>0.98544864095911155</c:v>
                </c:pt>
                <c:pt idx="28">
                  <c:v>0.98519631365960758</c:v>
                </c:pt>
                <c:pt idx="29">
                  <c:v>0.98442635805517575</c:v>
                </c:pt>
                <c:pt idx="30">
                  <c:v>0.98390233049480236</c:v>
                </c:pt>
                <c:pt idx="31">
                  <c:v>0.98255526067334553</c:v>
                </c:pt>
                <c:pt idx="32">
                  <c:v>0.98144017744558132</c:v>
                </c:pt>
                <c:pt idx="33">
                  <c:v>0.97851139983512703</c:v>
                </c:pt>
                <c:pt idx="34">
                  <c:v>0.97602892118674545</c:v>
                </c:pt>
                <c:pt idx="35">
                  <c:v>0.97276091075738758</c:v>
                </c:pt>
                <c:pt idx="36">
                  <c:v>0.97140477459334829</c:v>
                </c:pt>
                <c:pt idx="37">
                  <c:v>0.97071659668229726</c:v>
                </c:pt>
                <c:pt idx="38">
                  <c:v>0.96932049425892408</c:v>
                </c:pt>
                <c:pt idx="39">
                  <c:v>0.96753931970593443</c:v>
                </c:pt>
                <c:pt idx="40">
                  <c:v>0.96645195983611942</c:v>
                </c:pt>
                <c:pt idx="41">
                  <c:v>0.96608646852785696</c:v>
                </c:pt>
                <c:pt idx="42">
                  <c:v>0.96423675951561927</c:v>
                </c:pt>
                <c:pt idx="43">
                  <c:v>0.96348671180001033</c:v>
                </c:pt>
                <c:pt idx="44">
                  <c:v>0.9627309972547422</c:v>
                </c:pt>
                <c:pt idx="45">
                  <c:v>0.95447722543859048</c:v>
                </c:pt>
                <c:pt idx="46">
                  <c:v>0.95407067541993673</c:v>
                </c:pt>
                <c:pt idx="47">
                  <c:v>0.9532541594485624</c:v>
                </c:pt>
                <c:pt idx="48">
                  <c:v>0.95284421551198117</c:v>
                </c:pt>
                <c:pt idx="49">
                  <c:v>0.95077807313402007</c:v>
                </c:pt>
                <c:pt idx="50">
                  <c:v>0.94910609996752948</c:v>
                </c:pt>
                <c:pt idx="51">
                  <c:v>0.9486855486011635</c:v>
                </c:pt>
                <c:pt idx="52">
                  <c:v>0.94784145008273391</c:v>
                </c:pt>
                <c:pt idx="53">
                  <c:v>0.94571421492383578</c:v>
                </c:pt>
                <c:pt idx="54">
                  <c:v>0.94442663643568414</c:v>
                </c:pt>
                <c:pt idx="55">
                  <c:v>0.94051641856366974</c:v>
                </c:pt>
                <c:pt idx="56">
                  <c:v>0.93963831513963592</c:v>
                </c:pt>
                <c:pt idx="57">
                  <c:v>0.93919807159724678</c:v>
                </c:pt>
                <c:pt idx="58">
                  <c:v>0.93831524841951874</c:v>
                </c:pt>
                <c:pt idx="59">
                  <c:v>0.9356487654660911</c:v>
                </c:pt>
                <c:pt idx="60">
                  <c:v>0.9343058484491068</c:v>
                </c:pt>
                <c:pt idx="61">
                  <c:v>0.93295680724347674</c:v>
                </c:pt>
                <c:pt idx="62">
                  <c:v>0.92978656673501281</c:v>
                </c:pt>
                <c:pt idx="63">
                  <c:v>0.9265872395434398</c:v>
                </c:pt>
                <c:pt idx="64">
                  <c:v>0.92566820415959128</c:v>
                </c:pt>
                <c:pt idx="65">
                  <c:v>0.92336166690394528</c:v>
                </c:pt>
                <c:pt idx="66">
                  <c:v>0.92289888860781799</c:v>
                </c:pt>
                <c:pt idx="67">
                  <c:v>0.92104313123780324</c:v>
                </c:pt>
                <c:pt idx="68">
                  <c:v>0.92011257264329593</c:v>
                </c:pt>
                <c:pt idx="69">
                  <c:v>0.91871355349773576</c:v>
                </c:pt>
                <c:pt idx="70">
                  <c:v>0.91684256459343505</c:v>
                </c:pt>
                <c:pt idx="71">
                  <c:v>0.91637386015260636</c:v>
                </c:pt>
                <c:pt idx="72">
                  <c:v>0.91590478706008249</c:v>
                </c:pt>
                <c:pt idx="73">
                  <c:v>0.91543535235146256</c:v>
                </c:pt>
                <c:pt idx="74">
                  <c:v>0.91166768555138289</c:v>
                </c:pt>
                <c:pt idx="75">
                  <c:v>0.91119530530326065</c:v>
                </c:pt>
                <c:pt idx="76">
                  <c:v>0.91072263127136388</c:v>
                </c:pt>
                <c:pt idx="77">
                  <c:v>0.91024966999002566</c:v>
                </c:pt>
                <c:pt idx="78">
                  <c:v>0.90977642794897984</c:v>
                </c:pt>
                <c:pt idx="79">
                  <c:v>0.90882912732472221</c:v>
                </c:pt>
                <c:pt idx="80">
                  <c:v>0.90835508149951261</c:v>
                </c:pt>
                <c:pt idx="81">
                  <c:v>0.90740623038832946</c:v>
                </c:pt>
                <c:pt idx="82">
                  <c:v>0.90645640824053952</c:v>
                </c:pt>
                <c:pt idx="83">
                  <c:v>0.90360160500558473</c:v>
                </c:pt>
                <c:pt idx="84">
                  <c:v>0.90026223423520069</c:v>
                </c:pt>
                <c:pt idx="85">
                  <c:v>0.89930665333226556</c:v>
                </c:pt>
                <c:pt idx="86">
                  <c:v>0.8950000645921885</c:v>
                </c:pt>
                <c:pt idx="87">
                  <c:v>0.89164494005744044</c:v>
                </c:pt>
                <c:pt idx="88">
                  <c:v>0.88924650571598463</c:v>
                </c:pt>
                <c:pt idx="89">
                  <c:v>0.88828684245916645</c:v>
                </c:pt>
                <c:pt idx="90">
                  <c:v>0.88684715421011595</c:v>
                </c:pt>
                <c:pt idx="91">
                  <c:v>0.88492739996885517</c:v>
                </c:pt>
                <c:pt idx="92">
                  <c:v>0.88396753016624463</c:v>
                </c:pt>
                <c:pt idx="93">
                  <c:v>0.88252783244869404</c:v>
                </c:pt>
                <c:pt idx="94">
                  <c:v>0.88108836503097543</c:v>
                </c:pt>
                <c:pt idx="95">
                  <c:v>0.87916962688654976</c:v>
                </c:pt>
                <c:pt idx="96">
                  <c:v>0.87821056714126078</c:v>
                </c:pt>
                <c:pt idx="97">
                  <c:v>0.8743771205380948</c:v>
                </c:pt>
                <c:pt idx="98">
                  <c:v>0.87341960843756972</c:v>
                </c:pt>
                <c:pt idx="99">
                  <c:v>0.87294100009598785</c:v>
                </c:pt>
                <c:pt idx="100">
                  <c:v>0.87007164218478683</c:v>
                </c:pt>
                <c:pt idx="101">
                  <c:v>0.86959383042143634</c:v>
                </c:pt>
                <c:pt idx="102">
                  <c:v>0.86768389244139166</c:v>
                </c:pt>
                <c:pt idx="103">
                  <c:v>0.86720675178371354</c:v>
                </c:pt>
                <c:pt idx="104">
                  <c:v>0.86625290587904713</c:v>
                </c:pt>
                <c:pt idx="105">
                  <c:v>0.8652996618284795</c:v>
                </c:pt>
                <c:pt idx="106">
                  <c:v>0.86244379053040654</c:v>
                </c:pt>
                <c:pt idx="107">
                  <c:v>0.86149320149740682</c:v>
                </c:pt>
                <c:pt idx="108">
                  <c:v>0.86054333601012067</c:v>
                </c:pt>
                <c:pt idx="109">
                  <c:v>0.86006868182808716</c:v>
                </c:pt>
                <c:pt idx="110">
                  <c:v>0.85769830972898342</c:v>
                </c:pt>
                <c:pt idx="111">
                  <c:v>0.85533302103459874</c:v>
                </c:pt>
                <c:pt idx="112">
                  <c:v>0.85438840369880875</c:v>
                </c:pt>
                <c:pt idx="113">
                  <c:v>0.85344467349996833</c:v>
                </c:pt>
                <c:pt idx="114">
                  <c:v>0.85297314740151009</c:v>
                </c:pt>
                <c:pt idx="115">
                  <c:v>0.85108936084529829</c:v>
                </c:pt>
                <c:pt idx="116">
                  <c:v>0.84967902248259042</c:v>
                </c:pt>
                <c:pt idx="117">
                  <c:v>0.84874002362969947</c:v>
                </c:pt>
                <c:pt idx="118">
                  <c:v>0.84780202768886359</c:v>
                </c:pt>
                <c:pt idx="119">
                  <c:v>0.84733341147157126</c:v>
                </c:pt>
                <c:pt idx="120">
                  <c:v>0.8468650527333389</c:v>
                </c:pt>
                <c:pt idx="121">
                  <c:v>0.8417307166373581</c:v>
                </c:pt>
                <c:pt idx="122">
                  <c:v>0.84033626418424168</c:v>
                </c:pt>
                <c:pt idx="123">
                  <c:v>0.83709272548078495</c:v>
                </c:pt>
                <c:pt idx="124">
                  <c:v>0.83663055398592046</c:v>
                </c:pt>
                <c:pt idx="125">
                  <c:v>0.83524586585121119</c:v>
                </c:pt>
                <c:pt idx="126">
                  <c:v>0.83478491774172192</c:v>
                </c:pt>
                <c:pt idx="127">
                  <c:v>0.83340394116813599</c:v>
                </c:pt>
                <c:pt idx="128">
                  <c:v>0.83248486329921323</c:v>
                </c:pt>
                <c:pt idx="129">
                  <c:v>0.83202580124475123</c:v>
                </c:pt>
                <c:pt idx="130">
                  <c:v>0.83156705926033625</c:v>
                </c:pt>
                <c:pt idx="131">
                  <c:v>0.8301927695623772</c:v>
                </c:pt>
                <c:pt idx="132">
                  <c:v>0.829735323611137</c:v>
                </c:pt>
                <c:pt idx="133">
                  <c:v>0.82927820552482701</c:v>
                </c:pt>
                <c:pt idx="134">
                  <c:v>0.82836495897274509</c:v>
                </c:pt>
                <c:pt idx="135">
                  <c:v>0.82790883348016453</c:v>
                </c:pt>
                <c:pt idx="136">
                  <c:v>0.82745304179912293</c:v>
                </c:pt>
                <c:pt idx="137">
                  <c:v>0.82699758537704282</c:v>
                </c:pt>
                <c:pt idx="138">
                  <c:v>0.82654246564587819</c:v>
                </c:pt>
                <c:pt idx="139">
                  <c:v>0.82563324190743859</c:v>
                </c:pt>
                <c:pt idx="140">
                  <c:v>0.82472538173427989</c:v>
                </c:pt>
                <c:pt idx="141">
                  <c:v>0.82427196640336031</c:v>
                </c:pt>
                <c:pt idx="142">
                  <c:v>0.82381889603642233</c:v>
                </c:pt>
                <c:pt idx="143">
                  <c:v>0.82246176791408732</c:v>
                </c:pt>
                <c:pt idx="144">
                  <c:v>0.82155876458887633</c:v>
                </c:pt>
                <c:pt idx="145">
                  <c:v>0.81975700025732201</c:v>
                </c:pt>
                <c:pt idx="146">
                  <c:v>0.81930745012702078</c:v>
                </c:pt>
                <c:pt idx="147">
                  <c:v>0.81840942735566857</c:v>
                </c:pt>
                <c:pt idx="148">
                  <c:v>0.81796095704486071</c:v>
                </c:pt>
                <c:pt idx="149">
                  <c:v>0.81661772411249833</c:v>
                </c:pt>
                <c:pt idx="150">
                  <c:v>0.81617070953034276</c:v>
                </c:pt>
                <c:pt idx="151">
                  <c:v>0.81527778153351549</c:v>
                </c:pt>
                <c:pt idx="152">
                  <c:v>0.8143863288934079</c:v>
                </c:pt>
                <c:pt idx="153">
                  <c:v>0.81349635999254299</c:v>
                </c:pt>
                <c:pt idx="154">
                  <c:v>0.81305193450902857</c:v>
                </c:pt>
                <c:pt idx="155">
                  <c:v>0.81260788301319498</c:v>
                </c:pt>
                <c:pt idx="156">
                  <c:v>0.80951007600421354</c:v>
                </c:pt>
                <c:pt idx="157">
                  <c:v>0.80599263527911813</c:v>
                </c:pt>
                <c:pt idx="158">
                  <c:v>0.80555469444492578</c:v>
                </c:pt>
                <c:pt idx="159">
                  <c:v>0.80511714286970182</c:v>
                </c:pt>
                <c:pt idx="160">
                  <c:v>0.80424321067470883</c:v>
                </c:pt>
                <c:pt idx="161">
                  <c:v>0.80337084494478028</c:v>
                </c:pt>
                <c:pt idx="162">
                  <c:v>0.79816987544769225</c:v>
                </c:pt>
                <c:pt idx="163">
                  <c:v>0.79687862017394517</c:v>
                </c:pt>
                <c:pt idx="164">
                  <c:v>0.793879832559788</c:v>
                </c:pt>
                <c:pt idx="165">
                  <c:v>0.79345305892458229</c:v>
                </c:pt>
                <c:pt idx="166">
                  <c:v>0.79302669308401474</c:v>
                </c:pt>
                <c:pt idx="167">
                  <c:v>0.79132531807211981</c:v>
                </c:pt>
                <c:pt idx="168">
                  <c:v>0.7909009989329322</c:v>
                </c:pt>
                <c:pt idx="169">
                  <c:v>0.79005359360974281</c:v>
                </c:pt>
                <c:pt idx="170">
                  <c:v>0.78963050836924431</c:v>
                </c:pt>
                <c:pt idx="171">
                  <c:v>0.78752127451464959</c:v>
                </c:pt>
                <c:pt idx="172">
                  <c:v>0.78375079366267486</c:v>
                </c:pt>
                <c:pt idx="173">
                  <c:v>0.78291749529014343</c:v>
                </c:pt>
                <c:pt idx="174">
                  <c:v>0.7820858674619281</c:v>
                </c:pt>
                <c:pt idx="175">
                  <c:v>0.78167067972796034</c:v>
                </c:pt>
                <c:pt idx="176">
                  <c:v>0.78125590929143818</c:v>
                </c:pt>
                <c:pt idx="177">
                  <c:v>0.77918831209731132</c:v>
                </c:pt>
                <c:pt idx="178">
                  <c:v>0.77713112688724484</c:v>
                </c:pt>
                <c:pt idx="179">
                  <c:v>0.77672093757444771</c:v>
                </c:pt>
                <c:pt idx="180">
                  <c:v>0.77386123664366346</c:v>
                </c:pt>
                <c:pt idx="181">
                  <c:v>0.77183102255331226</c:v>
                </c:pt>
                <c:pt idx="182">
                  <c:v>0.77021428878996934</c:v>
                </c:pt>
                <c:pt idx="183">
                  <c:v>0.7670005915262037</c:v>
                </c:pt>
                <c:pt idx="184">
                  <c:v>0.76500537065591168</c:v>
                </c:pt>
                <c:pt idx="185">
                  <c:v>0.76381314655537136</c:v>
                </c:pt>
                <c:pt idx="186">
                  <c:v>0.76262459448208664</c:v>
                </c:pt>
                <c:pt idx="187">
                  <c:v>0.75908089058207073</c:v>
                </c:pt>
                <c:pt idx="188">
                  <c:v>0.75712633324758261</c:v>
                </c:pt>
                <c:pt idx="189">
                  <c:v>0.75634733173769519</c:v>
                </c:pt>
                <c:pt idx="190">
                  <c:v>0.75518184411681744</c:v>
                </c:pt>
                <c:pt idx="191">
                  <c:v>0.75363347366663902</c:v>
                </c:pt>
                <c:pt idx="192">
                  <c:v>0.75324738107909428</c:v>
                </c:pt>
                <c:pt idx="193">
                  <c:v>0.75286168780083229</c:v>
                </c:pt>
                <c:pt idx="194">
                  <c:v>0.75132290067248908</c:v>
                </c:pt>
                <c:pt idx="195">
                  <c:v>0.75055589366876518</c:v>
                </c:pt>
                <c:pt idx="196">
                  <c:v>0.75017298553608791</c:v>
                </c:pt>
                <c:pt idx="197">
                  <c:v>0.74979047382708452</c:v>
                </c:pt>
                <c:pt idx="198">
                  <c:v>0.7494083581726555</c:v>
                </c:pt>
                <c:pt idx="199">
                  <c:v>0.74902663820192061</c:v>
                </c:pt>
                <c:pt idx="200">
                  <c:v>0.7486453135422465</c:v>
                </c:pt>
                <c:pt idx="201">
                  <c:v>0.74750370767745078</c:v>
                </c:pt>
                <c:pt idx="202">
                  <c:v>0.74636564603414812</c:v>
                </c:pt>
                <c:pt idx="203">
                  <c:v>0.74598707797595987</c:v>
                </c:pt>
                <c:pt idx="204">
                  <c:v>0.7456089021875516</c:v>
                </c:pt>
                <c:pt idx="205">
                  <c:v>0.74447672456019087</c:v>
                </c:pt>
                <c:pt idx="206">
                  <c:v>0.74372389368324399</c:v>
                </c:pt>
                <c:pt idx="207">
                  <c:v>0.74334806332743608</c:v>
                </c:pt>
                <c:pt idx="208">
                  <c:v>0.74222290783365363</c:v>
                </c:pt>
                <c:pt idx="209">
                  <c:v>0.74147474649102418</c:v>
                </c:pt>
                <c:pt idx="210">
                  <c:v>0.74110124731127025</c:v>
                </c:pt>
                <c:pt idx="211">
                  <c:v>0.74072813525424719</c:v>
                </c:pt>
                <c:pt idx="212">
                  <c:v>0.73961111776033051</c:v>
                </c:pt>
                <c:pt idx="213">
                  <c:v>0.73849756970683733</c:v>
                </c:pt>
                <c:pt idx="214">
                  <c:v>0.73812715609249424</c:v>
                </c:pt>
                <c:pt idx="215">
                  <c:v>0.73664933595094839</c:v>
                </c:pt>
                <c:pt idx="216">
                  <c:v>0.73591272063847013</c:v>
                </c:pt>
                <c:pt idx="217">
                  <c:v>0.73554498520671652</c:v>
                </c:pt>
                <c:pt idx="218">
                  <c:v>0.73517763069713371</c:v>
                </c:pt>
                <c:pt idx="219">
                  <c:v>0.73444406275618568</c:v>
                </c:pt>
                <c:pt idx="220">
                  <c:v>0.73298147931651703</c:v>
                </c:pt>
                <c:pt idx="221">
                  <c:v>0.73188851169825586</c:v>
                </c:pt>
                <c:pt idx="222">
                  <c:v>0.73007442649760601</c:v>
                </c:pt>
                <c:pt idx="223">
                  <c:v>0.7279098779849118</c:v>
                </c:pt>
                <c:pt idx="224">
                  <c:v>0.72719134155494425</c:v>
                </c:pt>
                <c:pt idx="225">
                  <c:v>0.72611631836319313</c:v>
                </c:pt>
                <c:pt idx="226">
                  <c:v>0.72540148540022309</c:v>
                </c:pt>
                <c:pt idx="227">
                  <c:v>0.7250446223437006</c:v>
                </c:pt>
                <c:pt idx="228">
                  <c:v>0.72468812764718971</c:v>
                </c:pt>
                <c:pt idx="229">
                  <c:v>0.72397624156111662</c:v>
                </c:pt>
                <c:pt idx="230">
                  <c:v>0.72255687017677672</c:v>
                </c:pt>
                <c:pt idx="231">
                  <c:v>0.72220294156417475</c:v>
                </c:pt>
                <c:pt idx="232">
                  <c:v>0.71763490340990388</c:v>
                </c:pt>
                <c:pt idx="233">
                  <c:v>0.71554709874906364</c:v>
                </c:pt>
                <c:pt idx="234">
                  <c:v>0.71485401867516196</c:v>
                </c:pt>
                <c:pt idx="235">
                  <c:v>0.71450801187791479</c:v>
                </c:pt>
                <c:pt idx="236">
                  <c:v>0.71175269536428054</c:v>
                </c:pt>
                <c:pt idx="237">
                  <c:v>0.71106738787574919</c:v>
                </c:pt>
                <c:pt idx="238">
                  <c:v>0.71004205309397028</c:v>
                </c:pt>
                <c:pt idx="239">
                  <c:v>0.70970097339980198</c:v>
                </c:pt>
                <c:pt idx="240">
                  <c:v>0.70597199916559372</c:v>
                </c:pt>
                <c:pt idx="241">
                  <c:v>0.70563507169916262</c:v>
                </c:pt>
                <c:pt idx="242">
                  <c:v>0.70529848729017575</c:v>
                </c:pt>
                <c:pt idx="243">
                  <c:v>0.70462634582213901</c:v>
                </c:pt>
                <c:pt idx="244">
                  <c:v>0.70429078785197641</c:v>
                </c:pt>
                <c:pt idx="245">
                  <c:v>0.70395557111704721</c:v>
                </c:pt>
                <c:pt idx="246">
                  <c:v>0.70328615953118612</c:v>
                </c:pt>
                <c:pt idx="247">
                  <c:v>0.70195141114724635</c:v>
                </c:pt>
                <c:pt idx="248">
                  <c:v>0.70161857031041663</c:v>
                </c:pt>
                <c:pt idx="249">
                  <c:v>0.70128606706733509</c:v>
                </c:pt>
                <c:pt idx="250">
                  <c:v>0.70029057835335662</c:v>
                </c:pt>
                <c:pt idx="251">
                  <c:v>0.69830865459955871</c:v>
                </c:pt>
                <c:pt idx="252">
                  <c:v>0.69797950230163008</c:v>
                </c:pt>
                <c:pt idx="253">
                  <c:v>0.696011557223291</c:v>
                </c:pt>
                <c:pt idx="254">
                  <c:v>0.69438067890079858</c:v>
                </c:pt>
                <c:pt idx="255">
                  <c:v>0.69405548791272387</c:v>
                </c:pt>
                <c:pt idx="256">
                  <c:v>0.69373062409733699</c:v>
                </c:pt>
                <c:pt idx="257">
                  <c:v>0.6934060870039056</c:v>
                </c:pt>
                <c:pt idx="258">
                  <c:v>0.69308187618193751</c:v>
                </c:pt>
                <c:pt idx="259">
                  <c:v>0.69275799118118564</c:v>
                </c:pt>
                <c:pt idx="260">
                  <c:v>0.68539753128044789</c:v>
                </c:pt>
                <c:pt idx="261">
                  <c:v>0.68476544663871086</c:v>
                </c:pt>
                <c:pt idx="262">
                  <c:v>0.68006463074058765</c:v>
                </c:pt>
                <c:pt idx="263">
                  <c:v>0.67913282072839243</c:v>
                </c:pt>
                <c:pt idx="264">
                  <c:v>0.67789469378995615</c:v>
                </c:pt>
                <c:pt idx="265">
                  <c:v>0.67727745953266116</c:v>
                </c:pt>
                <c:pt idx="266">
                  <c:v>0.67635388491320614</c:v>
                </c:pt>
                <c:pt idx="267">
                  <c:v>0.67299064240494311</c:v>
                </c:pt>
                <c:pt idx="268">
                  <c:v>0.67207967005999869</c:v>
                </c:pt>
                <c:pt idx="269">
                  <c:v>0.67177660601936451</c:v>
                </c:pt>
                <c:pt idx="270">
                  <c:v>0.67056730556798105</c:v>
                </c:pt>
                <c:pt idx="271">
                  <c:v>0.66966342186876249</c:v>
                </c:pt>
                <c:pt idx="272">
                  <c:v>0.66906229861079725</c:v>
                </c:pt>
                <c:pt idx="273">
                  <c:v>0.66876217548099304</c:v>
                </c:pt>
                <c:pt idx="274">
                  <c:v>0.66816280411911766</c:v>
                </c:pt>
                <c:pt idx="275">
                  <c:v>0.66786355504825634</c:v>
                </c:pt>
                <c:pt idx="276">
                  <c:v>0.66756459649240152</c:v>
                </c:pt>
                <c:pt idx="277">
                  <c:v>0.66547998595759172</c:v>
                </c:pt>
                <c:pt idx="278">
                  <c:v>0.66518333650925465</c:v>
                </c:pt>
                <c:pt idx="279">
                  <c:v>0.66488697383026318</c:v>
                </c:pt>
                <c:pt idx="280">
                  <c:v>0.66399960227509369</c:v>
                </c:pt>
                <c:pt idx="281">
                  <c:v>0.66252634655976628</c:v>
                </c:pt>
                <c:pt idx="282">
                  <c:v>0.66135283962095381</c:v>
                </c:pt>
                <c:pt idx="283">
                  <c:v>0.65931002196552924</c:v>
                </c:pt>
                <c:pt idx="284">
                  <c:v>0.65612740780248324</c:v>
                </c:pt>
                <c:pt idx="285">
                  <c:v>0.64957944254518085</c:v>
                </c:pt>
                <c:pt idx="286">
                  <c:v>0.64761464533638402</c:v>
                </c:pt>
                <c:pt idx="287">
                  <c:v>0.64317177117808821</c:v>
                </c:pt>
                <c:pt idx="288">
                  <c:v>0.64234608790053893</c:v>
                </c:pt>
                <c:pt idx="289">
                  <c:v>0.6382519451476697</c:v>
                </c:pt>
                <c:pt idx="290">
                  <c:v>0.63798101473795465</c:v>
                </c:pt>
                <c:pt idx="291">
                  <c:v>0.63743990203205214</c:v>
                </c:pt>
                <c:pt idx="292">
                  <c:v>0.63528537320206535</c:v>
                </c:pt>
                <c:pt idx="293">
                  <c:v>0.63501716740410763</c:v>
                </c:pt>
                <c:pt idx="294">
                  <c:v>0.63474920715067029</c:v>
                </c:pt>
                <c:pt idx="295">
                  <c:v>0.63448149208625115</c:v>
                </c:pt>
                <c:pt idx="296">
                  <c:v>0.63394679610522742</c:v>
                </c:pt>
                <c:pt idx="297">
                  <c:v>0.63367981448039057</c:v>
                </c:pt>
                <c:pt idx="298">
                  <c:v>0.63341307662810553</c:v>
                </c:pt>
                <c:pt idx="299">
                  <c:v>0.63208303162875323</c:v>
                </c:pt>
                <c:pt idx="300">
                  <c:v>0.63075902826875319</c:v>
                </c:pt>
                <c:pt idx="301">
                  <c:v>0.62996750811328972</c:v>
                </c:pt>
                <c:pt idx="302">
                  <c:v>0.62970414629164195</c:v>
                </c:pt>
                <c:pt idx="303">
                  <c:v>0.6286530809595724</c:v>
                </c:pt>
                <c:pt idx="304">
                  <c:v>0.62839090839705591</c:v>
                </c:pt>
                <c:pt idx="305">
                  <c:v>0.62760581028046247</c:v>
                </c:pt>
                <c:pt idx="306">
                  <c:v>0.62708359110166534</c:v>
                </c:pt>
                <c:pt idx="307">
                  <c:v>0.62682283436176134</c:v>
                </c:pt>
                <c:pt idx="308">
                  <c:v>0.62552256561485953</c:v>
                </c:pt>
                <c:pt idx="309">
                  <c:v>0.621656556702195</c:v>
                </c:pt>
                <c:pt idx="310">
                  <c:v>0.62012458687007155</c:v>
                </c:pt>
                <c:pt idx="311">
                  <c:v>0.61910780116584396</c:v>
                </c:pt>
                <c:pt idx="312">
                  <c:v>0.61860075879046572</c:v>
                </c:pt>
                <c:pt idx="313">
                  <c:v>0.61733707109143454</c:v>
                </c:pt>
                <c:pt idx="314">
                  <c:v>0.61607894890616699</c:v>
                </c:pt>
                <c:pt idx="315">
                  <c:v>0.61582798883285716</c:v>
                </c:pt>
                <c:pt idx="316">
                  <c:v>0.61557724947584069</c:v>
                </c:pt>
                <c:pt idx="317">
                  <c:v>0.61482635255161022</c:v>
                </c:pt>
                <c:pt idx="318">
                  <c:v>0.61432685241604124</c:v>
                </c:pt>
                <c:pt idx="319">
                  <c:v>0.61407743075265186</c:v>
                </c:pt>
                <c:pt idx="320">
                  <c:v>0.61382822760906497</c:v>
                </c:pt>
                <c:pt idx="321">
                  <c:v>0.61308192618279367</c:v>
                </c:pt>
                <c:pt idx="322">
                  <c:v>0.61233758024502105</c:v>
                </c:pt>
                <c:pt idx="323">
                  <c:v>0.61110132656410387</c:v>
                </c:pt>
                <c:pt idx="324">
                  <c:v>0.61085472149466835</c:v>
                </c:pt>
                <c:pt idx="325">
                  <c:v>0.61036215457561327</c:v>
                </c:pt>
                <c:pt idx="326">
                  <c:v>0.60864489225309737</c:v>
                </c:pt>
                <c:pt idx="327">
                  <c:v>0.60840041860421967</c:v>
                </c:pt>
                <c:pt idx="328">
                  <c:v>0.60791210545143604</c:v>
                </c:pt>
                <c:pt idx="329">
                  <c:v>0.60548314498399036</c:v>
                </c:pt>
                <c:pt idx="330">
                  <c:v>0.60499985734114337</c:v>
                </c:pt>
                <c:pt idx="331">
                  <c:v>0.6047585246604924</c:v>
                </c:pt>
                <c:pt idx="332">
                  <c:v>0.60379526138286388</c:v>
                </c:pt>
                <c:pt idx="333">
                  <c:v>0.60235653679506163</c:v>
                </c:pt>
                <c:pt idx="334">
                  <c:v>0.60211746552040224</c:v>
                </c:pt>
                <c:pt idx="335">
                  <c:v>0.6014014736383223</c:v>
                </c:pt>
                <c:pt idx="336">
                  <c:v>0.6006873086595701</c:v>
                </c:pt>
                <c:pt idx="337">
                  <c:v>0.59950107260178553</c:v>
                </c:pt>
                <c:pt idx="338">
                  <c:v>0.59926442867701746</c:v>
                </c:pt>
                <c:pt idx="339">
                  <c:v>0.59902798518975664</c:v>
                </c:pt>
                <c:pt idx="340">
                  <c:v>0.59879174185892947</c:v>
                </c:pt>
                <c:pt idx="341">
                  <c:v>0.59714361941396676</c:v>
                </c:pt>
                <c:pt idx="342">
                  <c:v>0.59644025566143344</c:v>
                </c:pt>
                <c:pt idx="343">
                  <c:v>0.59573866577775214</c:v>
                </c:pt>
                <c:pt idx="344">
                  <c:v>0.59480595912906598</c:v>
                </c:pt>
                <c:pt idx="345">
                  <c:v>0.59410847947679102</c:v>
                </c:pt>
                <c:pt idx="346">
                  <c:v>0.59156596477277379</c:v>
                </c:pt>
                <c:pt idx="347">
                  <c:v>0.58859100820326726</c:v>
                </c:pt>
                <c:pt idx="348">
                  <c:v>0.58813615688354082</c:v>
                </c:pt>
                <c:pt idx="349">
                  <c:v>0.58790901256786043</c:v>
                </c:pt>
                <c:pt idx="350">
                  <c:v>0.58722870189347121</c:v>
                </c:pt>
                <c:pt idx="351">
                  <c:v>0.58429999049677872</c:v>
                </c:pt>
                <c:pt idx="352">
                  <c:v>0.5820682258651666</c:v>
                </c:pt>
                <c:pt idx="353">
                  <c:v>0.57963414007208769</c:v>
                </c:pt>
                <c:pt idx="354">
                  <c:v>0.57831555316227123</c:v>
                </c:pt>
                <c:pt idx="355">
                  <c:v>0.57700332039768998</c:v>
                </c:pt>
                <c:pt idx="356">
                  <c:v>0.57656731257846017</c:v>
                </c:pt>
                <c:pt idx="357">
                  <c:v>0.57526347186868865</c:v>
                </c:pt>
                <c:pt idx="358">
                  <c:v>0.57461389265745877</c:v>
                </c:pt>
                <c:pt idx="359">
                  <c:v>0.57439771152864472</c:v>
                </c:pt>
                <c:pt idx="360">
                  <c:v>0.57418170264885782</c:v>
                </c:pt>
                <c:pt idx="361">
                  <c:v>0.57396586578564079</c:v>
                </c:pt>
                <c:pt idx="362">
                  <c:v>0.57267444398722989</c:v>
                </c:pt>
                <c:pt idx="363">
                  <c:v>0.57245980476486236</c:v>
                </c:pt>
                <c:pt idx="364">
                  <c:v>0.57224533571381531</c:v>
                </c:pt>
                <c:pt idx="365">
                  <c:v>0.57203103660522348</c:v>
                </c:pt>
                <c:pt idx="366">
                  <c:v>0.57138915665145862</c:v>
                </c:pt>
                <c:pt idx="367">
                  <c:v>0.5711755350319383</c:v>
                </c:pt>
                <c:pt idx="368">
                  <c:v>0.57096208221646871</c:v>
                </c:pt>
                <c:pt idx="369">
                  <c:v>0.57074879797854683</c:v>
                </c:pt>
                <c:pt idx="370">
                  <c:v>0.56968489755196161</c:v>
                </c:pt>
                <c:pt idx="371">
                  <c:v>0.56947262004466292</c:v>
                </c:pt>
                <c:pt idx="372">
                  <c:v>0.56904856581554619</c:v>
                </c:pt>
                <c:pt idx="373">
                  <c:v>0.56799134109349647</c:v>
                </c:pt>
                <c:pt idx="374">
                  <c:v>0.56463588212232552</c:v>
                </c:pt>
                <c:pt idx="375">
                  <c:v>0.56442755180399007</c:v>
                </c:pt>
                <c:pt idx="376">
                  <c:v>0.561733898971019</c:v>
                </c:pt>
                <c:pt idx="377">
                  <c:v>0.55784522950011106</c:v>
                </c:pt>
                <c:pt idx="378">
                  <c:v>0.5564267476492919</c:v>
                </c:pt>
                <c:pt idx="379">
                  <c:v>0.55541816004640188</c:v>
                </c:pt>
                <c:pt idx="380">
                  <c:v>0.55501579500142695</c:v>
                </c:pt>
                <c:pt idx="381">
                  <c:v>0.55481484096836797</c:v>
                </c:pt>
                <c:pt idx="382">
                  <c:v>0.55361230316836618</c:v>
                </c:pt>
                <c:pt idx="383">
                  <c:v>0.55321266637912136</c:v>
                </c:pt>
                <c:pt idx="384">
                  <c:v>0.55201736154888925</c:v>
                </c:pt>
                <c:pt idx="385">
                  <c:v>0.55003711241330988</c:v>
                </c:pt>
                <c:pt idx="386">
                  <c:v>0.54983990140170413</c:v>
                </c:pt>
                <c:pt idx="387">
                  <c:v>0.54924915093166704</c:v>
                </c:pt>
                <c:pt idx="388">
                  <c:v>0.54807160455214288</c:v>
                </c:pt>
                <c:pt idx="389">
                  <c:v>0.54748479851036458</c:v>
                </c:pt>
                <c:pt idx="390">
                  <c:v>0.54689929718874808</c:v>
                </c:pt>
                <c:pt idx="391">
                  <c:v>0.54573218872421292</c:v>
                </c:pt>
                <c:pt idx="392">
                  <c:v>0.54534430100516118</c:v>
                </c:pt>
                <c:pt idx="393">
                  <c:v>0.54476354105740254</c:v>
                </c:pt>
                <c:pt idx="394">
                  <c:v>0.54399118720797057</c:v>
                </c:pt>
                <c:pt idx="395">
                  <c:v>0.54341341005558264</c:v>
                </c:pt>
                <c:pt idx="396">
                  <c:v>0.54226166163604517</c:v>
                </c:pt>
                <c:pt idx="397">
                  <c:v>0.5416876807402633</c:v>
                </c:pt>
                <c:pt idx="398">
                  <c:v>0.54111495567535961</c:v>
                </c:pt>
                <c:pt idx="399">
                  <c:v>0.53940426805040498</c:v>
                </c:pt>
                <c:pt idx="400">
                  <c:v>0.5380814364097436</c:v>
                </c:pt>
                <c:pt idx="401">
                  <c:v>0.53732853359177191</c:v>
                </c:pt>
                <c:pt idx="402">
                  <c:v>0.53695289619230435</c:v>
                </c:pt>
                <c:pt idx="403">
                  <c:v>0.5367652804009504</c:v>
                </c:pt>
                <c:pt idx="404">
                  <c:v>0.53138249019124761</c:v>
                </c:pt>
                <c:pt idx="405">
                  <c:v>0.53083197031536877</c:v>
                </c:pt>
                <c:pt idx="406">
                  <c:v>0.52900531581695498</c:v>
                </c:pt>
                <c:pt idx="407">
                  <c:v>0.52755322999149556</c:v>
                </c:pt>
                <c:pt idx="408">
                  <c:v>0.52683023873660217</c:v>
                </c:pt>
                <c:pt idx="409">
                  <c:v>0.52592934082612086</c:v>
                </c:pt>
                <c:pt idx="410">
                  <c:v>0.52556986162899411</c:v>
                </c:pt>
                <c:pt idx="411">
                  <c:v>0.52395838758480773</c:v>
                </c:pt>
                <c:pt idx="412">
                  <c:v>0.52360164887655813</c:v>
                </c:pt>
                <c:pt idx="413">
                  <c:v>0.5234234649782874</c:v>
                </c:pt>
                <c:pt idx="414">
                  <c:v>0.52306746734492104</c:v>
                </c:pt>
                <c:pt idx="415">
                  <c:v>0.52288965331115245</c:v>
                </c:pt>
                <c:pt idx="416">
                  <c:v>0.52058920906283845</c:v>
                </c:pt>
                <c:pt idx="417">
                  <c:v>0.51935900417158731</c:v>
                </c:pt>
                <c:pt idx="418">
                  <c:v>0.51918374201710338</c:v>
                </c:pt>
                <c:pt idx="419">
                  <c:v>0.51883357731710977</c:v>
                </c:pt>
                <c:pt idx="420">
                  <c:v>0.51848389113907944</c:v>
                </c:pt>
                <c:pt idx="421">
                  <c:v>0.51796025659766731</c:v>
                </c:pt>
                <c:pt idx="422">
                  <c:v>0.51708990880825911</c:v>
                </c:pt>
                <c:pt idx="423">
                  <c:v>0.51639575918899383</c:v>
                </c:pt>
                <c:pt idx="424">
                  <c:v>0.51622251625168747</c:v>
                </c:pt>
                <c:pt idx="425">
                  <c:v>0.5157034919213952</c:v>
                </c:pt>
                <c:pt idx="426">
                  <c:v>0.5143245687548843</c:v>
                </c:pt>
                <c:pt idx="427">
                  <c:v>0.5139810005405876</c:v>
                </c:pt>
                <c:pt idx="428">
                  <c:v>0.51209961922963576</c:v>
                </c:pt>
                <c:pt idx="429">
                  <c:v>0.51057059482820399</c:v>
                </c:pt>
                <c:pt idx="430">
                  <c:v>0.50989397254173385</c:v>
                </c:pt>
                <c:pt idx="431">
                  <c:v>0.50972509851145076</c:v>
                </c:pt>
                <c:pt idx="432">
                  <c:v>0.50905072460756129</c:v>
                </c:pt>
                <c:pt idx="433">
                  <c:v>0.50888241103053145</c:v>
                </c:pt>
                <c:pt idx="434">
                  <c:v>0.50770733625579845</c:v>
                </c:pt>
                <c:pt idx="435">
                  <c:v>0.50753991262638443</c:v>
                </c:pt>
                <c:pt idx="436">
                  <c:v>0.50620449661604494</c:v>
                </c:pt>
                <c:pt idx="437">
                  <c:v>0.50603806432359666</c:v>
                </c:pt>
                <c:pt idx="438">
                  <c:v>0.50587174154181769</c:v>
                </c:pt>
                <c:pt idx="439">
                  <c:v>0.50520754298786286</c:v>
                </c:pt>
                <c:pt idx="440">
                  <c:v>0.50404938251798903</c:v>
                </c:pt>
                <c:pt idx="441">
                  <c:v>0.50355465056068249</c:v>
                </c:pt>
                <c:pt idx="442">
                  <c:v>0.5030608872688378</c:v>
                </c:pt>
                <c:pt idx="443">
                  <c:v>0.50289651418648418</c:v>
                </c:pt>
                <c:pt idx="444">
                  <c:v>0.50273224823936979</c:v>
                </c:pt>
                <c:pt idx="445">
                  <c:v>0.50158537608551501</c:v>
                </c:pt>
                <c:pt idx="446">
                  <c:v>0.50142196280725837</c:v>
                </c:pt>
                <c:pt idx="447">
                  <c:v>0.50060648451632594</c:v>
                </c:pt>
                <c:pt idx="448">
                  <c:v>0.4993071954058399</c:v>
                </c:pt>
                <c:pt idx="449">
                  <c:v>0.49801459262865067</c:v>
                </c:pt>
                <c:pt idx="450">
                  <c:v>0.49769247956699436</c:v>
                </c:pt>
                <c:pt idx="451">
                  <c:v>0.49721008438118586</c:v>
                </c:pt>
                <c:pt idx="452">
                  <c:v>0.49656833145839596</c:v>
                </c:pt>
                <c:pt idx="453">
                  <c:v>0.49608809319521385</c:v>
                </c:pt>
                <c:pt idx="454">
                  <c:v>0.49576844520442553</c:v>
                </c:pt>
                <c:pt idx="455">
                  <c:v>0.49544920482050714</c:v>
                </c:pt>
                <c:pt idx="456">
                  <c:v>0.49481194320617128</c:v>
                </c:pt>
                <c:pt idx="457">
                  <c:v>0.49322585841645505</c:v>
                </c:pt>
                <c:pt idx="458">
                  <c:v>0.49243657631288196</c:v>
                </c:pt>
                <c:pt idx="459">
                  <c:v>0.49196420228737825</c:v>
                </c:pt>
                <c:pt idx="460">
                  <c:v>0.49164978243519586</c:v>
                </c:pt>
                <c:pt idx="461">
                  <c:v>0.48930419228616495</c:v>
                </c:pt>
                <c:pt idx="462">
                  <c:v>0.48914860237415825</c:v>
                </c:pt>
                <c:pt idx="463">
                  <c:v>0.48806218948019731</c:v>
                </c:pt>
                <c:pt idx="464">
                  <c:v>0.487443507091323</c:v>
                </c:pt>
                <c:pt idx="465">
                  <c:v>0.48713474267258738</c:v>
                </c:pt>
                <c:pt idx="466">
                  <c:v>0.48698050428706563</c:v>
                </c:pt>
                <c:pt idx="467">
                  <c:v>0.48621074638795103</c:v>
                </c:pt>
                <c:pt idx="468">
                  <c:v>0.48513708156374358</c:v>
                </c:pt>
                <c:pt idx="469">
                  <c:v>0.4849840796642384</c:v>
                </c:pt>
                <c:pt idx="470">
                  <c:v>0.48437301490416618</c:v>
                </c:pt>
                <c:pt idx="471">
                  <c:v>0.48406804678697379</c:v>
                </c:pt>
                <c:pt idx="472">
                  <c:v>0.4839157034352084</c:v>
                </c:pt>
                <c:pt idx="473">
                  <c:v>0.48376345375169916</c:v>
                </c:pt>
                <c:pt idx="474">
                  <c:v>0.48315538966199023</c:v>
                </c:pt>
                <c:pt idx="475">
                  <c:v>0.4830036067924498</c:v>
                </c:pt>
                <c:pt idx="476">
                  <c:v>0.48224608630140087</c:v>
                </c:pt>
                <c:pt idx="477">
                  <c:v>0.48209486026899673</c:v>
                </c:pt>
                <c:pt idx="478">
                  <c:v>0.48194372669073582</c:v>
                </c:pt>
                <c:pt idx="479">
                  <c:v>0.48179268546644183</c:v>
                </c:pt>
                <c:pt idx="480">
                  <c:v>0.4816417364960901</c:v>
                </c:pt>
                <c:pt idx="481">
                  <c:v>0.48134011491788065</c:v>
                </c:pt>
                <c:pt idx="482">
                  <c:v>0.48088837196327361</c:v>
                </c:pt>
                <c:pt idx="483">
                  <c:v>0.48073797442457822</c:v>
                </c:pt>
                <c:pt idx="484">
                  <c:v>0.48058766844390333</c:v>
                </c:pt>
                <c:pt idx="485">
                  <c:v>0.48013729886260637</c:v>
                </c:pt>
                <c:pt idx="486">
                  <c:v>0.47983750845757189</c:v>
                </c:pt>
                <c:pt idx="487">
                  <c:v>0.47968774975515438</c:v>
                </c:pt>
                <c:pt idx="488">
                  <c:v>0.4783439988575362</c:v>
                </c:pt>
                <c:pt idx="489">
                  <c:v>0.47745221907040869</c:v>
                </c:pt>
                <c:pt idx="490">
                  <c:v>0.47553104531579771</c:v>
                </c:pt>
                <c:pt idx="491">
                  <c:v>0.47450275346112036</c:v>
                </c:pt>
                <c:pt idx="492">
                  <c:v>0.47435620550432955</c:v>
                </c:pt>
                <c:pt idx="493">
                  <c:v>0.47245900562613208</c:v>
                </c:pt>
                <c:pt idx="494">
                  <c:v>0.47187819356498317</c:v>
                </c:pt>
                <c:pt idx="495">
                  <c:v>0.47129875567092183</c:v>
                </c:pt>
                <c:pt idx="496">
                  <c:v>0.47028802862251151</c:v>
                </c:pt>
                <c:pt idx="497">
                  <c:v>0.46956862950322775</c:v>
                </c:pt>
                <c:pt idx="498">
                  <c:v>0.46699619660933511</c:v>
                </c:pt>
                <c:pt idx="499">
                  <c:v>0.46657008242912579</c:v>
                </c:pt>
                <c:pt idx="500">
                  <c:v>0.46572008282918853</c:v>
                </c:pt>
                <c:pt idx="501">
                  <c:v>0.46430997751961089</c:v>
                </c:pt>
                <c:pt idx="502">
                  <c:v>0.464169415407643</c:v>
                </c:pt>
                <c:pt idx="503">
                  <c:v>0.46402893449127258</c:v>
                </c:pt>
                <c:pt idx="504">
                  <c:v>0.46374821591190729</c:v>
                </c:pt>
                <c:pt idx="505">
                  <c:v>0.46346782111589724</c:v>
                </c:pt>
                <c:pt idx="506">
                  <c:v>0.46304783456440102</c:v>
                </c:pt>
                <c:pt idx="507">
                  <c:v>0.46234946652075293</c:v>
                </c:pt>
                <c:pt idx="508">
                  <c:v>0.46221003360320689</c:v>
                </c:pt>
                <c:pt idx="509">
                  <c:v>0.4598518536955194</c:v>
                </c:pt>
                <c:pt idx="510">
                  <c:v>0.4595759230498484</c:v>
                </c:pt>
                <c:pt idx="511">
                  <c:v>0.45943807552723626</c:v>
                </c:pt>
                <c:pt idx="512">
                  <c:v>0.45930030643208852</c:v>
                </c:pt>
                <c:pt idx="513">
                  <c:v>0.458887468918312</c:v>
                </c:pt>
                <c:pt idx="514">
                  <c:v>0.45875001274047178</c:v>
                </c:pt>
                <c:pt idx="515">
                  <c:v>0.4584753344012702</c:v>
                </c:pt>
                <c:pt idx="516">
                  <c:v>0.45833811208242281</c:v>
                </c:pt>
                <c:pt idx="517">
                  <c:v>0.4575164091369015</c:v>
                </c:pt>
                <c:pt idx="518">
                  <c:v>0.45710660262777614</c:v>
                </c:pt>
                <c:pt idx="519">
                  <c:v>0.45669748996176307</c:v>
                </c:pt>
                <c:pt idx="520">
                  <c:v>0.45615308211061834</c:v>
                </c:pt>
                <c:pt idx="521">
                  <c:v>0.45547429418499819</c:v>
                </c:pt>
                <c:pt idx="522">
                  <c:v>0.45425726835546065</c:v>
                </c:pt>
                <c:pt idx="523">
                  <c:v>0.45412242172018602</c:v>
                </c:pt>
                <c:pt idx="524">
                  <c:v>0.45385295461957276</c:v>
                </c:pt>
                <c:pt idx="525">
                  <c:v>0.45371833400423012</c:v>
                </c:pt>
                <c:pt idx="526">
                  <c:v>0.45318060269754024</c:v>
                </c:pt>
                <c:pt idx="527">
                  <c:v>0.45304635728665521</c:v>
                </c:pt>
                <c:pt idx="528">
                  <c:v>0.45277809084327436</c:v>
                </c:pt>
                <c:pt idx="529">
                  <c:v>0.45197508121059404</c:v>
                </c:pt>
                <c:pt idx="530">
                  <c:v>0.44826278125408214</c:v>
                </c:pt>
                <c:pt idx="531">
                  <c:v>0.44396014047737498</c:v>
                </c:pt>
                <c:pt idx="532">
                  <c:v>0.44370184674696633</c:v>
                </c:pt>
                <c:pt idx="533">
                  <c:v>0.44318609635022266</c:v>
                </c:pt>
                <c:pt idx="534">
                  <c:v>0.44241455538186547</c:v>
                </c:pt>
                <c:pt idx="535">
                  <c:v>0.44164550319177776</c:v>
                </c:pt>
                <c:pt idx="536">
                  <c:v>0.44113417733852667</c:v>
                </c:pt>
                <c:pt idx="537">
                  <c:v>0.44049656019997474</c:v>
                </c:pt>
                <c:pt idx="538">
                  <c:v>0.44011480821589566</c:v>
                </c:pt>
                <c:pt idx="539">
                  <c:v>0.43947991312373635</c:v>
                </c:pt>
                <c:pt idx="540">
                  <c:v>0.43834135736942503</c:v>
                </c:pt>
                <c:pt idx="541">
                  <c:v>0.4380890842385734</c:v>
                </c:pt>
                <c:pt idx="542">
                  <c:v>0.43771117636014933</c:v>
                </c:pt>
                <c:pt idx="543">
                  <c:v>0.43745957158301207</c:v>
                </c:pt>
                <c:pt idx="544">
                  <c:v>0.43558099459245891</c:v>
                </c:pt>
                <c:pt idx="545">
                  <c:v>0.43520705928299197</c:v>
                </c:pt>
                <c:pt idx="546">
                  <c:v>0.43396485630122439</c:v>
                </c:pt>
                <c:pt idx="547">
                  <c:v>0.43248277272069191</c:v>
                </c:pt>
                <c:pt idx="548">
                  <c:v>0.43125476597050605</c:v>
                </c:pt>
                <c:pt idx="549">
                  <c:v>0.43052101736242943</c:v>
                </c:pt>
                <c:pt idx="550">
                  <c:v>0.43039894755634367</c:v>
                </c:pt>
                <c:pt idx="551">
                  <c:v>0.43003311690680524</c:v>
                </c:pt>
                <c:pt idx="552">
                  <c:v>0.42978954486703436</c:v>
                </c:pt>
                <c:pt idx="553">
                  <c:v>0.42592628603183669</c:v>
                </c:pt>
                <c:pt idx="554">
                  <c:v>0.4241370213755089</c:v>
                </c:pt>
                <c:pt idx="555">
                  <c:v>0.42295172000981685</c:v>
                </c:pt>
                <c:pt idx="556">
                  <c:v>0.42283351912474298</c:v>
                </c:pt>
                <c:pt idx="557">
                  <c:v>0.42013125426518738</c:v>
                </c:pt>
                <c:pt idx="558">
                  <c:v>0.41630793014724399</c:v>
                </c:pt>
                <c:pt idx="559">
                  <c:v>0.41436257495870288</c:v>
                </c:pt>
                <c:pt idx="560">
                  <c:v>0.41413477674211985</c:v>
                </c:pt>
                <c:pt idx="561">
                  <c:v>0.4132258128230184</c:v>
                </c:pt>
                <c:pt idx="562">
                  <c:v>0.4123203966766974</c:v>
                </c:pt>
                <c:pt idx="563">
                  <c:v>0.41085659907850025</c:v>
                </c:pt>
                <c:pt idx="564">
                  <c:v>0.40674041719101139</c:v>
                </c:pt>
                <c:pt idx="565">
                  <c:v>0.40553071489799886</c:v>
                </c:pt>
                <c:pt idx="566">
                  <c:v>0.40476419998531576</c:v>
                </c:pt>
                <c:pt idx="567">
                  <c:v>0.40356481480362383</c:v>
                </c:pt>
                <c:pt idx="568">
                  <c:v>0.40313022347068783</c:v>
                </c:pt>
                <c:pt idx="569">
                  <c:v>0.395866097691421</c:v>
                </c:pt>
                <c:pt idx="570">
                  <c:v>0.39460801735709006</c:v>
                </c:pt>
                <c:pt idx="571">
                  <c:v>0.39408588497746555</c:v>
                </c:pt>
                <c:pt idx="572">
                  <c:v>0.39335693170308916</c:v>
                </c:pt>
                <c:pt idx="573">
                  <c:v>0.38831971089569739</c:v>
                </c:pt>
                <c:pt idx="574">
                  <c:v>0.38359320139167807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AF-4382-9251-125CE67AFDBD}"/>
            </c:ext>
          </c:extLst>
        </c:ser>
        <c:ser>
          <c:idx val="4"/>
          <c:order val="3"/>
          <c:tx>
            <c:v>RCS Weibull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'RCS-Plot'!$A$11:$A$585</c:f>
              <c:numCache>
                <c:formatCode>0.000</c:formatCode>
                <c:ptCount val="575"/>
                <c:pt idx="0">
                  <c:v>0</c:v>
                </c:pt>
                <c:pt idx="1">
                  <c:v>0.26283367556468173</c:v>
                </c:pt>
                <c:pt idx="2">
                  <c:v>0.49281314168377821</c:v>
                </c:pt>
                <c:pt idx="3">
                  <c:v>0.52566735112936347</c:v>
                </c:pt>
                <c:pt idx="4">
                  <c:v>0.55852156057494862</c:v>
                </c:pt>
                <c:pt idx="5">
                  <c:v>0.59137577002053388</c:v>
                </c:pt>
                <c:pt idx="6">
                  <c:v>0.95277207392197127</c:v>
                </c:pt>
                <c:pt idx="7">
                  <c:v>1.3798767967145791</c:v>
                </c:pt>
                <c:pt idx="8">
                  <c:v>1.5112936344969199</c:v>
                </c:pt>
                <c:pt idx="9">
                  <c:v>1.8726899383983573</c:v>
                </c:pt>
                <c:pt idx="10">
                  <c:v>2.0698151950718686</c:v>
                </c:pt>
                <c:pt idx="11">
                  <c:v>2.1355236139630391</c:v>
                </c:pt>
                <c:pt idx="12">
                  <c:v>2.2012320328542097</c:v>
                </c:pt>
                <c:pt idx="13">
                  <c:v>2.3326488706365502</c:v>
                </c:pt>
                <c:pt idx="14">
                  <c:v>2.3655030800821355</c:v>
                </c:pt>
                <c:pt idx="15">
                  <c:v>3.2197125256673513</c:v>
                </c:pt>
                <c:pt idx="16">
                  <c:v>3.7125256673511293</c:v>
                </c:pt>
                <c:pt idx="17">
                  <c:v>3.7453798767967146</c:v>
                </c:pt>
                <c:pt idx="18">
                  <c:v>3.9425051334702257</c:v>
                </c:pt>
                <c:pt idx="19">
                  <c:v>4.862422997946612</c:v>
                </c:pt>
                <c:pt idx="20">
                  <c:v>5.2566735112936342</c:v>
                </c:pt>
                <c:pt idx="21">
                  <c:v>5.5195071868583163</c:v>
                </c:pt>
                <c:pt idx="22">
                  <c:v>5.5523613963039011</c:v>
                </c:pt>
                <c:pt idx="23">
                  <c:v>5.6180698151950716</c:v>
                </c:pt>
                <c:pt idx="24">
                  <c:v>5.6837782340862422</c:v>
                </c:pt>
                <c:pt idx="25">
                  <c:v>5.7494866529774127</c:v>
                </c:pt>
                <c:pt idx="26">
                  <c:v>5.8151950718685832</c:v>
                </c:pt>
                <c:pt idx="27">
                  <c:v>5.9137577002053385</c:v>
                </c:pt>
                <c:pt idx="28">
                  <c:v>5.9466119096509242</c:v>
                </c:pt>
                <c:pt idx="29">
                  <c:v>6.0451745379876796</c:v>
                </c:pt>
                <c:pt idx="30">
                  <c:v>6.1108829568788501</c:v>
                </c:pt>
                <c:pt idx="31">
                  <c:v>6.2751540041067759</c:v>
                </c:pt>
                <c:pt idx="32">
                  <c:v>6.406570841889117</c:v>
                </c:pt>
                <c:pt idx="33">
                  <c:v>6.7351129363449695</c:v>
                </c:pt>
                <c:pt idx="34">
                  <c:v>6.9979466119096507</c:v>
                </c:pt>
                <c:pt idx="35">
                  <c:v>7.3264887063655033</c:v>
                </c:pt>
                <c:pt idx="36">
                  <c:v>7.4579055441478443</c:v>
                </c:pt>
                <c:pt idx="37">
                  <c:v>7.523613963039014</c:v>
                </c:pt>
                <c:pt idx="38">
                  <c:v>7.655030800821355</c:v>
                </c:pt>
                <c:pt idx="39">
                  <c:v>7.8193018480492817</c:v>
                </c:pt>
                <c:pt idx="40">
                  <c:v>7.9178644763860371</c:v>
                </c:pt>
                <c:pt idx="41">
                  <c:v>7.9507186858316219</c:v>
                </c:pt>
                <c:pt idx="42">
                  <c:v>8.1149897330595486</c:v>
                </c:pt>
                <c:pt idx="43">
                  <c:v>8.1806981519507183</c:v>
                </c:pt>
                <c:pt idx="44">
                  <c:v>8.2464065708418897</c:v>
                </c:pt>
                <c:pt idx="45">
                  <c:v>8.9363449691991779</c:v>
                </c:pt>
                <c:pt idx="46">
                  <c:v>8.9691991786447645</c:v>
                </c:pt>
                <c:pt idx="47">
                  <c:v>9.0349075975359341</c:v>
                </c:pt>
                <c:pt idx="48">
                  <c:v>9.0677618069815189</c:v>
                </c:pt>
                <c:pt idx="49">
                  <c:v>9.2320328542094447</c:v>
                </c:pt>
                <c:pt idx="50">
                  <c:v>9.3634496919917858</c:v>
                </c:pt>
                <c:pt idx="51">
                  <c:v>9.3963039014373724</c:v>
                </c:pt>
                <c:pt idx="52">
                  <c:v>9.462012320328542</c:v>
                </c:pt>
                <c:pt idx="53">
                  <c:v>9.6262833675564679</c:v>
                </c:pt>
                <c:pt idx="54">
                  <c:v>9.7248459958932241</c:v>
                </c:pt>
                <c:pt idx="55">
                  <c:v>10.020533880903491</c:v>
                </c:pt>
                <c:pt idx="56">
                  <c:v>10.086242299794661</c:v>
                </c:pt>
                <c:pt idx="57">
                  <c:v>10.119096509240247</c:v>
                </c:pt>
                <c:pt idx="58">
                  <c:v>10.184804928131417</c:v>
                </c:pt>
                <c:pt idx="59">
                  <c:v>10.381930184804927</c:v>
                </c:pt>
                <c:pt idx="60">
                  <c:v>10.480492813141684</c:v>
                </c:pt>
                <c:pt idx="61">
                  <c:v>10.57905544147844</c:v>
                </c:pt>
                <c:pt idx="62">
                  <c:v>10.809034907597535</c:v>
                </c:pt>
                <c:pt idx="63">
                  <c:v>11.039014373716633</c:v>
                </c:pt>
                <c:pt idx="64">
                  <c:v>11.104722792607802</c:v>
                </c:pt>
                <c:pt idx="65">
                  <c:v>11.268993839835728</c:v>
                </c:pt>
                <c:pt idx="66">
                  <c:v>11.301848049281315</c:v>
                </c:pt>
                <c:pt idx="67">
                  <c:v>11.433264887063656</c:v>
                </c:pt>
                <c:pt idx="68">
                  <c:v>11.498973305954825</c:v>
                </c:pt>
                <c:pt idx="69">
                  <c:v>11.597535934291582</c:v>
                </c:pt>
                <c:pt idx="70">
                  <c:v>11.728952772073923</c:v>
                </c:pt>
                <c:pt idx="71">
                  <c:v>11.761806981519507</c:v>
                </c:pt>
                <c:pt idx="72">
                  <c:v>11.794661190965092</c:v>
                </c:pt>
                <c:pt idx="73">
                  <c:v>11.827515400410677</c:v>
                </c:pt>
                <c:pt idx="74">
                  <c:v>12.090349075975359</c:v>
                </c:pt>
                <c:pt idx="75">
                  <c:v>12.123203285420944</c:v>
                </c:pt>
                <c:pt idx="76">
                  <c:v>12.156057494866531</c:v>
                </c:pt>
                <c:pt idx="77">
                  <c:v>12.188911704312115</c:v>
                </c:pt>
                <c:pt idx="78">
                  <c:v>12.2217659137577</c:v>
                </c:pt>
                <c:pt idx="79">
                  <c:v>12.28747433264887</c:v>
                </c:pt>
                <c:pt idx="80">
                  <c:v>12.320328542094456</c:v>
                </c:pt>
                <c:pt idx="81">
                  <c:v>12.386036960985626</c:v>
                </c:pt>
                <c:pt idx="82">
                  <c:v>12.451745379876797</c:v>
                </c:pt>
                <c:pt idx="83">
                  <c:v>12.648870636550308</c:v>
                </c:pt>
                <c:pt idx="84">
                  <c:v>12.878850102669405</c:v>
                </c:pt>
                <c:pt idx="85">
                  <c:v>12.944558521560575</c:v>
                </c:pt>
                <c:pt idx="86">
                  <c:v>13.240246406570842</c:v>
                </c:pt>
                <c:pt idx="87">
                  <c:v>13.470225872689939</c:v>
                </c:pt>
                <c:pt idx="88">
                  <c:v>13.634496919917865</c:v>
                </c:pt>
                <c:pt idx="89">
                  <c:v>13.700205338809035</c:v>
                </c:pt>
                <c:pt idx="90">
                  <c:v>13.798767967145791</c:v>
                </c:pt>
                <c:pt idx="91">
                  <c:v>13.930184804928132</c:v>
                </c:pt>
                <c:pt idx="92">
                  <c:v>13.995893223819301</c:v>
                </c:pt>
                <c:pt idx="93">
                  <c:v>14.094455852156058</c:v>
                </c:pt>
                <c:pt idx="94">
                  <c:v>14.193018480492814</c:v>
                </c:pt>
                <c:pt idx="95">
                  <c:v>14.324435318275153</c:v>
                </c:pt>
                <c:pt idx="96">
                  <c:v>14.390143737166325</c:v>
                </c:pt>
                <c:pt idx="97">
                  <c:v>14.652977412731007</c:v>
                </c:pt>
                <c:pt idx="98">
                  <c:v>14.718685831622176</c:v>
                </c:pt>
                <c:pt idx="99">
                  <c:v>14.751540041067761</c:v>
                </c:pt>
                <c:pt idx="100">
                  <c:v>14.948665297741274</c:v>
                </c:pt>
                <c:pt idx="101">
                  <c:v>14.981519507186858</c:v>
                </c:pt>
                <c:pt idx="102">
                  <c:v>15.112936344969199</c:v>
                </c:pt>
                <c:pt idx="103">
                  <c:v>15.145790554414784</c:v>
                </c:pt>
                <c:pt idx="104">
                  <c:v>15.211498973305956</c:v>
                </c:pt>
                <c:pt idx="105">
                  <c:v>15.277207392197125</c:v>
                </c:pt>
                <c:pt idx="106">
                  <c:v>15.474332648870636</c:v>
                </c:pt>
                <c:pt idx="107">
                  <c:v>15.540041067761807</c:v>
                </c:pt>
                <c:pt idx="108">
                  <c:v>15.605749486652977</c:v>
                </c:pt>
                <c:pt idx="109">
                  <c:v>15.638603696098563</c:v>
                </c:pt>
                <c:pt idx="110">
                  <c:v>15.802874743326489</c:v>
                </c:pt>
                <c:pt idx="111">
                  <c:v>15.967145790554415</c:v>
                </c:pt>
                <c:pt idx="112">
                  <c:v>16.032854209445585</c:v>
                </c:pt>
                <c:pt idx="113">
                  <c:v>16.098562628336754</c:v>
                </c:pt>
                <c:pt idx="114">
                  <c:v>16.131416837782339</c:v>
                </c:pt>
                <c:pt idx="115">
                  <c:v>16.262833675564682</c:v>
                </c:pt>
                <c:pt idx="116">
                  <c:v>16.361396303901437</c:v>
                </c:pt>
                <c:pt idx="117">
                  <c:v>16.427104722792606</c:v>
                </c:pt>
                <c:pt idx="118">
                  <c:v>16.492813141683779</c:v>
                </c:pt>
                <c:pt idx="119">
                  <c:v>16.525667351129364</c:v>
                </c:pt>
                <c:pt idx="120">
                  <c:v>16.558521560574949</c:v>
                </c:pt>
                <c:pt idx="121">
                  <c:v>16.919917864476385</c:v>
                </c:pt>
                <c:pt idx="122">
                  <c:v>17.018480492813143</c:v>
                </c:pt>
                <c:pt idx="123">
                  <c:v>17.248459958932237</c:v>
                </c:pt>
                <c:pt idx="124">
                  <c:v>17.281314168377822</c:v>
                </c:pt>
                <c:pt idx="125">
                  <c:v>17.37987679671458</c:v>
                </c:pt>
                <c:pt idx="126">
                  <c:v>17.412731006160165</c:v>
                </c:pt>
                <c:pt idx="127">
                  <c:v>17.511293634496919</c:v>
                </c:pt>
                <c:pt idx="128">
                  <c:v>17.577002053388089</c:v>
                </c:pt>
                <c:pt idx="129">
                  <c:v>17.609856262833677</c:v>
                </c:pt>
                <c:pt idx="130">
                  <c:v>17.642710472279262</c:v>
                </c:pt>
                <c:pt idx="131">
                  <c:v>17.741273100616016</c:v>
                </c:pt>
                <c:pt idx="132">
                  <c:v>17.774127310061601</c:v>
                </c:pt>
                <c:pt idx="133">
                  <c:v>17.806981519507186</c:v>
                </c:pt>
                <c:pt idx="134">
                  <c:v>17.872689938398356</c:v>
                </c:pt>
                <c:pt idx="135">
                  <c:v>17.905544147843944</c:v>
                </c:pt>
                <c:pt idx="136">
                  <c:v>17.938398357289529</c:v>
                </c:pt>
                <c:pt idx="137">
                  <c:v>17.971252566735114</c:v>
                </c:pt>
                <c:pt idx="138">
                  <c:v>18.004106776180699</c:v>
                </c:pt>
                <c:pt idx="139">
                  <c:v>18.069815195071868</c:v>
                </c:pt>
                <c:pt idx="140">
                  <c:v>18.135523613963038</c:v>
                </c:pt>
                <c:pt idx="141">
                  <c:v>18.168377823408623</c:v>
                </c:pt>
                <c:pt idx="142">
                  <c:v>18.201232032854211</c:v>
                </c:pt>
                <c:pt idx="143">
                  <c:v>18.299794661190965</c:v>
                </c:pt>
                <c:pt idx="144">
                  <c:v>18.365503080082135</c:v>
                </c:pt>
                <c:pt idx="145">
                  <c:v>18.496919917864478</c:v>
                </c:pt>
                <c:pt idx="146">
                  <c:v>18.529774127310063</c:v>
                </c:pt>
                <c:pt idx="147">
                  <c:v>18.595482546201232</c:v>
                </c:pt>
                <c:pt idx="148">
                  <c:v>18.628336755646817</c:v>
                </c:pt>
                <c:pt idx="149">
                  <c:v>18.726899383983572</c:v>
                </c:pt>
                <c:pt idx="150">
                  <c:v>18.759753593429156</c:v>
                </c:pt>
                <c:pt idx="151">
                  <c:v>18.82546201232033</c:v>
                </c:pt>
                <c:pt idx="152">
                  <c:v>18.891170431211499</c:v>
                </c:pt>
                <c:pt idx="153">
                  <c:v>18.956878850102669</c:v>
                </c:pt>
                <c:pt idx="154">
                  <c:v>18.989733059548254</c:v>
                </c:pt>
                <c:pt idx="155">
                  <c:v>19.022587268993838</c:v>
                </c:pt>
                <c:pt idx="156">
                  <c:v>19.252566735112936</c:v>
                </c:pt>
                <c:pt idx="157">
                  <c:v>19.515400410677618</c:v>
                </c:pt>
                <c:pt idx="158">
                  <c:v>19.548254620123203</c:v>
                </c:pt>
                <c:pt idx="159">
                  <c:v>19.581108829568787</c:v>
                </c:pt>
                <c:pt idx="160">
                  <c:v>19.646817248459961</c:v>
                </c:pt>
                <c:pt idx="161">
                  <c:v>19.71252566735113</c:v>
                </c:pt>
                <c:pt idx="162">
                  <c:v>20.106776180698152</c:v>
                </c:pt>
                <c:pt idx="163">
                  <c:v>20.205338809034906</c:v>
                </c:pt>
                <c:pt idx="164">
                  <c:v>20.435318275154003</c:v>
                </c:pt>
                <c:pt idx="165">
                  <c:v>20.468172484599588</c:v>
                </c:pt>
                <c:pt idx="166">
                  <c:v>20.501026694045173</c:v>
                </c:pt>
                <c:pt idx="167">
                  <c:v>20.632443531827516</c:v>
                </c:pt>
                <c:pt idx="168">
                  <c:v>20.6652977412731</c:v>
                </c:pt>
                <c:pt idx="169">
                  <c:v>20.73100616016427</c:v>
                </c:pt>
                <c:pt idx="170">
                  <c:v>20.763860369609855</c:v>
                </c:pt>
                <c:pt idx="171">
                  <c:v>20.928131416837783</c:v>
                </c:pt>
                <c:pt idx="172">
                  <c:v>21.223819301848049</c:v>
                </c:pt>
                <c:pt idx="173">
                  <c:v>21.289527720739219</c:v>
                </c:pt>
                <c:pt idx="174">
                  <c:v>21.355236139630389</c:v>
                </c:pt>
                <c:pt idx="175">
                  <c:v>21.388090349075977</c:v>
                </c:pt>
                <c:pt idx="176">
                  <c:v>21.420944558521562</c:v>
                </c:pt>
                <c:pt idx="177">
                  <c:v>21.585215605749486</c:v>
                </c:pt>
                <c:pt idx="178">
                  <c:v>21.749486652977414</c:v>
                </c:pt>
                <c:pt idx="179">
                  <c:v>21.782340862422998</c:v>
                </c:pt>
                <c:pt idx="180">
                  <c:v>22.012320328542096</c:v>
                </c:pt>
                <c:pt idx="181">
                  <c:v>22.17659137577002</c:v>
                </c:pt>
                <c:pt idx="182">
                  <c:v>22.308008213552363</c:v>
                </c:pt>
                <c:pt idx="183">
                  <c:v>22.570841889117045</c:v>
                </c:pt>
                <c:pt idx="184">
                  <c:v>22.735112936344969</c:v>
                </c:pt>
                <c:pt idx="185">
                  <c:v>22.833675564681723</c:v>
                </c:pt>
                <c:pt idx="186">
                  <c:v>22.932238193018481</c:v>
                </c:pt>
                <c:pt idx="187">
                  <c:v>23.227926078028748</c:v>
                </c:pt>
                <c:pt idx="188">
                  <c:v>23.392197125256672</c:v>
                </c:pt>
                <c:pt idx="189">
                  <c:v>23.457905544147845</c:v>
                </c:pt>
                <c:pt idx="190">
                  <c:v>23.5564681724846</c:v>
                </c:pt>
                <c:pt idx="191">
                  <c:v>23.687885010266939</c:v>
                </c:pt>
                <c:pt idx="192">
                  <c:v>23.720739219712527</c:v>
                </c:pt>
                <c:pt idx="193">
                  <c:v>23.753593429158112</c:v>
                </c:pt>
                <c:pt idx="194">
                  <c:v>23.885010266940451</c:v>
                </c:pt>
                <c:pt idx="195">
                  <c:v>23.950718685831621</c:v>
                </c:pt>
                <c:pt idx="196">
                  <c:v>23.983572895277206</c:v>
                </c:pt>
                <c:pt idx="197">
                  <c:v>24.016427104722794</c:v>
                </c:pt>
                <c:pt idx="198">
                  <c:v>24.049281314168379</c:v>
                </c:pt>
                <c:pt idx="199">
                  <c:v>24.082135523613964</c:v>
                </c:pt>
                <c:pt idx="200">
                  <c:v>24.114989733059549</c:v>
                </c:pt>
                <c:pt idx="201">
                  <c:v>24.213552361396303</c:v>
                </c:pt>
                <c:pt idx="202">
                  <c:v>24.312114989733061</c:v>
                </c:pt>
                <c:pt idx="203">
                  <c:v>24.344969199178646</c:v>
                </c:pt>
                <c:pt idx="204">
                  <c:v>24.377823408624231</c:v>
                </c:pt>
                <c:pt idx="205">
                  <c:v>24.476386036960985</c:v>
                </c:pt>
                <c:pt idx="206">
                  <c:v>24.542094455852155</c:v>
                </c:pt>
                <c:pt idx="207">
                  <c:v>24.57494866529774</c:v>
                </c:pt>
                <c:pt idx="208">
                  <c:v>24.673511293634498</c:v>
                </c:pt>
                <c:pt idx="209">
                  <c:v>24.739219712525667</c:v>
                </c:pt>
                <c:pt idx="210">
                  <c:v>24.772073921971252</c:v>
                </c:pt>
                <c:pt idx="211">
                  <c:v>24.804928131416837</c:v>
                </c:pt>
                <c:pt idx="212">
                  <c:v>24.903490759753595</c:v>
                </c:pt>
                <c:pt idx="213">
                  <c:v>25.002053388090349</c:v>
                </c:pt>
                <c:pt idx="214">
                  <c:v>25.034907597535934</c:v>
                </c:pt>
                <c:pt idx="215">
                  <c:v>25.166324435318277</c:v>
                </c:pt>
                <c:pt idx="216">
                  <c:v>25.232032854209447</c:v>
                </c:pt>
                <c:pt idx="217">
                  <c:v>25.264887063655031</c:v>
                </c:pt>
                <c:pt idx="218">
                  <c:v>25.297741273100616</c:v>
                </c:pt>
                <c:pt idx="219">
                  <c:v>25.363449691991786</c:v>
                </c:pt>
                <c:pt idx="220">
                  <c:v>25.494866529774129</c:v>
                </c:pt>
                <c:pt idx="221">
                  <c:v>25.593429158110883</c:v>
                </c:pt>
                <c:pt idx="222">
                  <c:v>25.757700205338811</c:v>
                </c:pt>
                <c:pt idx="223">
                  <c:v>25.95482546201232</c:v>
                </c:pt>
                <c:pt idx="224">
                  <c:v>26.020533880903489</c:v>
                </c:pt>
                <c:pt idx="225">
                  <c:v>26.119096509240247</c:v>
                </c:pt>
                <c:pt idx="226">
                  <c:v>26.184804928131417</c:v>
                </c:pt>
                <c:pt idx="227">
                  <c:v>26.217659137577002</c:v>
                </c:pt>
                <c:pt idx="228">
                  <c:v>26.250513347022586</c:v>
                </c:pt>
                <c:pt idx="229">
                  <c:v>26.316221765913756</c:v>
                </c:pt>
                <c:pt idx="230">
                  <c:v>26.447638603696099</c:v>
                </c:pt>
                <c:pt idx="231">
                  <c:v>26.480492813141684</c:v>
                </c:pt>
                <c:pt idx="232">
                  <c:v>26.90759753593429</c:v>
                </c:pt>
                <c:pt idx="233">
                  <c:v>27.104722792607802</c:v>
                </c:pt>
                <c:pt idx="234">
                  <c:v>27.170431211498972</c:v>
                </c:pt>
                <c:pt idx="235">
                  <c:v>27.20328542094456</c:v>
                </c:pt>
                <c:pt idx="236">
                  <c:v>27.466119096509239</c:v>
                </c:pt>
                <c:pt idx="237">
                  <c:v>27.531827515400412</c:v>
                </c:pt>
                <c:pt idx="238">
                  <c:v>27.630390143737166</c:v>
                </c:pt>
                <c:pt idx="239">
                  <c:v>27.663244353182751</c:v>
                </c:pt>
                <c:pt idx="240">
                  <c:v>28.024640657084188</c:v>
                </c:pt>
                <c:pt idx="241">
                  <c:v>28.057494866529773</c:v>
                </c:pt>
                <c:pt idx="242">
                  <c:v>28.090349075975361</c:v>
                </c:pt>
                <c:pt idx="243">
                  <c:v>28.156057494866531</c:v>
                </c:pt>
                <c:pt idx="244">
                  <c:v>28.188911704312115</c:v>
                </c:pt>
                <c:pt idx="245">
                  <c:v>28.2217659137577</c:v>
                </c:pt>
                <c:pt idx="246">
                  <c:v>28.28747433264887</c:v>
                </c:pt>
                <c:pt idx="247">
                  <c:v>28.418891170431213</c:v>
                </c:pt>
                <c:pt idx="248">
                  <c:v>28.451745379876797</c:v>
                </c:pt>
                <c:pt idx="249">
                  <c:v>28.484599589322382</c:v>
                </c:pt>
                <c:pt idx="250">
                  <c:v>28.583162217659137</c:v>
                </c:pt>
                <c:pt idx="251">
                  <c:v>28.780287474332649</c:v>
                </c:pt>
                <c:pt idx="252">
                  <c:v>28.813141683778234</c:v>
                </c:pt>
                <c:pt idx="253">
                  <c:v>29.010266940451746</c:v>
                </c:pt>
                <c:pt idx="254">
                  <c:v>29.17453798767967</c:v>
                </c:pt>
                <c:pt idx="255">
                  <c:v>29.207392197125255</c:v>
                </c:pt>
                <c:pt idx="256">
                  <c:v>29.240246406570844</c:v>
                </c:pt>
                <c:pt idx="257">
                  <c:v>29.273100616016428</c:v>
                </c:pt>
                <c:pt idx="258">
                  <c:v>29.305954825462013</c:v>
                </c:pt>
                <c:pt idx="259">
                  <c:v>29.338809034907598</c:v>
                </c:pt>
                <c:pt idx="260">
                  <c:v>30.094455852156056</c:v>
                </c:pt>
                <c:pt idx="261">
                  <c:v>30.160164271047229</c:v>
                </c:pt>
                <c:pt idx="262">
                  <c:v>30.652977412731005</c:v>
                </c:pt>
                <c:pt idx="263">
                  <c:v>30.751540041067763</c:v>
                </c:pt>
                <c:pt idx="264">
                  <c:v>30.882956878850102</c:v>
                </c:pt>
                <c:pt idx="265">
                  <c:v>30.948665297741272</c:v>
                </c:pt>
                <c:pt idx="266">
                  <c:v>31.04722792607803</c:v>
                </c:pt>
                <c:pt idx="267">
                  <c:v>31.408624229979466</c:v>
                </c:pt>
                <c:pt idx="268">
                  <c:v>31.507186858316221</c:v>
                </c:pt>
                <c:pt idx="269">
                  <c:v>31.540041067761805</c:v>
                </c:pt>
                <c:pt idx="270">
                  <c:v>31.671457905544148</c:v>
                </c:pt>
                <c:pt idx="271">
                  <c:v>31.770020533880903</c:v>
                </c:pt>
                <c:pt idx="272">
                  <c:v>31.835728952772072</c:v>
                </c:pt>
                <c:pt idx="273">
                  <c:v>31.868583162217661</c:v>
                </c:pt>
                <c:pt idx="274">
                  <c:v>31.93429158110883</c:v>
                </c:pt>
                <c:pt idx="275">
                  <c:v>31.967145790554415</c:v>
                </c:pt>
                <c:pt idx="276">
                  <c:v>32</c:v>
                </c:pt>
                <c:pt idx="277">
                  <c:v>32.229979466119097</c:v>
                </c:pt>
                <c:pt idx="278">
                  <c:v>32.262833675564679</c:v>
                </c:pt>
                <c:pt idx="279">
                  <c:v>32.295687885010267</c:v>
                </c:pt>
                <c:pt idx="280">
                  <c:v>32.394250513347025</c:v>
                </c:pt>
                <c:pt idx="281">
                  <c:v>32.558521560574945</c:v>
                </c:pt>
                <c:pt idx="282">
                  <c:v>32.689938398357292</c:v>
                </c:pt>
                <c:pt idx="283">
                  <c:v>32.919917864476389</c:v>
                </c:pt>
                <c:pt idx="284">
                  <c:v>33.281314168377826</c:v>
                </c:pt>
                <c:pt idx="285">
                  <c:v>34.036960985626287</c:v>
                </c:pt>
                <c:pt idx="286">
                  <c:v>34.266940451745377</c:v>
                </c:pt>
                <c:pt idx="287">
                  <c:v>34.792607802874741</c:v>
                </c:pt>
                <c:pt idx="288">
                  <c:v>34.891170431211499</c:v>
                </c:pt>
                <c:pt idx="289">
                  <c:v>35.383983572895275</c:v>
                </c:pt>
                <c:pt idx="290">
                  <c:v>35.416837782340863</c:v>
                </c:pt>
                <c:pt idx="291">
                  <c:v>35.482546201232033</c:v>
                </c:pt>
                <c:pt idx="292">
                  <c:v>35.745379876796711</c:v>
                </c:pt>
                <c:pt idx="293">
                  <c:v>35.7782340862423</c:v>
                </c:pt>
                <c:pt idx="294">
                  <c:v>35.811088295687888</c:v>
                </c:pt>
                <c:pt idx="295">
                  <c:v>35.843942505133469</c:v>
                </c:pt>
                <c:pt idx="296">
                  <c:v>35.909650924024639</c:v>
                </c:pt>
                <c:pt idx="297">
                  <c:v>35.942505133470227</c:v>
                </c:pt>
                <c:pt idx="298">
                  <c:v>35.975359342915809</c:v>
                </c:pt>
                <c:pt idx="299">
                  <c:v>36.139630390143736</c:v>
                </c:pt>
                <c:pt idx="300">
                  <c:v>36.303901437371664</c:v>
                </c:pt>
                <c:pt idx="301">
                  <c:v>36.402464065708422</c:v>
                </c:pt>
                <c:pt idx="302">
                  <c:v>36.435318275154003</c:v>
                </c:pt>
                <c:pt idx="303">
                  <c:v>36.566735112936342</c:v>
                </c:pt>
                <c:pt idx="304">
                  <c:v>36.599589322381931</c:v>
                </c:pt>
                <c:pt idx="305">
                  <c:v>36.698151950718689</c:v>
                </c:pt>
                <c:pt idx="306">
                  <c:v>36.763860369609858</c:v>
                </c:pt>
                <c:pt idx="307">
                  <c:v>36.79671457905544</c:v>
                </c:pt>
                <c:pt idx="308">
                  <c:v>36.960985626283367</c:v>
                </c:pt>
                <c:pt idx="309">
                  <c:v>37.453798767967143</c:v>
                </c:pt>
                <c:pt idx="310">
                  <c:v>37.650924024640659</c:v>
                </c:pt>
                <c:pt idx="311">
                  <c:v>37.782340862422998</c:v>
                </c:pt>
                <c:pt idx="312">
                  <c:v>37.848049281314168</c:v>
                </c:pt>
                <c:pt idx="313">
                  <c:v>38.012320328542096</c:v>
                </c:pt>
                <c:pt idx="314">
                  <c:v>38.176591375770023</c:v>
                </c:pt>
                <c:pt idx="315">
                  <c:v>38.209445585215605</c:v>
                </c:pt>
                <c:pt idx="316">
                  <c:v>38.242299794661193</c:v>
                </c:pt>
                <c:pt idx="317">
                  <c:v>38.340862422997944</c:v>
                </c:pt>
                <c:pt idx="318">
                  <c:v>38.406570841889121</c:v>
                </c:pt>
                <c:pt idx="319">
                  <c:v>38.439425051334702</c:v>
                </c:pt>
                <c:pt idx="320">
                  <c:v>38.47227926078029</c:v>
                </c:pt>
                <c:pt idx="321">
                  <c:v>38.570841889117041</c:v>
                </c:pt>
                <c:pt idx="322">
                  <c:v>38.669404517453799</c:v>
                </c:pt>
                <c:pt idx="323">
                  <c:v>38.833675564681727</c:v>
                </c:pt>
                <c:pt idx="324">
                  <c:v>38.866529774127308</c:v>
                </c:pt>
                <c:pt idx="325">
                  <c:v>38.932238193018478</c:v>
                </c:pt>
                <c:pt idx="326">
                  <c:v>39.162217659137575</c:v>
                </c:pt>
                <c:pt idx="327">
                  <c:v>39.195071868583163</c:v>
                </c:pt>
                <c:pt idx="328">
                  <c:v>39.260780287474333</c:v>
                </c:pt>
                <c:pt idx="329">
                  <c:v>39.589322381930188</c:v>
                </c:pt>
                <c:pt idx="330">
                  <c:v>39.655030800821358</c:v>
                </c:pt>
                <c:pt idx="331">
                  <c:v>39.687885010266939</c:v>
                </c:pt>
                <c:pt idx="332">
                  <c:v>39.819301848049278</c:v>
                </c:pt>
                <c:pt idx="333">
                  <c:v>40.016427104722794</c:v>
                </c:pt>
                <c:pt idx="334">
                  <c:v>40.049281314168375</c:v>
                </c:pt>
                <c:pt idx="335">
                  <c:v>40.147843942505133</c:v>
                </c:pt>
                <c:pt idx="336">
                  <c:v>40.246406570841891</c:v>
                </c:pt>
                <c:pt idx="337">
                  <c:v>40.410677618069812</c:v>
                </c:pt>
                <c:pt idx="338">
                  <c:v>40.4435318275154</c:v>
                </c:pt>
                <c:pt idx="339">
                  <c:v>40.476386036960989</c:v>
                </c:pt>
                <c:pt idx="340">
                  <c:v>40.50924024640657</c:v>
                </c:pt>
                <c:pt idx="341">
                  <c:v>40.739219712525667</c:v>
                </c:pt>
                <c:pt idx="342">
                  <c:v>40.837782340862425</c:v>
                </c:pt>
                <c:pt idx="343">
                  <c:v>40.936344969199176</c:v>
                </c:pt>
                <c:pt idx="344">
                  <c:v>41.067761806981522</c:v>
                </c:pt>
                <c:pt idx="345">
                  <c:v>41.166324435318273</c:v>
                </c:pt>
                <c:pt idx="346">
                  <c:v>41.52772073921971</c:v>
                </c:pt>
                <c:pt idx="347">
                  <c:v>41.954825462012323</c:v>
                </c:pt>
                <c:pt idx="348">
                  <c:v>42.020533880903493</c:v>
                </c:pt>
                <c:pt idx="349">
                  <c:v>42.053388090349074</c:v>
                </c:pt>
                <c:pt idx="350">
                  <c:v>42.151950718685832</c:v>
                </c:pt>
                <c:pt idx="351">
                  <c:v>42.579055441478438</c:v>
                </c:pt>
                <c:pt idx="352">
                  <c:v>42.907597535934293</c:v>
                </c:pt>
                <c:pt idx="353">
                  <c:v>43.26899383983573</c:v>
                </c:pt>
                <c:pt idx="354">
                  <c:v>43.466119096509239</c:v>
                </c:pt>
                <c:pt idx="355">
                  <c:v>43.663244353182755</c:v>
                </c:pt>
                <c:pt idx="356">
                  <c:v>43.728952772073924</c:v>
                </c:pt>
                <c:pt idx="357">
                  <c:v>43.926078028747433</c:v>
                </c:pt>
                <c:pt idx="358">
                  <c:v>44.024640657084191</c:v>
                </c:pt>
                <c:pt idx="359">
                  <c:v>44.057494866529773</c:v>
                </c:pt>
                <c:pt idx="360">
                  <c:v>44.090349075975361</c:v>
                </c:pt>
                <c:pt idx="361">
                  <c:v>44.123203285420942</c:v>
                </c:pt>
                <c:pt idx="362">
                  <c:v>44.320328542094458</c:v>
                </c:pt>
                <c:pt idx="363">
                  <c:v>44.353182751540039</c:v>
                </c:pt>
                <c:pt idx="364">
                  <c:v>44.386036960985628</c:v>
                </c:pt>
                <c:pt idx="365">
                  <c:v>44.418891170431209</c:v>
                </c:pt>
                <c:pt idx="366">
                  <c:v>44.517453798767967</c:v>
                </c:pt>
                <c:pt idx="367">
                  <c:v>44.550308008213555</c:v>
                </c:pt>
                <c:pt idx="368">
                  <c:v>44.583162217659137</c:v>
                </c:pt>
                <c:pt idx="369">
                  <c:v>44.616016427104725</c:v>
                </c:pt>
                <c:pt idx="370">
                  <c:v>44.780287474332646</c:v>
                </c:pt>
                <c:pt idx="371">
                  <c:v>44.813141683778234</c:v>
                </c:pt>
                <c:pt idx="372">
                  <c:v>44.878850102669404</c:v>
                </c:pt>
                <c:pt idx="373">
                  <c:v>45.043121149897331</c:v>
                </c:pt>
                <c:pt idx="374">
                  <c:v>45.568788501026695</c:v>
                </c:pt>
                <c:pt idx="375">
                  <c:v>45.601642710472277</c:v>
                </c:pt>
                <c:pt idx="376">
                  <c:v>46.02874743326489</c:v>
                </c:pt>
                <c:pt idx="377">
                  <c:v>46.652977412731005</c:v>
                </c:pt>
                <c:pt idx="378">
                  <c:v>46.882956878850102</c:v>
                </c:pt>
                <c:pt idx="379">
                  <c:v>47.04722792607803</c:v>
                </c:pt>
                <c:pt idx="380">
                  <c:v>47.112936344969199</c:v>
                </c:pt>
                <c:pt idx="381">
                  <c:v>47.145790554414788</c:v>
                </c:pt>
                <c:pt idx="382">
                  <c:v>47.342915811088297</c:v>
                </c:pt>
                <c:pt idx="383">
                  <c:v>47.408624229979466</c:v>
                </c:pt>
                <c:pt idx="384">
                  <c:v>47.605749486652975</c:v>
                </c:pt>
                <c:pt idx="385">
                  <c:v>47.93429158110883</c:v>
                </c:pt>
                <c:pt idx="386">
                  <c:v>47.967145790554412</c:v>
                </c:pt>
                <c:pt idx="387">
                  <c:v>48.06570841889117</c:v>
                </c:pt>
                <c:pt idx="388">
                  <c:v>48.262833675564679</c:v>
                </c:pt>
                <c:pt idx="389">
                  <c:v>48.361396303901437</c:v>
                </c:pt>
                <c:pt idx="390">
                  <c:v>48.459958932238195</c:v>
                </c:pt>
                <c:pt idx="391">
                  <c:v>48.657084188911703</c:v>
                </c:pt>
                <c:pt idx="392">
                  <c:v>48.722792607802873</c:v>
                </c:pt>
                <c:pt idx="393">
                  <c:v>48.821355236139631</c:v>
                </c:pt>
                <c:pt idx="394">
                  <c:v>48.95277207392197</c:v>
                </c:pt>
                <c:pt idx="395">
                  <c:v>49.051334702258728</c:v>
                </c:pt>
                <c:pt idx="396">
                  <c:v>49.248459958932237</c:v>
                </c:pt>
                <c:pt idx="397">
                  <c:v>49.347022587268995</c:v>
                </c:pt>
                <c:pt idx="398">
                  <c:v>49.445585215605746</c:v>
                </c:pt>
                <c:pt idx="399">
                  <c:v>49.741273100616013</c:v>
                </c:pt>
                <c:pt idx="400">
                  <c:v>49.97125256673511</c:v>
                </c:pt>
                <c:pt idx="401">
                  <c:v>50.102669404517457</c:v>
                </c:pt>
                <c:pt idx="402">
                  <c:v>50.168377823408626</c:v>
                </c:pt>
                <c:pt idx="403">
                  <c:v>50.201232032854207</c:v>
                </c:pt>
                <c:pt idx="404">
                  <c:v>51.154004106776178</c:v>
                </c:pt>
                <c:pt idx="405">
                  <c:v>51.252566735112936</c:v>
                </c:pt>
                <c:pt idx="406">
                  <c:v>51.581108829568791</c:v>
                </c:pt>
                <c:pt idx="407">
                  <c:v>51.843942505133469</c:v>
                </c:pt>
                <c:pt idx="408">
                  <c:v>51.975359342915809</c:v>
                </c:pt>
                <c:pt idx="409">
                  <c:v>52.139630390143736</c:v>
                </c:pt>
                <c:pt idx="410">
                  <c:v>52.205338809034906</c:v>
                </c:pt>
                <c:pt idx="411">
                  <c:v>52.501026694045173</c:v>
                </c:pt>
                <c:pt idx="412">
                  <c:v>52.566735112936342</c:v>
                </c:pt>
                <c:pt idx="413">
                  <c:v>52.599589322381931</c:v>
                </c:pt>
                <c:pt idx="414">
                  <c:v>52.6652977412731</c:v>
                </c:pt>
                <c:pt idx="415">
                  <c:v>52.698151950718689</c:v>
                </c:pt>
                <c:pt idx="416">
                  <c:v>53.125256673511295</c:v>
                </c:pt>
                <c:pt idx="417">
                  <c:v>53.355236139630392</c:v>
                </c:pt>
                <c:pt idx="418">
                  <c:v>53.388090349075974</c:v>
                </c:pt>
                <c:pt idx="419">
                  <c:v>53.453798767967143</c:v>
                </c:pt>
                <c:pt idx="420">
                  <c:v>53.519507186858313</c:v>
                </c:pt>
                <c:pt idx="421">
                  <c:v>53.618069815195071</c:v>
                </c:pt>
                <c:pt idx="422">
                  <c:v>53.782340862422998</c:v>
                </c:pt>
                <c:pt idx="423">
                  <c:v>53.913757700205338</c:v>
                </c:pt>
                <c:pt idx="424">
                  <c:v>53.946611909650926</c:v>
                </c:pt>
                <c:pt idx="425">
                  <c:v>54.045174537987677</c:v>
                </c:pt>
                <c:pt idx="426">
                  <c:v>54.308008213552363</c:v>
                </c:pt>
                <c:pt idx="427">
                  <c:v>54.373716632443532</c:v>
                </c:pt>
                <c:pt idx="428">
                  <c:v>54.735112936344969</c:v>
                </c:pt>
                <c:pt idx="429">
                  <c:v>55.030800821355236</c:v>
                </c:pt>
                <c:pt idx="430">
                  <c:v>55.162217659137575</c:v>
                </c:pt>
                <c:pt idx="431">
                  <c:v>55.195071868583163</c:v>
                </c:pt>
                <c:pt idx="432">
                  <c:v>55.326488706365502</c:v>
                </c:pt>
                <c:pt idx="433">
                  <c:v>55.359342915811091</c:v>
                </c:pt>
                <c:pt idx="434">
                  <c:v>55.589322381930188</c:v>
                </c:pt>
                <c:pt idx="435">
                  <c:v>55.622176591375769</c:v>
                </c:pt>
                <c:pt idx="436">
                  <c:v>55.885010266940455</c:v>
                </c:pt>
                <c:pt idx="437">
                  <c:v>55.917864476386036</c:v>
                </c:pt>
                <c:pt idx="438">
                  <c:v>55.950718685831625</c:v>
                </c:pt>
                <c:pt idx="439">
                  <c:v>56.082135523613964</c:v>
                </c:pt>
                <c:pt idx="440">
                  <c:v>56.312114989733061</c:v>
                </c:pt>
                <c:pt idx="441">
                  <c:v>56.410677618069812</c:v>
                </c:pt>
                <c:pt idx="442">
                  <c:v>56.50924024640657</c:v>
                </c:pt>
                <c:pt idx="443">
                  <c:v>56.542094455852158</c:v>
                </c:pt>
                <c:pt idx="444">
                  <c:v>56.57494866529774</c:v>
                </c:pt>
                <c:pt idx="445">
                  <c:v>56.804928131416837</c:v>
                </c:pt>
                <c:pt idx="446">
                  <c:v>56.837782340862425</c:v>
                </c:pt>
                <c:pt idx="447">
                  <c:v>57.002053388090346</c:v>
                </c:pt>
                <c:pt idx="448">
                  <c:v>57.264887063655031</c:v>
                </c:pt>
                <c:pt idx="449">
                  <c:v>57.52772073921971</c:v>
                </c:pt>
                <c:pt idx="450">
                  <c:v>57.593429158110879</c:v>
                </c:pt>
                <c:pt idx="451">
                  <c:v>57.691991786447637</c:v>
                </c:pt>
                <c:pt idx="452">
                  <c:v>57.823408624229977</c:v>
                </c:pt>
                <c:pt idx="453">
                  <c:v>57.921971252566735</c:v>
                </c:pt>
                <c:pt idx="454">
                  <c:v>57.987679671457904</c:v>
                </c:pt>
                <c:pt idx="455">
                  <c:v>58.053388090349074</c:v>
                </c:pt>
                <c:pt idx="456">
                  <c:v>58.18480492813142</c:v>
                </c:pt>
                <c:pt idx="457">
                  <c:v>58.513347022587268</c:v>
                </c:pt>
                <c:pt idx="458">
                  <c:v>58.677618069815196</c:v>
                </c:pt>
                <c:pt idx="459">
                  <c:v>58.776180698151954</c:v>
                </c:pt>
                <c:pt idx="460">
                  <c:v>58.841889117043124</c:v>
                </c:pt>
                <c:pt idx="461">
                  <c:v>59.3347022587269</c:v>
                </c:pt>
                <c:pt idx="462">
                  <c:v>59.367556468172488</c:v>
                </c:pt>
                <c:pt idx="463">
                  <c:v>59.597535934291578</c:v>
                </c:pt>
                <c:pt idx="464">
                  <c:v>59.728952772073924</c:v>
                </c:pt>
                <c:pt idx="465">
                  <c:v>59.794661190965094</c:v>
                </c:pt>
                <c:pt idx="466">
                  <c:v>59.827515400410675</c:v>
                </c:pt>
                <c:pt idx="467">
                  <c:v>59.991786447638603</c:v>
                </c:pt>
                <c:pt idx="468">
                  <c:v>60.2217659137577</c:v>
                </c:pt>
                <c:pt idx="469">
                  <c:v>60.254620123203289</c:v>
                </c:pt>
                <c:pt idx="470">
                  <c:v>60.386036960985628</c:v>
                </c:pt>
                <c:pt idx="471">
                  <c:v>60.451745379876797</c:v>
                </c:pt>
                <c:pt idx="472">
                  <c:v>60.484599589322379</c:v>
                </c:pt>
                <c:pt idx="473">
                  <c:v>60.517453798767967</c:v>
                </c:pt>
                <c:pt idx="474">
                  <c:v>60.648870636550306</c:v>
                </c:pt>
                <c:pt idx="475">
                  <c:v>60.681724845995895</c:v>
                </c:pt>
                <c:pt idx="476">
                  <c:v>60.845995893223822</c:v>
                </c:pt>
                <c:pt idx="477">
                  <c:v>60.878850102669404</c:v>
                </c:pt>
                <c:pt idx="478">
                  <c:v>60.911704312114992</c:v>
                </c:pt>
                <c:pt idx="479">
                  <c:v>60.944558521560573</c:v>
                </c:pt>
                <c:pt idx="480">
                  <c:v>60.977412731006162</c:v>
                </c:pt>
                <c:pt idx="481">
                  <c:v>61.043121149897331</c:v>
                </c:pt>
                <c:pt idx="482">
                  <c:v>61.141683778234089</c:v>
                </c:pt>
                <c:pt idx="483">
                  <c:v>61.17453798767967</c:v>
                </c:pt>
                <c:pt idx="484">
                  <c:v>61.207392197125259</c:v>
                </c:pt>
                <c:pt idx="485">
                  <c:v>61.30595482546201</c:v>
                </c:pt>
                <c:pt idx="486">
                  <c:v>61.371663244353179</c:v>
                </c:pt>
                <c:pt idx="487">
                  <c:v>61.404517453798768</c:v>
                </c:pt>
                <c:pt idx="488">
                  <c:v>61.700205338809035</c:v>
                </c:pt>
                <c:pt idx="489">
                  <c:v>61.897330595482543</c:v>
                </c:pt>
                <c:pt idx="490">
                  <c:v>62.324435318275157</c:v>
                </c:pt>
                <c:pt idx="491">
                  <c:v>62.554414784394254</c:v>
                </c:pt>
                <c:pt idx="492">
                  <c:v>62.587268993839835</c:v>
                </c:pt>
                <c:pt idx="493">
                  <c:v>63.014373716632441</c:v>
                </c:pt>
                <c:pt idx="494">
                  <c:v>63.145790554414788</c:v>
                </c:pt>
                <c:pt idx="495">
                  <c:v>63.277207392197127</c:v>
                </c:pt>
                <c:pt idx="496">
                  <c:v>63.507186858316224</c:v>
                </c:pt>
                <c:pt idx="497">
                  <c:v>63.671457905544145</c:v>
                </c:pt>
                <c:pt idx="498">
                  <c:v>64.262833675564679</c:v>
                </c:pt>
                <c:pt idx="499">
                  <c:v>64.361396303901444</c:v>
                </c:pt>
                <c:pt idx="500">
                  <c:v>64.558521560574945</c:v>
                </c:pt>
                <c:pt idx="501">
                  <c:v>64.887063655030801</c:v>
                </c:pt>
                <c:pt idx="502">
                  <c:v>64.919917864476389</c:v>
                </c:pt>
                <c:pt idx="503">
                  <c:v>64.952772073921977</c:v>
                </c:pt>
                <c:pt idx="504">
                  <c:v>65.01848049281314</c:v>
                </c:pt>
                <c:pt idx="505">
                  <c:v>65.084188911704317</c:v>
                </c:pt>
                <c:pt idx="506">
                  <c:v>65.182751540041068</c:v>
                </c:pt>
                <c:pt idx="507">
                  <c:v>65.347022587268995</c:v>
                </c:pt>
                <c:pt idx="508">
                  <c:v>65.379876796714584</c:v>
                </c:pt>
                <c:pt idx="509">
                  <c:v>65.938398357289529</c:v>
                </c:pt>
                <c:pt idx="510">
                  <c:v>66.004106776180691</c:v>
                </c:pt>
                <c:pt idx="511">
                  <c:v>66.03696098562628</c:v>
                </c:pt>
                <c:pt idx="512">
                  <c:v>66.069815195071868</c:v>
                </c:pt>
                <c:pt idx="513">
                  <c:v>66.168377823408619</c:v>
                </c:pt>
                <c:pt idx="514">
                  <c:v>66.201232032854207</c:v>
                </c:pt>
                <c:pt idx="515">
                  <c:v>66.266940451745384</c:v>
                </c:pt>
                <c:pt idx="516">
                  <c:v>66.299794661190958</c:v>
                </c:pt>
                <c:pt idx="517">
                  <c:v>66.496919917864474</c:v>
                </c:pt>
                <c:pt idx="518">
                  <c:v>66.595482546201225</c:v>
                </c:pt>
                <c:pt idx="519">
                  <c:v>66.69404517453799</c:v>
                </c:pt>
                <c:pt idx="520">
                  <c:v>66.82546201232033</c:v>
                </c:pt>
                <c:pt idx="521">
                  <c:v>66.989733059548257</c:v>
                </c:pt>
                <c:pt idx="522">
                  <c:v>67.285420944558524</c:v>
                </c:pt>
                <c:pt idx="523">
                  <c:v>67.318275154004112</c:v>
                </c:pt>
                <c:pt idx="524">
                  <c:v>67.383983572895275</c:v>
                </c:pt>
                <c:pt idx="525">
                  <c:v>67.416837782340863</c:v>
                </c:pt>
                <c:pt idx="526">
                  <c:v>67.548254620123203</c:v>
                </c:pt>
                <c:pt idx="527">
                  <c:v>67.581108829568791</c:v>
                </c:pt>
                <c:pt idx="528">
                  <c:v>67.646817248459953</c:v>
                </c:pt>
                <c:pt idx="529">
                  <c:v>67.843942505133469</c:v>
                </c:pt>
                <c:pt idx="530">
                  <c:v>68.763860369609858</c:v>
                </c:pt>
                <c:pt idx="531">
                  <c:v>69.848049281314175</c:v>
                </c:pt>
                <c:pt idx="532">
                  <c:v>69.913757700205338</c:v>
                </c:pt>
                <c:pt idx="533">
                  <c:v>70.045174537987677</c:v>
                </c:pt>
                <c:pt idx="534">
                  <c:v>70.242299794661193</c:v>
                </c:pt>
                <c:pt idx="535">
                  <c:v>70.439425051334709</c:v>
                </c:pt>
                <c:pt idx="536">
                  <c:v>70.570841889117048</c:v>
                </c:pt>
                <c:pt idx="537">
                  <c:v>70.735112936344976</c:v>
                </c:pt>
                <c:pt idx="538">
                  <c:v>70.833675564681727</c:v>
                </c:pt>
                <c:pt idx="539">
                  <c:v>70.997946611909654</c:v>
                </c:pt>
                <c:pt idx="540">
                  <c:v>71.293634496919921</c:v>
                </c:pt>
                <c:pt idx="541">
                  <c:v>71.359342915811084</c:v>
                </c:pt>
                <c:pt idx="542">
                  <c:v>71.457905544147849</c:v>
                </c:pt>
                <c:pt idx="543">
                  <c:v>71.523613963039011</c:v>
                </c:pt>
                <c:pt idx="544">
                  <c:v>72.016427104722794</c:v>
                </c:pt>
                <c:pt idx="545">
                  <c:v>72.114989733059545</c:v>
                </c:pt>
                <c:pt idx="546">
                  <c:v>72.4435318275154</c:v>
                </c:pt>
                <c:pt idx="547">
                  <c:v>72.837782340862418</c:v>
                </c:pt>
                <c:pt idx="548">
                  <c:v>73.166324435318273</c:v>
                </c:pt>
                <c:pt idx="549">
                  <c:v>73.363449691991789</c:v>
                </c:pt>
                <c:pt idx="550">
                  <c:v>73.396303901437378</c:v>
                </c:pt>
                <c:pt idx="551">
                  <c:v>73.494866529774129</c:v>
                </c:pt>
                <c:pt idx="552">
                  <c:v>73.560574948665291</c:v>
                </c:pt>
                <c:pt idx="553">
                  <c:v>74.611909650924019</c:v>
                </c:pt>
                <c:pt idx="554">
                  <c:v>75.104722792607802</c:v>
                </c:pt>
                <c:pt idx="555">
                  <c:v>75.433264887063658</c:v>
                </c:pt>
                <c:pt idx="556">
                  <c:v>75.466119096509246</c:v>
                </c:pt>
                <c:pt idx="557">
                  <c:v>76.221765913757707</c:v>
                </c:pt>
                <c:pt idx="558">
                  <c:v>77.30595482546201</c:v>
                </c:pt>
                <c:pt idx="559">
                  <c:v>77.864476386036955</c:v>
                </c:pt>
                <c:pt idx="560">
                  <c:v>77.930184804928132</c:v>
                </c:pt>
                <c:pt idx="561">
                  <c:v>78.19301848049281</c:v>
                </c:pt>
                <c:pt idx="562">
                  <c:v>78.455852156057489</c:v>
                </c:pt>
                <c:pt idx="563">
                  <c:v>78.882956878850109</c:v>
                </c:pt>
                <c:pt idx="564">
                  <c:v>80.098562628336751</c:v>
                </c:pt>
                <c:pt idx="565">
                  <c:v>80.459958932238195</c:v>
                </c:pt>
                <c:pt idx="566">
                  <c:v>80.689938398357285</c:v>
                </c:pt>
                <c:pt idx="567">
                  <c:v>81.051334702258728</c:v>
                </c:pt>
                <c:pt idx="568">
                  <c:v>81.182751540041068</c:v>
                </c:pt>
                <c:pt idx="569">
                  <c:v>83.416837782340863</c:v>
                </c:pt>
                <c:pt idx="570">
                  <c:v>83.811088295687881</c:v>
                </c:pt>
                <c:pt idx="571">
                  <c:v>83.975359342915809</c:v>
                </c:pt>
                <c:pt idx="572">
                  <c:v>84.205338809034913</c:v>
                </c:pt>
                <c:pt idx="573">
                  <c:v>85.815195071868587</c:v>
                </c:pt>
                <c:pt idx="574">
                  <c:v>87.359342915811084</c:v>
                </c:pt>
              </c:numCache>
            </c:numRef>
          </c:xVal>
          <c:yVal>
            <c:numRef>
              <c:f>'RCS-Plot'!$D$11:$D$585</c:f>
              <c:numCache>
                <c:formatCode>0.0000</c:formatCode>
                <c:ptCount val="575"/>
                <c:pt idx="0">
                  <c:v>1</c:v>
                </c:pt>
                <c:pt idx="1">
                  <c:v>0.99999658429166471</c:v>
                </c:pt>
                <c:pt idx="2">
                  <c:v>0.99998075916344109</c:v>
                </c:pt>
                <c:pt idx="3">
                  <c:v>0.99997702257159715</c:v>
                </c:pt>
                <c:pt idx="4">
                  <c:v>0.99997285408822723</c:v>
                </c:pt>
                <c:pt idx="5">
                  <c:v>0.99996823362498732</c:v>
                </c:pt>
                <c:pt idx="6">
                  <c:v>0.99988209320632893</c:v>
                </c:pt>
                <c:pt idx="7">
                  <c:v>0.99967353958486715</c:v>
                </c:pt>
                <c:pt idx="8">
                  <c:v>0.99958076467658297</c:v>
                </c:pt>
                <c:pt idx="9">
                  <c:v>0.9992441176656448</c:v>
                </c:pt>
                <c:pt idx="10">
                  <c:v>0.99900475102120434</c:v>
                </c:pt>
                <c:pt idx="11">
                  <c:v>0.99891548087191917</c:v>
                </c:pt>
                <c:pt idx="12">
                  <c:v>0.9988212807231257</c:v>
                </c:pt>
                <c:pt idx="13">
                  <c:v>0.99861764293858346</c:v>
                </c:pt>
                <c:pt idx="14">
                  <c:v>0.99856347822759128</c:v>
                </c:pt>
                <c:pt idx="15">
                  <c:v>0.99665805905143057</c:v>
                </c:pt>
                <c:pt idx="16">
                  <c:v>0.99508633374800903</c:v>
                </c:pt>
                <c:pt idx="17">
                  <c:v>0.9949685121039209</c:v>
                </c:pt>
                <c:pt idx="18">
                  <c:v>0.99422662667000572</c:v>
                </c:pt>
                <c:pt idx="19">
                  <c:v>0.9899560895026408</c:v>
                </c:pt>
                <c:pt idx="20">
                  <c:v>0.98771320983125621</c:v>
                </c:pt>
                <c:pt idx="21">
                  <c:v>0.98608065546125512</c:v>
                </c:pt>
                <c:pt idx="22">
                  <c:v>0.98586890880724587</c:v>
                </c:pt>
                <c:pt idx="23">
                  <c:v>0.98544031904394613</c:v>
                </c:pt>
                <c:pt idx="24">
                  <c:v>0.98500494907020075</c:v>
                </c:pt>
                <c:pt idx="25">
                  <c:v>0.98456281812033153</c:v>
                </c:pt>
                <c:pt idx="26">
                  <c:v>0.98411394672273</c:v>
                </c:pt>
                <c:pt idx="27">
                  <c:v>0.9834280492887687</c:v>
                </c:pt>
                <c:pt idx="28">
                  <c:v>0.9831960709722104</c:v>
                </c:pt>
                <c:pt idx="29">
                  <c:v>0.98249014139797386</c:v>
                </c:pt>
                <c:pt idx="30">
                  <c:v>0.98201122509066241</c:v>
                </c:pt>
                <c:pt idx="31">
                  <c:v>0.98078509561387117</c:v>
                </c:pt>
                <c:pt idx="32">
                  <c:v>0.97977477034375882</c:v>
                </c:pt>
                <c:pt idx="33">
                  <c:v>0.9771363033895758</c:v>
                </c:pt>
                <c:pt idx="34">
                  <c:v>0.97491196229832455</c:v>
                </c:pt>
                <c:pt idx="35">
                  <c:v>0.97199358692786031</c:v>
                </c:pt>
                <c:pt idx="36">
                  <c:v>0.97078437424763153</c:v>
                </c:pt>
                <c:pt idx="37">
                  <c:v>0.9701709695131715</c:v>
                </c:pt>
                <c:pt idx="38">
                  <c:v>0.96892678571043489</c:v>
                </c:pt>
                <c:pt idx="39">
                  <c:v>0.96733944809218142</c:v>
                </c:pt>
                <c:pt idx="40">
                  <c:v>0.9663701993508238</c:v>
                </c:pt>
                <c:pt idx="41">
                  <c:v>0.96604434405526274</c:v>
                </c:pt>
                <c:pt idx="42">
                  <c:v>0.96439454374205391</c:v>
                </c:pt>
                <c:pt idx="43">
                  <c:v>0.96372515868799036</c:v>
                </c:pt>
                <c:pt idx="44">
                  <c:v>0.96305043835062987</c:v>
                </c:pt>
                <c:pt idx="45">
                  <c:v>0.95565633923979121</c:v>
                </c:pt>
                <c:pt idx="46">
                  <c:v>0.95529069998086513</c:v>
                </c:pt>
                <c:pt idx="47">
                  <c:v>0.95455588370023203</c:v>
                </c:pt>
                <c:pt idx="48">
                  <c:v>0.95418671971692148</c:v>
                </c:pt>
                <c:pt idx="49">
                  <c:v>0.95232360291154272</c:v>
                </c:pt>
                <c:pt idx="50">
                  <c:v>0.95081274686377171</c:v>
                </c:pt>
                <c:pt idx="51">
                  <c:v>0.95043225953575294</c:v>
                </c:pt>
                <c:pt idx="52">
                  <c:v>0.94966800306590626</c:v>
                </c:pt>
                <c:pt idx="53">
                  <c:v>0.9477385263246878</c:v>
                </c:pt>
                <c:pt idx="54">
                  <c:v>0.94656818909262219</c:v>
                </c:pt>
                <c:pt idx="55">
                  <c:v>0.94300227381175517</c:v>
                </c:pt>
                <c:pt idx="56">
                  <c:v>0.94219900417797486</c:v>
                </c:pt>
                <c:pt idx="57">
                  <c:v>0.94179593035271025</c:v>
                </c:pt>
                <c:pt idx="58">
                  <c:v>0.94098693774861053</c:v>
                </c:pt>
                <c:pt idx="59">
                  <c:v>0.93853767575686387</c:v>
                </c:pt>
                <c:pt idx="60">
                  <c:v>0.93730083616859494</c:v>
                </c:pt>
                <c:pt idx="61">
                  <c:v>0.93605609417491298</c:v>
                </c:pt>
                <c:pt idx="62">
                  <c:v>0.93312195729005809</c:v>
                </c:pt>
                <c:pt idx="63">
                  <c:v>0.9301479931659643</c:v>
                </c:pt>
                <c:pt idx="64">
                  <c:v>0.92929128443968956</c:v>
                </c:pt>
                <c:pt idx="65">
                  <c:v>0.9271364166902083</c:v>
                </c:pt>
                <c:pt idx="66">
                  <c:v>0.92670324917536673</c:v>
                </c:pt>
                <c:pt idx="67">
                  <c:v>0.92496347751929009</c:v>
                </c:pt>
                <c:pt idx="68">
                  <c:v>0.92408941913093823</c:v>
                </c:pt>
                <c:pt idx="69">
                  <c:v>0.92277325723998971</c:v>
                </c:pt>
                <c:pt idx="70">
                  <c:v>0.9210091649045562</c:v>
                </c:pt>
                <c:pt idx="71">
                  <c:v>0.92056653861909254</c:v>
                </c:pt>
                <c:pt idx="72">
                  <c:v>0.92012328341571059</c:v>
                </c:pt>
                <c:pt idx="73">
                  <c:v>0.91967940545203597</c:v>
                </c:pt>
                <c:pt idx="74">
                  <c:v>0.91610669667077282</c:v>
                </c:pt>
                <c:pt idx="75">
                  <c:v>0.91565748863598884</c:v>
                </c:pt>
                <c:pt idx="76">
                  <c:v>0.9152077186359413</c:v>
                </c:pt>
                <c:pt idx="77">
                  <c:v>0.91475739266913392</c:v>
                </c:pt>
                <c:pt idx="78">
                  <c:v>0.91430651671884899</c:v>
                </c:pt>
                <c:pt idx="79">
                  <c:v>0.91340313872417433</c:v>
                </c:pt>
                <c:pt idx="80">
                  <c:v>0.91295064856920483</c:v>
                </c:pt>
                <c:pt idx="81">
                  <c:v>0.91204409555015831</c:v>
                </c:pt>
                <c:pt idx="82">
                  <c:v>0.9111354848758848</c:v>
                </c:pt>
                <c:pt idx="83">
                  <c:v>0.90839777486412221</c:v>
                </c:pt>
                <c:pt idx="84">
                  <c:v>0.90518257597722285</c:v>
                </c:pt>
                <c:pt idx="85">
                  <c:v>0.90426001041406256</c:v>
                </c:pt>
                <c:pt idx="86">
                  <c:v>0.90008847480112797</c:v>
                </c:pt>
                <c:pt idx="87">
                  <c:v>0.89682317762352959</c:v>
                </c:pt>
                <c:pt idx="88">
                  <c:v>0.89448082804061357</c:v>
                </c:pt>
                <c:pt idx="89">
                  <c:v>0.89354172882571936</c:v>
                </c:pt>
                <c:pt idx="90">
                  <c:v>0.89213089654499511</c:v>
                </c:pt>
                <c:pt idx="91">
                  <c:v>0.89024592697305027</c:v>
                </c:pt>
                <c:pt idx="92">
                  <c:v>0.88930187956625695</c:v>
                </c:pt>
                <c:pt idx="93">
                  <c:v>0.88788396841111072</c:v>
                </c:pt>
                <c:pt idx="94">
                  <c:v>0.88646396861332744</c:v>
                </c:pt>
                <c:pt idx="95">
                  <c:v>0.88456761606694601</c:v>
                </c:pt>
                <c:pt idx="96">
                  <c:v>0.88361823322414534</c:v>
                </c:pt>
                <c:pt idx="97">
                  <c:v>0.87981355016812823</c:v>
                </c:pt>
                <c:pt idx="98">
                  <c:v>0.87886077956941666</c:v>
                </c:pt>
                <c:pt idx="99">
                  <c:v>0.87838417981205419</c:v>
                </c:pt>
                <c:pt idx="100">
                  <c:v>0.87552186597524451</c:v>
                </c:pt>
                <c:pt idx="101">
                  <c:v>0.8750444032059701</c:v>
                </c:pt>
                <c:pt idx="102">
                  <c:v>0.87313354258968146</c:v>
                </c:pt>
                <c:pt idx="103">
                  <c:v>0.87265559701760853</c:v>
                </c:pt>
                <c:pt idx="104">
                  <c:v>0.87169945985542319</c:v>
                </c:pt>
                <c:pt idx="105">
                  <c:v>0.87074302341214371</c:v>
                </c:pt>
                <c:pt idx="106">
                  <c:v>0.86787225907902898</c:v>
                </c:pt>
                <c:pt idx="107">
                  <c:v>0.86691496465817419</c:v>
                </c:pt>
                <c:pt idx="108">
                  <c:v>0.86595753899469197</c:v>
                </c:pt>
                <c:pt idx="109">
                  <c:v>0.86547878717402316</c:v>
                </c:pt>
                <c:pt idx="110">
                  <c:v>0.86308479990733367</c:v>
                </c:pt>
                <c:pt idx="111">
                  <c:v>0.86069079732698373</c:v>
                </c:pt>
                <c:pt idx="112">
                  <c:v>0.85973330176133234</c:v>
                </c:pt>
                <c:pt idx="113">
                  <c:v>0.85877591270710396</c:v>
                </c:pt>
                <c:pt idx="114">
                  <c:v>0.85829726763862724</c:v>
                </c:pt>
                <c:pt idx="115">
                  <c:v>0.85638310492994763</c:v>
                </c:pt>
                <c:pt idx="116">
                  <c:v>0.85494802544521586</c:v>
                </c:pt>
                <c:pt idx="117">
                  <c:v>0.85399161921703326</c:v>
                </c:pt>
                <c:pt idx="118">
                  <c:v>0.85303549752383756</c:v>
                </c:pt>
                <c:pt idx="119">
                  <c:v>0.85255755233720676</c:v>
                </c:pt>
                <c:pt idx="120">
                  <c:v>0.8520796889987875</c:v>
                </c:pt>
                <c:pt idx="121">
                  <c:v>0.84682959174106864</c:v>
                </c:pt>
                <c:pt idx="122">
                  <c:v>0.84540014182148515</c:v>
                </c:pt>
                <c:pt idx="123">
                  <c:v>0.84206956250541054</c:v>
                </c:pt>
                <c:pt idx="124">
                  <c:v>0.84159436167549728</c:v>
                </c:pt>
                <c:pt idx="125">
                  <c:v>0.84016972296412995</c:v>
                </c:pt>
                <c:pt idx="126">
                  <c:v>0.83969517500213742</c:v>
                </c:pt>
                <c:pt idx="127">
                  <c:v>0.83827256892218616</c:v>
                </c:pt>
                <c:pt idx="128">
                  <c:v>0.83732506001975948</c:v>
                </c:pt>
                <c:pt idx="129">
                  <c:v>0.83685158311750574</c:v>
                </c:pt>
                <c:pt idx="130">
                  <c:v>0.83637829520967422</c:v>
                </c:pt>
                <c:pt idx="131">
                  <c:v>0.83495959486869242</c:v>
                </c:pt>
                <c:pt idx="132">
                  <c:v>0.83448709226992157</c:v>
                </c:pt>
                <c:pt idx="133">
                  <c:v>0.8340147932468106</c:v>
                </c:pt>
                <c:pt idx="134">
                  <c:v>0.8330708173737924</c:v>
                </c:pt>
                <c:pt idx="135">
                  <c:v>0.83259914620522146</c:v>
                </c:pt>
                <c:pt idx="136">
                  <c:v>0.8321276899750748</c:v>
                </c:pt>
                <c:pt idx="137">
                  <c:v>0.8316564514824536</c:v>
                </c:pt>
                <c:pt idx="138">
                  <c:v>0.83118543350991592</c:v>
                </c:pt>
                <c:pt idx="139">
                  <c:v>0.83024407017289559</c:v>
                </c:pt>
                <c:pt idx="140">
                  <c:v>0.82930362189542817</c:v>
                </c:pt>
                <c:pt idx="141">
                  <c:v>0.8288337476860087</c:v>
                </c:pt>
                <c:pt idx="142">
                  <c:v>0.82836411034728419</c:v>
                </c:pt>
                <c:pt idx="143">
                  <c:v>0.82695664615544351</c:v>
                </c:pt>
                <c:pt idx="144">
                  <c:v>0.82601956953270006</c:v>
                </c:pt>
                <c:pt idx="145">
                  <c:v>0.82414846840472533</c:v>
                </c:pt>
                <c:pt idx="146">
                  <c:v>0.82368134386761438</c:v>
                </c:pt>
                <c:pt idx="147">
                  <c:v>0.82274789330322962</c:v>
                </c:pt>
                <c:pt idx="148">
                  <c:v>0.82228157224637832</c:v>
                </c:pt>
                <c:pt idx="149">
                  <c:v>0.82088425547277355</c:v>
                </c:pt>
                <c:pt idx="150">
                  <c:v>0.82041904011675515</c:v>
                </c:pt>
                <c:pt idx="151">
                  <c:v>0.81948945918097249</c:v>
                </c:pt>
                <c:pt idx="152">
                  <c:v>0.81856102710218404</c:v>
                </c:pt>
                <c:pt idx="153">
                  <c:v>0.81763376265388876</c:v>
                </c:pt>
                <c:pt idx="154">
                  <c:v>0.81717057409172245</c:v>
                </c:pt>
                <c:pt idx="155">
                  <c:v>0.81670768436774865</c:v>
                </c:pt>
                <c:pt idx="156">
                  <c:v>0.8134760133277904</c:v>
                </c:pt>
                <c:pt idx="157">
                  <c:v>0.80980171359845732</c:v>
                </c:pt>
                <c:pt idx="158">
                  <c:v>0.80934390520383248</c:v>
                </c:pt>
                <c:pt idx="159">
                  <c:v>0.80888643239638069</c:v>
                </c:pt>
                <c:pt idx="160">
                  <c:v>0.80797250165873902</c:v>
                </c:pt>
                <c:pt idx="161">
                  <c:v>0.80705993747698157</c:v>
                </c:pt>
                <c:pt idx="162">
                  <c:v>0.80161412330433524</c:v>
                </c:pt>
                <c:pt idx="163">
                  <c:v>0.80026083082389221</c:v>
                </c:pt>
                <c:pt idx="164">
                  <c:v>0.79711630651420329</c:v>
                </c:pt>
                <c:pt idx="165">
                  <c:v>0.7966686179065422</c:v>
                </c:pt>
                <c:pt idx="166">
                  <c:v>0.79622131665895168</c:v>
                </c:pt>
                <c:pt idx="167">
                  <c:v>0.79443601826142307</c:v>
                </c:pt>
                <c:pt idx="168">
                  <c:v>0.79399067844867544</c:v>
                </c:pt>
                <c:pt idx="169">
                  <c:v>0.79310119178685701</c:v>
                </c:pt>
                <c:pt idx="170">
                  <c:v>0.79265704809405002</c:v>
                </c:pt>
                <c:pt idx="171">
                  <c:v>0.79044238803742073</c:v>
                </c:pt>
                <c:pt idx="172">
                  <c:v>0.78648191760308606</c:v>
                </c:pt>
                <c:pt idx="173">
                  <c:v>0.78560642210916187</c:v>
                </c:pt>
                <c:pt idx="174">
                  <c:v>0.78473261962798124</c:v>
                </c:pt>
                <c:pt idx="175">
                  <c:v>0.78429635426695921</c:v>
                </c:pt>
                <c:pt idx="176">
                  <c:v>0.78386051334074858</c:v>
                </c:pt>
                <c:pt idx="177">
                  <c:v>0.78168768805257027</c:v>
                </c:pt>
                <c:pt idx="178">
                  <c:v>0.77952552619005611</c:v>
                </c:pt>
                <c:pt idx="179">
                  <c:v>0.77909437689043626</c:v>
                </c:pt>
                <c:pt idx="180">
                  <c:v>0.77608834082598488</c:v>
                </c:pt>
                <c:pt idx="181">
                  <c:v>0.77395407048514031</c:v>
                </c:pt>
                <c:pt idx="182">
                  <c:v>0.77225441329236755</c:v>
                </c:pt>
                <c:pt idx="183">
                  <c:v>0.7688758348378284</c:v>
                </c:pt>
                <c:pt idx="184">
                  <c:v>0.76677828671330484</c:v>
                </c:pt>
                <c:pt idx="185">
                  <c:v>0.76552495650213925</c:v>
                </c:pt>
                <c:pt idx="186">
                  <c:v>0.7642755273901326</c:v>
                </c:pt>
                <c:pt idx="187">
                  <c:v>0.76055065562669155</c:v>
                </c:pt>
                <c:pt idx="188">
                  <c:v>0.7584964600075661</c:v>
                </c:pt>
                <c:pt idx="189">
                  <c:v>0.75767781643936072</c:v>
                </c:pt>
                <c:pt idx="190">
                  <c:v>0.75645310133056387</c:v>
                </c:pt>
                <c:pt idx="191">
                  <c:v>0.7548262122022007</c:v>
                </c:pt>
                <c:pt idx="192">
                  <c:v>0.75442057231637683</c:v>
                </c:pt>
                <c:pt idx="193">
                  <c:v>0.7540153652099536</c:v>
                </c:pt>
                <c:pt idx="194">
                  <c:v>0.75239886254762323</c:v>
                </c:pt>
                <c:pt idx="195">
                  <c:v>0.75159320512184358</c:v>
                </c:pt>
                <c:pt idx="196">
                  <c:v>0.75119102446489738</c:v>
                </c:pt>
                <c:pt idx="197">
                  <c:v>0.75078927567301779</c:v>
                </c:pt>
                <c:pt idx="198">
                  <c:v>0.75038795861146701</c:v>
                </c:pt>
                <c:pt idx="199">
                  <c:v>0.74998707314110746</c:v>
                </c:pt>
                <c:pt idx="200">
                  <c:v>0.74958661911843993</c:v>
                </c:pt>
                <c:pt idx="201">
                  <c:v>0.74838784423708715</c:v>
                </c:pt>
                <c:pt idx="202">
                  <c:v>0.74719294680916237</c:v>
                </c:pt>
                <c:pt idx="203">
                  <c:v>0.74679550854482024</c:v>
                </c:pt>
                <c:pt idx="204">
                  <c:v>0.74639850042815148</c:v>
                </c:pt>
                <c:pt idx="205">
                  <c:v>0.74521005513537553</c:v>
                </c:pt>
                <c:pt idx="206">
                  <c:v>0.74441990559046878</c:v>
                </c:pt>
                <c:pt idx="207">
                  <c:v>0.74402547442361222</c:v>
                </c:pt>
                <c:pt idx="208">
                  <c:v>0.74284475288531315</c:v>
                </c:pt>
                <c:pt idx="209">
                  <c:v>0.74205974637085059</c:v>
                </c:pt>
                <c:pt idx="210">
                  <c:v>0.74166788481059875</c:v>
                </c:pt>
                <c:pt idx="211">
                  <c:v>0.74127645074827242</c:v>
                </c:pt>
                <c:pt idx="212">
                  <c:v>0.74010471123700317</c:v>
                </c:pt>
                <c:pt idx="213">
                  <c:v>0.73893681073998463</c:v>
                </c:pt>
                <c:pt idx="214">
                  <c:v>0.73854836254611533</c:v>
                </c:pt>
                <c:pt idx="215">
                  <c:v>0.73699882285956697</c:v>
                </c:pt>
                <c:pt idx="216">
                  <c:v>0.73622660120304173</c:v>
                </c:pt>
                <c:pt idx="217">
                  <c:v>0.73584112648285638</c:v>
                </c:pt>
                <c:pt idx="218">
                  <c:v>0.73545607546894509</c:v>
                </c:pt>
                <c:pt idx="219">
                  <c:v>0.73468724344452474</c:v>
                </c:pt>
                <c:pt idx="220">
                  <c:v>0.73315465143596159</c:v>
                </c:pt>
                <c:pt idx="221">
                  <c:v>0.73200963626754956</c:v>
                </c:pt>
                <c:pt idx="222">
                  <c:v>0.73010968939469012</c:v>
                </c:pt>
                <c:pt idx="223">
                  <c:v>0.72784358419311035</c:v>
                </c:pt>
                <c:pt idx="224">
                  <c:v>0.72709155753895738</c:v>
                </c:pt>
                <c:pt idx="225">
                  <c:v>0.7259666412624588</c:v>
                </c:pt>
                <c:pt idx="226">
                  <c:v>0.72521877556274961</c:v>
                </c:pt>
                <c:pt idx="227">
                  <c:v>0.72484546521978033</c:v>
                </c:pt>
                <c:pt idx="228">
                  <c:v>0.72447256941461025</c:v>
                </c:pt>
                <c:pt idx="229">
                  <c:v>0.72372802000411107</c:v>
                </c:pt>
                <c:pt idx="230">
                  <c:v>0.72224387996729833</c:v>
                </c:pt>
                <c:pt idx="231">
                  <c:v>0.72187387592709606</c:v>
                </c:pt>
                <c:pt idx="232">
                  <c:v>0.71710114761386246</c:v>
                </c:pt>
                <c:pt idx="233">
                  <c:v>0.71492158321129673</c:v>
                </c:pt>
                <c:pt idx="234">
                  <c:v>0.71419830055070554</c:v>
                </c:pt>
                <c:pt idx="235">
                  <c:v>0.7138372646871789</c:v>
                </c:pt>
                <c:pt idx="236">
                  <c:v>0.71096345503439717</c:v>
                </c:pt>
                <c:pt idx="237">
                  <c:v>0.71024900892040865</c:v>
                </c:pt>
                <c:pt idx="238">
                  <c:v>0.70918033087557431</c:v>
                </c:pt>
                <c:pt idx="239">
                  <c:v>0.7088249008016777</c:v>
                </c:pt>
                <c:pt idx="240">
                  <c:v>0.70494129463183552</c:v>
                </c:pt>
                <c:pt idx="241">
                  <c:v>0.70459060322657507</c:v>
                </c:pt>
                <c:pt idx="242">
                  <c:v>0.70424030387640801</c:v>
                </c:pt>
                <c:pt idx="243">
                  <c:v>0.70354087957568079</c:v>
                </c:pt>
                <c:pt idx="244">
                  <c:v>0.70319175373968645</c:v>
                </c:pt>
                <c:pt idx="245">
                  <c:v>0.70284301818794925</c:v>
                </c:pt>
                <c:pt idx="246">
                  <c:v>0.70214671615528701</c:v>
                </c:pt>
                <c:pt idx="247">
                  <c:v>0.70075877584532953</c:v>
                </c:pt>
                <c:pt idx="248">
                  <c:v>0.70041275976259698</c:v>
                </c:pt>
                <c:pt idx="249">
                  <c:v>0.70006713037550461</c:v>
                </c:pt>
                <c:pt idx="250">
                  <c:v>0.69903255785692864</c:v>
                </c:pt>
                <c:pt idx="251">
                  <c:v>0.69697379222431166</c:v>
                </c:pt>
                <c:pt idx="252">
                  <c:v>0.69663200475822695</c:v>
                </c:pt>
                <c:pt idx="253">
                  <c:v>0.69458927887770594</c:v>
                </c:pt>
                <c:pt idx="254">
                  <c:v>0.69289743106138835</c:v>
                </c:pt>
                <c:pt idx="255">
                  <c:v>0.6925601930432691</c:v>
                </c:pt>
                <c:pt idx="256">
                  <c:v>0.69222333111498013</c:v>
                </c:pt>
                <c:pt idx="257">
                  <c:v>0.69188684480740292</c:v>
                </c:pt>
                <c:pt idx="258">
                  <c:v>0.69155073365085706</c:v>
                </c:pt>
                <c:pt idx="259">
                  <c:v>0.69121499717511248</c:v>
                </c:pt>
                <c:pt idx="260">
                  <c:v>0.68359538129333719</c:v>
                </c:pt>
                <c:pt idx="261">
                  <c:v>0.68294197119462952</c:v>
                </c:pt>
                <c:pt idx="262">
                  <c:v>0.67808732228893687</c:v>
                </c:pt>
                <c:pt idx="263">
                  <c:v>0.67712603132836724</c:v>
                </c:pt>
                <c:pt idx="264">
                  <c:v>0.67584925830433706</c:v>
                </c:pt>
                <c:pt idx="265">
                  <c:v>0.67521298375482863</c:v>
                </c:pt>
                <c:pt idx="266">
                  <c:v>0.67426120097914144</c:v>
                </c:pt>
                <c:pt idx="267">
                  <c:v>0.6707981232308845</c:v>
                </c:pt>
                <c:pt idx="268">
                  <c:v>0.66986089679242822</c:v>
                </c:pt>
                <c:pt idx="269">
                  <c:v>0.66954917354056531</c:v>
                </c:pt>
                <c:pt idx="270">
                  <c:v>0.66830569541039497</c:v>
                </c:pt>
                <c:pt idx="271">
                  <c:v>0.66737665886515107</c:v>
                </c:pt>
                <c:pt idx="272">
                  <c:v>0.6667589948797662</c:v>
                </c:pt>
                <c:pt idx="273">
                  <c:v>0.66645066954805066</c:v>
                </c:pt>
                <c:pt idx="274">
                  <c:v>0.66583502978691456</c:v>
                </c:pt>
                <c:pt idx="275">
                  <c:v>0.6655277143899927</c:v>
                </c:pt>
                <c:pt idx="276">
                  <c:v>0.66522073467071563</c:v>
                </c:pt>
                <c:pt idx="277">
                  <c:v>0.66308123502113758</c:v>
                </c:pt>
                <c:pt idx="278">
                  <c:v>0.66277692333252802</c:v>
                </c:pt>
                <c:pt idx="279">
                  <c:v>0.66247294297636028</c:v>
                </c:pt>
                <c:pt idx="280">
                  <c:v>0.66156298508401534</c:v>
                </c:pt>
                <c:pt idx="281">
                  <c:v>0.66005297030273824</c:v>
                </c:pt>
                <c:pt idx="282">
                  <c:v>0.65885084740523447</c:v>
                </c:pt>
                <c:pt idx="283">
                  <c:v>0.65675962962518963</c:v>
                </c:pt>
                <c:pt idx="284">
                  <c:v>0.6535052192467683</c:v>
                </c:pt>
                <c:pt idx="285">
                  <c:v>0.64682355814227843</c:v>
                </c:pt>
                <c:pt idx="286">
                  <c:v>0.64482236886005362</c:v>
                </c:pt>
                <c:pt idx="287">
                  <c:v>0.64030361674351144</c:v>
                </c:pt>
                <c:pt idx="288">
                  <c:v>0.63946481731285576</c:v>
                </c:pt>
                <c:pt idx="289">
                  <c:v>0.63531022853089891</c:v>
                </c:pt>
                <c:pt idx="290">
                  <c:v>0.63503556839762354</c:v>
                </c:pt>
                <c:pt idx="291">
                  <c:v>0.63448710722540791</c:v>
                </c:pt>
                <c:pt idx="292">
                  <c:v>0.63230465179985229</c:v>
                </c:pt>
                <c:pt idx="293">
                  <c:v>0.63203311883928459</c:v>
                </c:pt>
                <c:pt idx="294">
                  <c:v>0.63176186750800667</c:v>
                </c:pt>
                <c:pt idx="295">
                  <c:v>0.63149089736503639</c:v>
                </c:pt>
                <c:pt idx="296">
                  <c:v>0.63094979888266023</c:v>
                </c:pt>
                <c:pt idx="297">
                  <c:v>0.63067966966386779</c:v>
                </c:pt>
                <c:pt idx="298">
                  <c:v>0.63040981987461098</c:v>
                </c:pt>
                <c:pt idx="299">
                  <c:v>0.62906474704581794</c:v>
                </c:pt>
                <c:pt idx="300">
                  <c:v>0.62772659441883494</c:v>
                </c:pt>
                <c:pt idx="301">
                  <c:v>0.62692700194824069</c:v>
                </c:pt>
                <c:pt idx="302">
                  <c:v>0.62666101838013832</c:v>
                </c:pt>
                <c:pt idx="303">
                  <c:v>0.62559980889581468</c:v>
                </c:pt>
                <c:pt idx="304">
                  <c:v>0.62533518557362988</c:v>
                </c:pt>
                <c:pt idx="305">
                  <c:v>0.62454293846994935</c:v>
                </c:pt>
                <c:pt idx="306">
                  <c:v>0.62401612184945721</c:v>
                </c:pt>
                <c:pt idx="307">
                  <c:v>0.62375311669554034</c:v>
                </c:pt>
                <c:pt idx="308">
                  <c:v>0.62244210550618928</c:v>
                </c:pt>
                <c:pt idx="309">
                  <c:v>0.61854877527711172</c:v>
                </c:pt>
                <c:pt idx="310">
                  <c:v>0.61700789056374405</c:v>
                </c:pt>
                <c:pt idx="311">
                  <c:v>0.61598578657669156</c:v>
                </c:pt>
                <c:pt idx="312">
                  <c:v>0.61547627049967613</c:v>
                </c:pt>
                <c:pt idx="313">
                  <c:v>0.61420693393729697</c:v>
                </c:pt>
                <c:pt idx="314">
                  <c:v>0.61294391921607838</c:v>
                </c:pt>
                <c:pt idx="315">
                  <c:v>0.61269207045962437</c:v>
                </c:pt>
                <c:pt idx="316">
                  <c:v>0.61244047216275554</c:v>
                </c:pt>
                <c:pt idx="317">
                  <c:v>0.6116871760311261</c:v>
                </c:pt>
                <c:pt idx="318">
                  <c:v>0.61118622358740515</c:v>
                </c:pt>
                <c:pt idx="319">
                  <c:v>0.61093611966524619</c:v>
                </c:pt>
                <c:pt idx="320">
                  <c:v>0.6106862634137844</c:v>
                </c:pt>
                <c:pt idx="321">
                  <c:v>0.60993817672542139</c:v>
                </c:pt>
                <c:pt idx="322">
                  <c:v>0.60919230484820519</c:v>
                </c:pt>
                <c:pt idx="323">
                  <c:v>0.60795407804078516</c:v>
                </c:pt>
                <c:pt idx="324">
                  <c:v>0.60770716310677786</c:v>
                </c:pt>
                <c:pt idx="325">
                  <c:v>0.6072140605494537</c:v>
                </c:pt>
                <c:pt idx="326">
                  <c:v>0.60549579768143791</c:v>
                </c:pt>
                <c:pt idx="327">
                  <c:v>0.60525129099494213</c:v>
                </c:pt>
                <c:pt idx="328">
                  <c:v>0.60476299335916694</c:v>
                </c:pt>
                <c:pt idx="329">
                  <c:v>0.60233572081470621</c:v>
                </c:pt>
                <c:pt idx="330">
                  <c:v>0.60185308820771477</c:v>
                </c:pt>
                <c:pt idx="331">
                  <c:v>0.60161212219247251</c:v>
                </c:pt>
                <c:pt idx="332">
                  <c:v>0.60065058465095678</c:v>
                </c:pt>
                <c:pt idx="333">
                  <c:v>0.59921521692204394</c:v>
                </c:pt>
                <c:pt idx="334">
                  <c:v>0.59897679371047174</c:v>
                </c:pt>
                <c:pt idx="335">
                  <c:v>0.59826289626077866</c:v>
                </c:pt>
                <c:pt idx="336">
                  <c:v>0.59755104938445525</c:v>
                </c:pt>
                <c:pt idx="337">
                  <c:v>0.59636916797706152</c:v>
                </c:pt>
                <c:pt idx="338">
                  <c:v>0.59613346793289446</c:v>
                </c:pt>
                <c:pt idx="339">
                  <c:v>0.59589799245657238</c:v>
                </c:pt>
                <c:pt idx="340">
                  <c:v>0.59566274118727625</c:v>
                </c:pt>
                <c:pt idx="341">
                  <c:v>0.5940222299107637</c:v>
                </c:pt>
                <c:pt idx="342">
                  <c:v>0.59332248091107775</c:v>
                </c:pt>
                <c:pt idx="343">
                  <c:v>0.59262471439766207</c:v>
                </c:pt>
                <c:pt idx="344">
                  <c:v>0.59169742642980139</c:v>
                </c:pt>
                <c:pt idx="345">
                  <c:v>0.59100424869311807</c:v>
                </c:pt>
                <c:pt idx="346">
                  <c:v>0.58847921645300949</c:v>
                </c:pt>
                <c:pt idx="347">
                  <c:v>0.58552827503935545</c:v>
                </c:pt>
                <c:pt idx="348">
                  <c:v>0.58507743097582388</c:v>
                </c:pt>
                <c:pt idx="349">
                  <c:v>0.5848523209471026</c:v>
                </c:pt>
                <c:pt idx="350">
                  <c:v>0.58417823487095255</c:v>
                </c:pt>
                <c:pt idx="351">
                  <c:v>0.58127856304743231</c:v>
                </c:pt>
                <c:pt idx="352">
                  <c:v>0.57907134808478378</c:v>
                </c:pt>
                <c:pt idx="353">
                  <c:v>0.57666639312123857</c:v>
                </c:pt>
                <c:pt idx="354">
                  <c:v>0.57536460181615334</c:v>
                </c:pt>
                <c:pt idx="355">
                  <c:v>0.57406978478016701</c:v>
                </c:pt>
                <c:pt idx="356">
                  <c:v>0.57363971740521458</c:v>
                </c:pt>
                <c:pt idx="357">
                  <c:v>0.57235409588565911</c:v>
                </c:pt>
                <c:pt idx="358">
                  <c:v>0.57171384666491254</c:v>
                </c:pt>
                <c:pt idx="359">
                  <c:v>0.57150080772858858</c:v>
                </c:pt>
                <c:pt idx="360">
                  <c:v>0.57128795702578128</c:v>
                </c:pt>
                <c:pt idx="361">
                  <c:v>0.57107529425620229</c:v>
                </c:pt>
                <c:pt idx="362">
                  <c:v>0.56980324748569566</c:v>
                </c:pt>
                <c:pt idx="363">
                  <c:v>0.56959189188415105</c:v>
                </c:pt>
                <c:pt idx="364">
                  <c:v>0.56938072183215294</c:v>
                </c:pt>
                <c:pt idx="365">
                  <c:v>0.56916973703405804</c:v>
                </c:pt>
                <c:pt idx="366">
                  <c:v>0.56853789121445597</c:v>
                </c:pt>
                <c:pt idx="367">
                  <c:v>0.56832764448579332</c:v>
                </c:pt>
                <c:pt idx="368">
                  <c:v>0.56811758154049985</c:v>
                </c:pt>
                <c:pt idx="369">
                  <c:v>0.56790770208599839</c:v>
                </c:pt>
                <c:pt idx="370">
                  <c:v>0.56686104697079587</c:v>
                </c:pt>
                <c:pt idx="371">
                  <c:v>0.56665226234539656</c:v>
                </c:pt>
                <c:pt idx="372">
                  <c:v>0.56623523717697755</c:v>
                </c:pt>
                <c:pt idx="373">
                  <c:v>0.56519583464050016</c:v>
                </c:pt>
                <c:pt idx="374">
                  <c:v>0.56189971942855488</c:v>
                </c:pt>
                <c:pt idx="375">
                  <c:v>0.56169521114882914</c:v>
                </c:pt>
                <c:pt idx="376">
                  <c:v>0.55905239826088982</c:v>
                </c:pt>
                <c:pt idx="377">
                  <c:v>0.55524168230060078</c:v>
                </c:pt>
                <c:pt idx="378">
                  <c:v>0.55385294156505605</c:v>
                </c:pt>
                <c:pt idx="379">
                  <c:v>0.55286591616032044</c:v>
                </c:pt>
                <c:pt idx="380">
                  <c:v>0.55247224843686726</c:v>
                </c:pt>
                <c:pt idx="381">
                  <c:v>0.55227565835884707</c:v>
                </c:pt>
                <c:pt idx="382">
                  <c:v>0.55109951482647013</c:v>
                </c:pt>
                <c:pt idx="383">
                  <c:v>0.55070875497393956</c:v>
                </c:pt>
                <c:pt idx="384">
                  <c:v>0.549540311210577</c:v>
                </c:pt>
                <c:pt idx="385">
                  <c:v>0.54760557143011712</c:v>
                </c:pt>
                <c:pt idx="386">
                  <c:v>0.54741296058041111</c:v>
                </c:pt>
                <c:pt idx="387">
                  <c:v>0.54683606277602559</c:v>
                </c:pt>
                <c:pt idx="388">
                  <c:v>0.54568645169730068</c:v>
                </c:pt>
                <c:pt idx="389">
                  <c:v>0.54511372540608949</c:v>
                </c:pt>
                <c:pt idx="390">
                  <c:v>0.54454237666045602</c:v>
                </c:pt>
                <c:pt idx="391">
                  <c:v>0.54340378615389884</c:v>
                </c:pt>
                <c:pt idx="392">
                  <c:v>0.54302546594574019</c:v>
                </c:pt>
                <c:pt idx="393">
                  <c:v>0.54245911352131604</c:v>
                </c:pt>
                <c:pt idx="394">
                  <c:v>0.54170607256060432</c:v>
                </c:pt>
                <c:pt idx="395">
                  <c:v>0.54114285543321594</c:v>
                </c:pt>
                <c:pt idx="396">
                  <c:v>0.54002041492728459</c:v>
                </c:pt>
                <c:pt idx="397">
                  <c:v>0.53946117921335035</c:v>
                </c:pt>
                <c:pt idx="398">
                  <c:v>0.5389032583570309</c:v>
                </c:pt>
                <c:pt idx="399">
                  <c:v>0.53723732424540571</c:v>
                </c:pt>
                <c:pt idx="400">
                  <c:v>0.53594963717855981</c:v>
                </c:pt>
                <c:pt idx="401">
                  <c:v>0.53521694205148385</c:v>
                </c:pt>
                <c:pt idx="402">
                  <c:v>0.53485144137737239</c:v>
                </c:pt>
                <c:pt idx="403">
                  <c:v>0.53466890200409622</c:v>
                </c:pt>
                <c:pt idx="404">
                  <c:v>0.52943545011382109</c:v>
                </c:pt>
                <c:pt idx="405">
                  <c:v>0.52890058933787321</c:v>
                </c:pt>
                <c:pt idx="406">
                  <c:v>0.52712637648769201</c:v>
                </c:pt>
                <c:pt idx="407">
                  <c:v>0.52571649336884407</c:v>
                </c:pt>
                <c:pt idx="408">
                  <c:v>0.52501467915887257</c:v>
                </c:pt>
                <c:pt idx="409">
                  <c:v>0.52414031821076901</c:v>
                </c:pt>
                <c:pt idx="410">
                  <c:v>0.52379147316882635</c:v>
                </c:pt>
                <c:pt idx="411">
                  <c:v>0.5222279790607377</c:v>
                </c:pt>
                <c:pt idx="412">
                  <c:v>0.52188192869493999</c:v>
                </c:pt>
                <c:pt idx="413">
                  <c:v>0.52170909229217932</c:v>
                </c:pt>
                <c:pt idx="414">
                  <c:v>0.52136379610045291</c:v>
                </c:pt>
                <c:pt idx="415">
                  <c:v>0.52119133593391487</c:v>
                </c:pt>
                <c:pt idx="416">
                  <c:v>0.5189606638865345</c:v>
                </c:pt>
                <c:pt idx="417">
                  <c:v>0.51776814201467281</c:v>
                </c:pt>
                <c:pt idx="418">
                  <c:v>0.51759826856236502</c:v>
                </c:pt>
                <c:pt idx="419">
                  <c:v>0.51725888495192351</c:v>
                </c:pt>
                <c:pt idx="420">
                  <c:v>0.5169199845287934</c:v>
                </c:pt>
                <c:pt idx="421">
                  <c:v>0.51641253671871978</c:v>
                </c:pt>
                <c:pt idx="422">
                  <c:v>0.51556918595931889</c:v>
                </c:pt>
                <c:pt idx="423">
                  <c:v>0.5148966485672346</c:v>
                </c:pt>
                <c:pt idx="424">
                  <c:v>0.51472881041329277</c:v>
                </c:pt>
                <c:pt idx="425">
                  <c:v>0.51422600400223917</c:v>
                </c:pt>
                <c:pt idx="426">
                  <c:v>0.51289034853437054</c:v>
                </c:pt>
                <c:pt idx="427">
                  <c:v>0.51255760024250752</c:v>
                </c:pt>
                <c:pt idx="428">
                  <c:v>0.51073573254583715</c:v>
                </c:pt>
                <c:pt idx="429">
                  <c:v>0.50925538367036993</c:v>
                </c:pt>
                <c:pt idx="430">
                  <c:v>0.50860038293178844</c:v>
                </c:pt>
                <c:pt idx="431">
                  <c:v>0.50843691274711178</c:v>
                </c:pt>
                <c:pt idx="432">
                  <c:v>0.50778414707950981</c:v>
                </c:pt>
                <c:pt idx="433">
                  <c:v>0.50762123361258771</c:v>
                </c:pt>
                <c:pt idx="434">
                  <c:v>0.50648393417119997</c:v>
                </c:pt>
                <c:pt idx="435">
                  <c:v>0.50632190300051938</c:v>
                </c:pt>
                <c:pt idx="436">
                  <c:v>0.50502958443132906</c:v>
                </c:pt>
                <c:pt idx="437">
                  <c:v>0.50486853357114558</c:v>
                </c:pt>
                <c:pt idx="438">
                  <c:v>0.50470759084076033</c:v>
                </c:pt>
                <c:pt idx="439">
                  <c:v>0.50406489806776344</c:v>
                </c:pt>
                <c:pt idx="440">
                  <c:v>0.50294431247620863</c:v>
                </c:pt>
                <c:pt idx="441">
                  <c:v>0.50246565845097668</c:v>
                </c:pt>
                <c:pt idx="442">
                  <c:v>0.50198795657173101</c:v>
                </c:pt>
                <c:pt idx="443">
                  <c:v>0.50182893348416835</c:v>
                </c:pt>
                <c:pt idx="444">
                  <c:v>0.50167001557796032</c:v>
                </c:pt>
                <c:pt idx="445">
                  <c:v>0.50056052254192351</c:v>
                </c:pt>
                <c:pt idx="446">
                  <c:v>0.50040244062156869</c:v>
                </c:pt>
                <c:pt idx="447">
                  <c:v>0.49961358531066125</c:v>
                </c:pt>
                <c:pt idx="448">
                  <c:v>0.49835676885916191</c:v>
                </c:pt>
                <c:pt idx="449">
                  <c:v>0.49710647342787134</c:v>
                </c:pt>
                <c:pt idx="450">
                  <c:v>0.49679490971491358</c:v>
                </c:pt>
                <c:pt idx="451">
                  <c:v>0.49632831705069524</c:v>
                </c:pt>
                <c:pt idx="452">
                  <c:v>0.49570759288881971</c:v>
                </c:pt>
                <c:pt idx="453">
                  <c:v>0.49524309430964547</c:v>
                </c:pt>
                <c:pt idx="454">
                  <c:v>0.49493392385950519</c:v>
                </c:pt>
                <c:pt idx="455">
                  <c:v>0.49462514830483056</c:v>
                </c:pt>
                <c:pt idx="456">
                  <c:v>0.49400877737817961</c:v>
                </c:pt>
                <c:pt idx="457">
                  <c:v>0.49247468233332459</c:v>
                </c:pt>
                <c:pt idx="458">
                  <c:v>0.49171126210108562</c:v>
                </c:pt>
                <c:pt idx="459">
                  <c:v>0.49125436083050278</c:v>
                </c:pt>
                <c:pt idx="460">
                  <c:v>0.49095023724881626</c:v>
                </c:pt>
                <c:pt idx="461">
                  <c:v>0.4886813664884529</c:v>
                </c:pt>
                <c:pt idx="462">
                  <c:v>0.48853085851144512</c:v>
                </c:pt>
                <c:pt idx="463">
                  <c:v>0.48747989967574218</c:v>
                </c:pt>
                <c:pt idx="464">
                  <c:v>0.48688138082642773</c:v>
                </c:pt>
                <c:pt idx="465">
                  <c:v>0.48658267141989731</c:v>
                </c:pt>
                <c:pt idx="466">
                  <c:v>0.48643345377149533</c:v>
                </c:pt>
                <c:pt idx="467">
                  <c:v>0.48568873096601634</c:v>
                </c:pt>
                <c:pt idx="468">
                  <c:v>0.48464991915288069</c:v>
                </c:pt>
                <c:pt idx="469">
                  <c:v>0.4845018771936756</c:v>
                </c:pt>
                <c:pt idx="470">
                  <c:v>0.48391060366768957</c:v>
                </c:pt>
                <c:pt idx="471">
                  <c:v>0.4836155017483631</c:v>
                </c:pt>
                <c:pt idx="472">
                  <c:v>0.48346808406542979</c:v>
                </c:pt>
                <c:pt idx="473">
                  <c:v>0.48332075506882433</c:v>
                </c:pt>
                <c:pt idx="474">
                  <c:v>0.48273232348190187</c:v>
                </c:pt>
                <c:pt idx="475">
                  <c:v>0.48258543607098364</c:v>
                </c:pt>
                <c:pt idx="476">
                  <c:v>0.48185231582006888</c:v>
                </c:pt>
                <c:pt idx="477">
                  <c:v>0.48170595427915114</c:v>
                </c:pt>
                <c:pt idx="478">
                  <c:v>0.48155967995848842</c:v>
                </c:pt>
                <c:pt idx="479">
                  <c:v>0.4814134927372889</c:v>
                </c:pt>
                <c:pt idx="480">
                  <c:v>0.48126739249497064</c:v>
                </c:pt>
                <c:pt idx="481">
                  <c:v>0.48097545246570189</c:v>
                </c:pt>
                <c:pt idx="482">
                  <c:v>0.48053819176093415</c:v>
                </c:pt>
                <c:pt idx="483">
                  <c:v>0.48039261087143309</c:v>
                </c:pt>
                <c:pt idx="484">
                  <c:v>0.48024711612260373</c:v>
                </c:pt>
                <c:pt idx="485">
                  <c:v>0.4798111475320701</c:v>
                </c:pt>
                <c:pt idx="486">
                  <c:v>0.47952093033387411</c:v>
                </c:pt>
                <c:pt idx="487">
                  <c:v>0.47937594993916466</c:v>
                </c:pt>
                <c:pt idx="488">
                  <c:v>0.47807495140103584</c:v>
                </c:pt>
                <c:pt idx="489">
                  <c:v>0.47721141611924806</c:v>
                </c:pt>
                <c:pt idx="490">
                  <c:v>0.47535071137553747</c:v>
                </c:pt>
                <c:pt idx="491">
                  <c:v>0.47435455621325084</c:v>
                </c:pt>
                <c:pt idx="492">
                  <c:v>0.47421257450119675</c:v>
                </c:pt>
                <c:pt idx="493">
                  <c:v>0.47237416233210128</c:v>
                </c:pt>
                <c:pt idx="494">
                  <c:v>0.47181122098279898</c:v>
                </c:pt>
                <c:pt idx="495">
                  <c:v>0.47124954938259689</c:v>
                </c:pt>
                <c:pt idx="496">
                  <c:v>0.47026965886548272</c:v>
                </c:pt>
                <c:pt idx="497">
                  <c:v>0.46957208489913482</c:v>
                </c:pt>
                <c:pt idx="498">
                  <c:v>0.46707680274084273</c:v>
                </c:pt>
                <c:pt idx="499">
                  <c:v>0.46666332667178673</c:v>
                </c:pt>
                <c:pt idx="500">
                  <c:v>0.4658384107045877</c:v>
                </c:pt>
                <c:pt idx="501">
                  <c:v>0.46446953327076718</c:v>
                </c:pt>
                <c:pt idx="502">
                  <c:v>0.46433305373974282</c:v>
                </c:pt>
                <c:pt idx="503">
                  <c:v>0.46419664803620725</c:v>
                </c:pt>
                <c:pt idx="504">
                  <c:v>0.46392405772100359</c:v>
                </c:pt>
                <c:pt idx="505">
                  <c:v>0.46365176154562604</c:v>
                </c:pt>
                <c:pt idx="506">
                  <c:v>0.46324386709603727</c:v>
                </c:pt>
                <c:pt idx="507">
                  <c:v>0.46256550274443564</c:v>
                </c:pt>
                <c:pt idx="508">
                  <c:v>0.46243004796867421</c:v>
                </c:pt>
                <c:pt idx="509">
                  <c:v>0.46013832809041427</c:v>
                </c:pt>
                <c:pt idx="510">
                  <c:v>0.45987006949012299</c:v>
                </c:pt>
                <c:pt idx="511">
                  <c:v>0.45973604627110942</c:v>
                </c:pt>
                <c:pt idx="512">
                  <c:v>0.45960209364965404</c:v>
                </c:pt>
                <c:pt idx="513">
                  <c:v>0.45920065844939001</c:v>
                </c:pt>
                <c:pt idx="514">
                  <c:v>0.45906698729770185</c:v>
                </c:pt>
                <c:pt idx="515">
                  <c:v>0.45879985531721396</c:v>
                </c:pt>
                <c:pt idx="516">
                  <c:v>0.45866639430572004</c:v>
                </c:pt>
                <c:pt idx="517">
                  <c:v>0.45786709220867428</c:v>
                </c:pt>
                <c:pt idx="518">
                  <c:v>0.45746837821239789</c:v>
                </c:pt>
                <c:pt idx="519">
                  <c:v>0.45707028567742608</c:v>
                </c:pt>
                <c:pt idx="520">
                  <c:v>0.45654045817643713</c:v>
                </c:pt>
                <c:pt idx="521">
                  <c:v>0.45587971275342343</c:v>
                </c:pt>
                <c:pt idx="522">
                  <c:v>0.45469464677732563</c:v>
                </c:pt>
                <c:pt idx="523">
                  <c:v>0.45456330994427735</c:v>
                </c:pt>
                <c:pt idx="524">
                  <c:v>0.45430083753604195</c:v>
                </c:pt>
                <c:pt idx="525">
                  <c:v>0.45416970178834765</c:v>
                </c:pt>
                <c:pt idx="526">
                  <c:v>0.45364582650125573</c:v>
                </c:pt>
                <c:pt idx="527">
                  <c:v>0.45351502417702938</c:v>
                </c:pt>
                <c:pt idx="528">
                  <c:v>0.4532536187279208</c:v>
                </c:pt>
                <c:pt idx="529">
                  <c:v>0.45247098986091405</c:v>
                </c:pt>
                <c:pt idx="530">
                  <c:v>0.44884972920269056</c:v>
                </c:pt>
                <c:pt idx="531">
                  <c:v>0.44464555338611278</c:v>
                </c:pt>
                <c:pt idx="532">
                  <c:v>0.44439291326598679</c:v>
                </c:pt>
                <c:pt idx="533">
                  <c:v>0.44388836107715157</c:v>
                </c:pt>
                <c:pt idx="534">
                  <c:v>0.44313334388069137</c:v>
                </c:pt>
                <c:pt idx="535">
                  <c:v>0.44238048562883303</c:v>
                </c:pt>
                <c:pt idx="536">
                  <c:v>0.44187977162940545</c:v>
                </c:pt>
                <c:pt idx="537">
                  <c:v>0.44125521129717449</c:v>
                </c:pt>
                <c:pt idx="538">
                  <c:v>0.44088118208345783</c:v>
                </c:pt>
                <c:pt idx="539">
                  <c:v>0.44025897208840759</c:v>
                </c:pt>
                <c:pt idx="540">
                  <c:v>0.43914266034290178</c:v>
                </c:pt>
                <c:pt idx="541">
                  <c:v>0.43889522702322603</c:v>
                </c:pt>
                <c:pt idx="542">
                  <c:v>0.4385245081758819</c:v>
                </c:pt>
                <c:pt idx="543">
                  <c:v>0.43827764887952358</c:v>
                </c:pt>
                <c:pt idx="544">
                  <c:v>0.43643345332808831</c:v>
                </c:pt>
                <c:pt idx="545">
                  <c:v>0.43606613692239715</c:v>
                </c:pt>
                <c:pt idx="546">
                  <c:v>0.43484537334406947</c:v>
                </c:pt>
                <c:pt idx="547">
                  <c:v>0.43338774372874095</c:v>
                </c:pt>
                <c:pt idx="548">
                  <c:v>0.43217904708908134</c:v>
                </c:pt>
                <c:pt idx="549">
                  <c:v>0.4314564158309836</c:v>
                </c:pt>
                <c:pt idx="550">
                  <c:v>0.43133616462819496</c:v>
                </c:pt>
                <c:pt idx="551">
                  <c:v>0.43097573089901153</c:v>
                </c:pt>
                <c:pt idx="552">
                  <c:v>0.43073570767755442</c:v>
                </c:pt>
                <c:pt idx="553">
                  <c:v>0.42692385013063106</c:v>
                </c:pt>
                <c:pt idx="554">
                  <c:v>0.42515516596350256</c:v>
                </c:pt>
                <c:pt idx="555">
                  <c:v>0.42398232821095805</c:v>
                </c:pt>
                <c:pt idx="556">
                  <c:v>0.42386531819387852</c:v>
                </c:pt>
                <c:pt idx="557">
                  <c:v>0.42118764640955814</c:v>
                </c:pt>
                <c:pt idx="558">
                  <c:v>0.41739018275463557</c:v>
                </c:pt>
                <c:pt idx="559">
                  <c:v>0.41545378200678307</c:v>
                </c:pt>
                <c:pt idx="560">
                  <c:v>0.41522684108751712</c:v>
                </c:pt>
                <c:pt idx="561">
                  <c:v>0.41432089248757975</c:v>
                </c:pt>
                <c:pt idx="562">
                  <c:v>0.41341782858351322</c:v>
                </c:pt>
                <c:pt idx="563">
                  <c:v>0.41195643630745105</c:v>
                </c:pt>
                <c:pt idx="564">
                  <c:v>0.40783746404893101</c:v>
                </c:pt>
                <c:pt idx="565">
                  <c:v>0.40662417349366342</c:v>
                </c:pt>
                <c:pt idx="566">
                  <c:v>0.40585471532552703</c:v>
                </c:pt>
                <c:pt idx="567">
                  <c:v>0.40464967038203675</c:v>
                </c:pt>
                <c:pt idx="568">
                  <c:v>0.40421270998239861</c:v>
                </c:pt>
                <c:pt idx="569">
                  <c:v>0.3968838207201516</c:v>
                </c:pt>
                <c:pt idx="570">
                  <c:v>0.3956096807731439</c:v>
                </c:pt>
                <c:pt idx="571">
                  <c:v>0.39508046181219236</c:v>
                </c:pt>
                <c:pt idx="572">
                  <c:v>0.39434120095515768</c:v>
                </c:pt>
                <c:pt idx="573">
                  <c:v>0.38921953576594792</c:v>
                </c:pt>
                <c:pt idx="574">
                  <c:v>0.3843927065053811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2AF-4382-9251-125CE67AFDBD}"/>
            </c:ext>
          </c:extLst>
        </c:ser>
        <c:ser>
          <c:idx val="2"/>
          <c:order val="4"/>
          <c:tx>
            <c:v>RCS Log_logistic</c:v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'RCS-Plot'!$A$11:$A$585</c:f>
              <c:numCache>
                <c:formatCode>0.000</c:formatCode>
                <c:ptCount val="575"/>
                <c:pt idx="0">
                  <c:v>0</c:v>
                </c:pt>
                <c:pt idx="1">
                  <c:v>0.26283367556468173</c:v>
                </c:pt>
                <c:pt idx="2">
                  <c:v>0.49281314168377821</c:v>
                </c:pt>
                <c:pt idx="3">
                  <c:v>0.52566735112936347</c:v>
                </c:pt>
                <c:pt idx="4">
                  <c:v>0.55852156057494862</c:v>
                </c:pt>
                <c:pt idx="5">
                  <c:v>0.59137577002053388</c:v>
                </c:pt>
                <c:pt idx="6">
                  <c:v>0.95277207392197127</c:v>
                </c:pt>
                <c:pt idx="7">
                  <c:v>1.3798767967145791</c:v>
                </c:pt>
                <c:pt idx="8">
                  <c:v>1.5112936344969199</c:v>
                </c:pt>
                <c:pt idx="9">
                  <c:v>1.8726899383983573</c:v>
                </c:pt>
                <c:pt idx="10">
                  <c:v>2.0698151950718686</c:v>
                </c:pt>
                <c:pt idx="11">
                  <c:v>2.1355236139630391</c:v>
                </c:pt>
                <c:pt idx="12">
                  <c:v>2.2012320328542097</c:v>
                </c:pt>
                <c:pt idx="13">
                  <c:v>2.3326488706365502</c:v>
                </c:pt>
                <c:pt idx="14">
                  <c:v>2.3655030800821355</c:v>
                </c:pt>
                <c:pt idx="15">
                  <c:v>3.2197125256673513</c:v>
                </c:pt>
                <c:pt idx="16">
                  <c:v>3.7125256673511293</c:v>
                </c:pt>
                <c:pt idx="17">
                  <c:v>3.7453798767967146</c:v>
                </c:pt>
                <c:pt idx="18">
                  <c:v>3.9425051334702257</c:v>
                </c:pt>
                <c:pt idx="19">
                  <c:v>4.862422997946612</c:v>
                </c:pt>
                <c:pt idx="20">
                  <c:v>5.2566735112936342</c:v>
                </c:pt>
                <c:pt idx="21">
                  <c:v>5.5195071868583163</c:v>
                </c:pt>
                <c:pt idx="22">
                  <c:v>5.5523613963039011</c:v>
                </c:pt>
                <c:pt idx="23">
                  <c:v>5.6180698151950716</c:v>
                </c:pt>
                <c:pt idx="24">
                  <c:v>5.6837782340862422</c:v>
                </c:pt>
                <c:pt idx="25">
                  <c:v>5.7494866529774127</c:v>
                </c:pt>
                <c:pt idx="26">
                  <c:v>5.8151950718685832</c:v>
                </c:pt>
                <c:pt idx="27">
                  <c:v>5.9137577002053385</c:v>
                </c:pt>
                <c:pt idx="28">
                  <c:v>5.9466119096509242</c:v>
                </c:pt>
                <c:pt idx="29">
                  <c:v>6.0451745379876796</c:v>
                </c:pt>
                <c:pt idx="30">
                  <c:v>6.1108829568788501</c:v>
                </c:pt>
                <c:pt idx="31">
                  <c:v>6.2751540041067759</c:v>
                </c:pt>
                <c:pt idx="32">
                  <c:v>6.406570841889117</c:v>
                </c:pt>
                <c:pt idx="33">
                  <c:v>6.7351129363449695</c:v>
                </c:pt>
                <c:pt idx="34">
                  <c:v>6.9979466119096507</c:v>
                </c:pt>
                <c:pt idx="35">
                  <c:v>7.3264887063655033</c:v>
                </c:pt>
                <c:pt idx="36">
                  <c:v>7.4579055441478443</c:v>
                </c:pt>
                <c:pt idx="37">
                  <c:v>7.523613963039014</c:v>
                </c:pt>
                <c:pt idx="38">
                  <c:v>7.655030800821355</c:v>
                </c:pt>
                <c:pt idx="39">
                  <c:v>7.8193018480492817</c:v>
                </c:pt>
                <c:pt idx="40">
                  <c:v>7.9178644763860371</c:v>
                </c:pt>
                <c:pt idx="41">
                  <c:v>7.9507186858316219</c:v>
                </c:pt>
                <c:pt idx="42">
                  <c:v>8.1149897330595486</c:v>
                </c:pt>
                <c:pt idx="43">
                  <c:v>8.1806981519507183</c:v>
                </c:pt>
                <c:pt idx="44">
                  <c:v>8.2464065708418897</c:v>
                </c:pt>
                <c:pt idx="45">
                  <c:v>8.9363449691991779</c:v>
                </c:pt>
                <c:pt idx="46">
                  <c:v>8.9691991786447645</c:v>
                </c:pt>
                <c:pt idx="47">
                  <c:v>9.0349075975359341</c:v>
                </c:pt>
                <c:pt idx="48">
                  <c:v>9.0677618069815189</c:v>
                </c:pt>
                <c:pt idx="49">
                  <c:v>9.2320328542094447</c:v>
                </c:pt>
                <c:pt idx="50">
                  <c:v>9.3634496919917858</c:v>
                </c:pt>
                <c:pt idx="51">
                  <c:v>9.3963039014373724</c:v>
                </c:pt>
                <c:pt idx="52">
                  <c:v>9.462012320328542</c:v>
                </c:pt>
                <c:pt idx="53">
                  <c:v>9.6262833675564679</c:v>
                </c:pt>
                <c:pt idx="54">
                  <c:v>9.7248459958932241</c:v>
                </c:pt>
                <c:pt idx="55">
                  <c:v>10.020533880903491</c:v>
                </c:pt>
                <c:pt idx="56">
                  <c:v>10.086242299794661</c:v>
                </c:pt>
                <c:pt idx="57">
                  <c:v>10.119096509240247</c:v>
                </c:pt>
                <c:pt idx="58">
                  <c:v>10.184804928131417</c:v>
                </c:pt>
                <c:pt idx="59">
                  <c:v>10.381930184804927</c:v>
                </c:pt>
                <c:pt idx="60">
                  <c:v>10.480492813141684</c:v>
                </c:pt>
                <c:pt idx="61">
                  <c:v>10.57905544147844</c:v>
                </c:pt>
                <c:pt idx="62">
                  <c:v>10.809034907597535</c:v>
                </c:pt>
                <c:pt idx="63">
                  <c:v>11.039014373716633</c:v>
                </c:pt>
                <c:pt idx="64">
                  <c:v>11.104722792607802</c:v>
                </c:pt>
                <c:pt idx="65">
                  <c:v>11.268993839835728</c:v>
                </c:pt>
                <c:pt idx="66">
                  <c:v>11.301848049281315</c:v>
                </c:pt>
                <c:pt idx="67">
                  <c:v>11.433264887063656</c:v>
                </c:pt>
                <c:pt idx="68">
                  <c:v>11.498973305954825</c:v>
                </c:pt>
                <c:pt idx="69">
                  <c:v>11.597535934291582</c:v>
                </c:pt>
                <c:pt idx="70">
                  <c:v>11.728952772073923</c:v>
                </c:pt>
                <c:pt idx="71">
                  <c:v>11.761806981519507</c:v>
                </c:pt>
                <c:pt idx="72">
                  <c:v>11.794661190965092</c:v>
                </c:pt>
                <c:pt idx="73">
                  <c:v>11.827515400410677</c:v>
                </c:pt>
                <c:pt idx="74">
                  <c:v>12.090349075975359</c:v>
                </c:pt>
                <c:pt idx="75">
                  <c:v>12.123203285420944</c:v>
                </c:pt>
                <c:pt idx="76">
                  <c:v>12.156057494866531</c:v>
                </c:pt>
                <c:pt idx="77">
                  <c:v>12.188911704312115</c:v>
                </c:pt>
                <c:pt idx="78">
                  <c:v>12.2217659137577</c:v>
                </c:pt>
                <c:pt idx="79">
                  <c:v>12.28747433264887</c:v>
                </c:pt>
                <c:pt idx="80">
                  <c:v>12.320328542094456</c:v>
                </c:pt>
                <c:pt idx="81">
                  <c:v>12.386036960985626</c:v>
                </c:pt>
                <c:pt idx="82">
                  <c:v>12.451745379876797</c:v>
                </c:pt>
                <c:pt idx="83">
                  <c:v>12.648870636550308</c:v>
                </c:pt>
                <c:pt idx="84">
                  <c:v>12.878850102669405</c:v>
                </c:pt>
                <c:pt idx="85">
                  <c:v>12.944558521560575</c:v>
                </c:pt>
                <c:pt idx="86">
                  <c:v>13.240246406570842</c:v>
                </c:pt>
                <c:pt idx="87">
                  <c:v>13.470225872689939</c:v>
                </c:pt>
                <c:pt idx="88">
                  <c:v>13.634496919917865</c:v>
                </c:pt>
                <c:pt idx="89">
                  <c:v>13.700205338809035</c:v>
                </c:pt>
                <c:pt idx="90">
                  <c:v>13.798767967145791</c:v>
                </c:pt>
                <c:pt idx="91">
                  <c:v>13.930184804928132</c:v>
                </c:pt>
                <c:pt idx="92">
                  <c:v>13.995893223819301</c:v>
                </c:pt>
                <c:pt idx="93">
                  <c:v>14.094455852156058</c:v>
                </c:pt>
                <c:pt idx="94">
                  <c:v>14.193018480492814</c:v>
                </c:pt>
                <c:pt idx="95">
                  <c:v>14.324435318275153</c:v>
                </c:pt>
                <c:pt idx="96">
                  <c:v>14.390143737166325</c:v>
                </c:pt>
                <c:pt idx="97">
                  <c:v>14.652977412731007</c:v>
                </c:pt>
                <c:pt idx="98">
                  <c:v>14.718685831622176</c:v>
                </c:pt>
                <c:pt idx="99">
                  <c:v>14.751540041067761</c:v>
                </c:pt>
                <c:pt idx="100">
                  <c:v>14.948665297741274</c:v>
                </c:pt>
                <c:pt idx="101">
                  <c:v>14.981519507186858</c:v>
                </c:pt>
                <c:pt idx="102">
                  <c:v>15.112936344969199</c:v>
                </c:pt>
                <c:pt idx="103">
                  <c:v>15.145790554414784</c:v>
                </c:pt>
                <c:pt idx="104">
                  <c:v>15.211498973305956</c:v>
                </c:pt>
                <c:pt idx="105">
                  <c:v>15.277207392197125</c:v>
                </c:pt>
                <c:pt idx="106">
                  <c:v>15.474332648870636</c:v>
                </c:pt>
                <c:pt idx="107">
                  <c:v>15.540041067761807</c:v>
                </c:pt>
                <c:pt idx="108">
                  <c:v>15.605749486652977</c:v>
                </c:pt>
                <c:pt idx="109">
                  <c:v>15.638603696098563</c:v>
                </c:pt>
                <c:pt idx="110">
                  <c:v>15.802874743326489</c:v>
                </c:pt>
                <c:pt idx="111">
                  <c:v>15.967145790554415</c:v>
                </c:pt>
                <c:pt idx="112">
                  <c:v>16.032854209445585</c:v>
                </c:pt>
                <c:pt idx="113">
                  <c:v>16.098562628336754</c:v>
                </c:pt>
                <c:pt idx="114">
                  <c:v>16.131416837782339</c:v>
                </c:pt>
                <c:pt idx="115">
                  <c:v>16.262833675564682</c:v>
                </c:pt>
                <c:pt idx="116">
                  <c:v>16.361396303901437</c:v>
                </c:pt>
                <c:pt idx="117">
                  <c:v>16.427104722792606</c:v>
                </c:pt>
                <c:pt idx="118">
                  <c:v>16.492813141683779</c:v>
                </c:pt>
                <c:pt idx="119">
                  <c:v>16.525667351129364</c:v>
                </c:pt>
                <c:pt idx="120">
                  <c:v>16.558521560574949</c:v>
                </c:pt>
                <c:pt idx="121">
                  <c:v>16.919917864476385</c:v>
                </c:pt>
                <c:pt idx="122">
                  <c:v>17.018480492813143</c:v>
                </c:pt>
                <c:pt idx="123">
                  <c:v>17.248459958932237</c:v>
                </c:pt>
                <c:pt idx="124">
                  <c:v>17.281314168377822</c:v>
                </c:pt>
                <c:pt idx="125">
                  <c:v>17.37987679671458</c:v>
                </c:pt>
                <c:pt idx="126">
                  <c:v>17.412731006160165</c:v>
                </c:pt>
                <c:pt idx="127">
                  <c:v>17.511293634496919</c:v>
                </c:pt>
                <c:pt idx="128">
                  <c:v>17.577002053388089</c:v>
                </c:pt>
                <c:pt idx="129">
                  <c:v>17.609856262833677</c:v>
                </c:pt>
                <c:pt idx="130">
                  <c:v>17.642710472279262</c:v>
                </c:pt>
                <c:pt idx="131">
                  <c:v>17.741273100616016</c:v>
                </c:pt>
                <c:pt idx="132">
                  <c:v>17.774127310061601</c:v>
                </c:pt>
                <c:pt idx="133">
                  <c:v>17.806981519507186</c:v>
                </c:pt>
                <c:pt idx="134">
                  <c:v>17.872689938398356</c:v>
                </c:pt>
                <c:pt idx="135">
                  <c:v>17.905544147843944</c:v>
                </c:pt>
                <c:pt idx="136">
                  <c:v>17.938398357289529</c:v>
                </c:pt>
                <c:pt idx="137">
                  <c:v>17.971252566735114</c:v>
                </c:pt>
                <c:pt idx="138">
                  <c:v>18.004106776180699</c:v>
                </c:pt>
                <c:pt idx="139">
                  <c:v>18.069815195071868</c:v>
                </c:pt>
                <c:pt idx="140">
                  <c:v>18.135523613963038</c:v>
                </c:pt>
                <c:pt idx="141">
                  <c:v>18.168377823408623</c:v>
                </c:pt>
                <c:pt idx="142">
                  <c:v>18.201232032854211</c:v>
                </c:pt>
                <c:pt idx="143">
                  <c:v>18.299794661190965</c:v>
                </c:pt>
                <c:pt idx="144">
                  <c:v>18.365503080082135</c:v>
                </c:pt>
                <c:pt idx="145">
                  <c:v>18.496919917864478</c:v>
                </c:pt>
                <c:pt idx="146">
                  <c:v>18.529774127310063</c:v>
                </c:pt>
                <c:pt idx="147">
                  <c:v>18.595482546201232</c:v>
                </c:pt>
                <c:pt idx="148">
                  <c:v>18.628336755646817</c:v>
                </c:pt>
                <c:pt idx="149">
                  <c:v>18.726899383983572</c:v>
                </c:pt>
                <c:pt idx="150">
                  <c:v>18.759753593429156</c:v>
                </c:pt>
                <c:pt idx="151">
                  <c:v>18.82546201232033</c:v>
                </c:pt>
                <c:pt idx="152">
                  <c:v>18.891170431211499</c:v>
                </c:pt>
                <c:pt idx="153">
                  <c:v>18.956878850102669</c:v>
                </c:pt>
                <c:pt idx="154">
                  <c:v>18.989733059548254</c:v>
                </c:pt>
                <c:pt idx="155">
                  <c:v>19.022587268993838</c:v>
                </c:pt>
                <c:pt idx="156">
                  <c:v>19.252566735112936</c:v>
                </c:pt>
                <c:pt idx="157">
                  <c:v>19.515400410677618</c:v>
                </c:pt>
                <c:pt idx="158">
                  <c:v>19.548254620123203</c:v>
                </c:pt>
                <c:pt idx="159">
                  <c:v>19.581108829568787</c:v>
                </c:pt>
                <c:pt idx="160">
                  <c:v>19.646817248459961</c:v>
                </c:pt>
                <c:pt idx="161">
                  <c:v>19.71252566735113</c:v>
                </c:pt>
                <c:pt idx="162">
                  <c:v>20.106776180698152</c:v>
                </c:pt>
                <c:pt idx="163">
                  <c:v>20.205338809034906</c:v>
                </c:pt>
                <c:pt idx="164">
                  <c:v>20.435318275154003</c:v>
                </c:pt>
                <c:pt idx="165">
                  <c:v>20.468172484599588</c:v>
                </c:pt>
                <c:pt idx="166">
                  <c:v>20.501026694045173</c:v>
                </c:pt>
                <c:pt idx="167">
                  <c:v>20.632443531827516</c:v>
                </c:pt>
                <c:pt idx="168">
                  <c:v>20.6652977412731</c:v>
                </c:pt>
                <c:pt idx="169">
                  <c:v>20.73100616016427</c:v>
                </c:pt>
                <c:pt idx="170">
                  <c:v>20.763860369609855</c:v>
                </c:pt>
                <c:pt idx="171">
                  <c:v>20.928131416837783</c:v>
                </c:pt>
                <c:pt idx="172">
                  <c:v>21.223819301848049</c:v>
                </c:pt>
                <c:pt idx="173">
                  <c:v>21.289527720739219</c:v>
                </c:pt>
                <c:pt idx="174">
                  <c:v>21.355236139630389</c:v>
                </c:pt>
                <c:pt idx="175">
                  <c:v>21.388090349075977</c:v>
                </c:pt>
                <c:pt idx="176">
                  <c:v>21.420944558521562</c:v>
                </c:pt>
                <c:pt idx="177">
                  <c:v>21.585215605749486</c:v>
                </c:pt>
                <c:pt idx="178">
                  <c:v>21.749486652977414</c:v>
                </c:pt>
                <c:pt idx="179">
                  <c:v>21.782340862422998</c:v>
                </c:pt>
                <c:pt idx="180">
                  <c:v>22.012320328542096</c:v>
                </c:pt>
                <c:pt idx="181">
                  <c:v>22.17659137577002</c:v>
                </c:pt>
                <c:pt idx="182">
                  <c:v>22.308008213552363</c:v>
                </c:pt>
                <c:pt idx="183">
                  <c:v>22.570841889117045</c:v>
                </c:pt>
                <c:pt idx="184">
                  <c:v>22.735112936344969</c:v>
                </c:pt>
                <c:pt idx="185">
                  <c:v>22.833675564681723</c:v>
                </c:pt>
                <c:pt idx="186">
                  <c:v>22.932238193018481</c:v>
                </c:pt>
                <c:pt idx="187">
                  <c:v>23.227926078028748</c:v>
                </c:pt>
                <c:pt idx="188">
                  <c:v>23.392197125256672</c:v>
                </c:pt>
                <c:pt idx="189">
                  <c:v>23.457905544147845</c:v>
                </c:pt>
                <c:pt idx="190">
                  <c:v>23.5564681724846</c:v>
                </c:pt>
                <c:pt idx="191">
                  <c:v>23.687885010266939</c:v>
                </c:pt>
                <c:pt idx="192">
                  <c:v>23.720739219712527</c:v>
                </c:pt>
                <c:pt idx="193">
                  <c:v>23.753593429158112</c:v>
                </c:pt>
                <c:pt idx="194">
                  <c:v>23.885010266940451</c:v>
                </c:pt>
                <c:pt idx="195">
                  <c:v>23.950718685831621</c:v>
                </c:pt>
                <c:pt idx="196">
                  <c:v>23.983572895277206</c:v>
                </c:pt>
                <c:pt idx="197">
                  <c:v>24.016427104722794</c:v>
                </c:pt>
                <c:pt idx="198">
                  <c:v>24.049281314168379</c:v>
                </c:pt>
                <c:pt idx="199">
                  <c:v>24.082135523613964</c:v>
                </c:pt>
                <c:pt idx="200">
                  <c:v>24.114989733059549</c:v>
                </c:pt>
                <c:pt idx="201">
                  <c:v>24.213552361396303</c:v>
                </c:pt>
                <c:pt idx="202">
                  <c:v>24.312114989733061</c:v>
                </c:pt>
                <c:pt idx="203">
                  <c:v>24.344969199178646</c:v>
                </c:pt>
                <c:pt idx="204">
                  <c:v>24.377823408624231</c:v>
                </c:pt>
                <c:pt idx="205">
                  <c:v>24.476386036960985</c:v>
                </c:pt>
                <c:pt idx="206">
                  <c:v>24.542094455852155</c:v>
                </c:pt>
                <c:pt idx="207">
                  <c:v>24.57494866529774</c:v>
                </c:pt>
                <c:pt idx="208">
                  <c:v>24.673511293634498</c:v>
                </c:pt>
                <c:pt idx="209">
                  <c:v>24.739219712525667</c:v>
                </c:pt>
                <c:pt idx="210">
                  <c:v>24.772073921971252</c:v>
                </c:pt>
                <c:pt idx="211">
                  <c:v>24.804928131416837</c:v>
                </c:pt>
                <c:pt idx="212">
                  <c:v>24.903490759753595</c:v>
                </c:pt>
                <c:pt idx="213">
                  <c:v>25.002053388090349</c:v>
                </c:pt>
                <c:pt idx="214">
                  <c:v>25.034907597535934</c:v>
                </c:pt>
                <c:pt idx="215">
                  <c:v>25.166324435318277</c:v>
                </c:pt>
                <c:pt idx="216">
                  <c:v>25.232032854209447</c:v>
                </c:pt>
                <c:pt idx="217">
                  <c:v>25.264887063655031</c:v>
                </c:pt>
                <c:pt idx="218">
                  <c:v>25.297741273100616</c:v>
                </c:pt>
                <c:pt idx="219">
                  <c:v>25.363449691991786</c:v>
                </c:pt>
                <c:pt idx="220">
                  <c:v>25.494866529774129</c:v>
                </c:pt>
                <c:pt idx="221">
                  <c:v>25.593429158110883</c:v>
                </c:pt>
                <c:pt idx="222">
                  <c:v>25.757700205338811</c:v>
                </c:pt>
                <c:pt idx="223">
                  <c:v>25.95482546201232</c:v>
                </c:pt>
                <c:pt idx="224">
                  <c:v>26.020533880903489</c:v>
                </c:pt>
                <c:pt idx="225">
                  <c:v>26.119096509240247</c:v>
                </c:pt>
                <c:pt idx="226">
                  <c:v>26.184804928131417</c:v>
                </c:pt>
                <c:pt idx="227">
                  <c:v>26.217659137577002</c:v>
                </c:pt>
                <c:pt idx="228">
                  <c:v>26.250513347022586</c:v>
                </c:pt>
                <c:pt idx="229">
                  <c:v>26.316221765913756</c:v>
                </c:pt>
                <c:pt idx="230">
                  <c:v>26.447638603696099</c:v>
                </c:pt>
                <c:pt idx="231">
                  <c:v>26.480492813141684</c:v>
                </c:pt>
                <c:pt idx="232">
                  <c:v>26.90759753593429</c:v>
                </c:pt>
                <c:pt idx="233">
                  <c:v>27.104722792607802</c:v>
                </c:pt>
                <c:pt idx="234">
                  <c:v>27.170431211498972</c:v>
                </c:pt>
                <c:pt idx="235">
                  <c:v>27.20328542094456</c:v>
                </c:pt>
                <c:pt idx="236">
                  <c:v>27.466119096509239</c:v>
                </c:pt>
                <c:pt idx="237">
                  <c:v>27.531827515400412</c:v>
                </c:pt>
                <c:pt idx="238">
                  <c:v>27.630390143737166</c:v>
                </c:pt>
                <c:pt idx="239">
                  <c:v>27.663244353182751</c:v>
                </c:pt>
                <c:pt idx="240">
                  <c:v>28.024640657084188</c:v>
                </c:pt>
                <c:pt idx="241">
                  <c:v>28.057494866529773</c:v>
                </c:pt>
                <c:pt idx="242">
                  <c:v>28.090349075975361</c:v>
                </c:pt>
                <c:pt idx="243">
                  <c:v>28.156057494866531</c:v>
                </c:pt>
                <c:pt idx="244">
                  <c:v>28.188911704312115</c:v>
                </c:pt>
                <c:pt idx="245">
                  <c:v>28.2217659137577</c:v>
                </c:pt>
                <c:pt idx="246">
                  <c:v>28.28747433264887</c:v>
                </c:pt>
                <c:pt idx="247">
                  <c:v>28.418891170431213</c:v>
                </c:pt>
                <c:pt idx="248">
                  <c:v>28.451745379876797</c:v>
                </c:pt>
                <c:pt idx="249">
                  <c:v>28.484599589322382</c:v>
                </c:pt>
                <c:pt idx="250">
                  <c:v>28.583162217659137</c:v>
                </c:pt>
                <c:pt idx="251">
                  <c:v>28.780287474332649</c:v>
                </c:pt>
                <c:pt idx="252">
                  <c:v>28.813141683778234</c:v>
                </c:pt>
                <c:pt idx="253">
                  <c:v>29.010266940451746</c:v>
                </c:pt>
                <c:pt idx="254">
                  <c:v>29.17453798767967</c:v>
                </c:pt>
                <c:pt idx="255">
                  <c:v>29.207392197125255</c:v>
                </c:pt>
                <c:pt idx="256">
                  <c:v>29.240246406570844</c:v>
                </c:pt>
                <c:pt idx="257">
                  <c:v>29.273100616016428</c:v>
                </c:pt>
                <c:pt idx="258">
                  <c:v>29.305954825462013</c:v>
                </c:pt>
                <c:pt idx="259">
                  <c:v>29.338809034907598</c:v>
                </c:pt>
                <c:pt idx="260">
                  <c:v>30.094455852156056</c:v>
                </c:pt>
                <c:pt idx="261">
                  <c:v>30.160164271047229</c:v>
                </c:pt>
                <c:pt idx="262">
                  <c:v>30.652977412731005</c:v>
                </c:pt>
                <c:pt idx="263">
                  <c:v>30.751540041067763</c:v>
                </c:pt>
                <c:pt idx="264">
                  <c:v>30.882956878850102</c:v>
                </c:pt>
                <c:pt idx="265">
                  <c:v>30.948665297741272</c:v>
                </c:pt>
                <c:pt idx="266">
                  <c:v>31.04722792607803</c:v>
                </c:pt>
                <c:pt idx="267">
                  <c:v>31.408624229979466</c:v>
                </c:pt>
                <c:pt idx="268">
                  <c:v>31.507186858316221</c:v>
                </c:pt>
                <c:pt idx="269">
                  <c:v>31.540041067761805</c:v>
                </c:pt>
                <c:pt idx="270">
                  <c:v>31.671457905544148</c:v>
                </c:pt>
                <c:pt idx="271">
                  <c:v>31.770020533880903</c:v>
                </c:pt>
                <c:pt idx="272">
                  <c:v>31.835728952772072</c:v>
                </c:pt>
                <c:pt idx="273">
                  <c:v>31.868583162217661</c:v>
                </c:pt>
                <c:pt idx="274">
                  <c:v>31.93429158110883</c:v>
                </c:pt>
                <c:pt idx="275">
                  <c:v>31.967145790554415</c:v>
                </c:pt>
                <c:pt idx="276">
                  <c:v>32</c:v>
                </c:pt>
                <c:pt idx="277">
                  <c:v>32.229979466119097</c:v>
                </c:pt>
                <c:pt idx="278">
                  <c:v>32.262833675564679</c:v>
                </c:pt>
                <c:pt idx="279">
                  <c:v>32.295687885010267</c:v>
                </c:pt>
                <c:pt idx="280">
                  <c:v>32.394250513347025</c:v>
                </c:pt>
                <c:pt idx="281">
                  <c:v>32.558521560574945</c:v>
                </c:pt>
                <c:pt idx="282">
                  <c:v>32.689938398357292</c:v>
                </c:pt>
                <c:pt idx="283">
                  <c:v>32.919917864476389</c:v>
                </c:pt>
                <c:pt idx="284">
                  <c:v>33.281314168377826</c:v>
                </c:pt>
                <c:pt idx="285">
                  <c:v>34.036960985626287</c:v>
                </c:pt>
                <c:pt idx="286">
                  <c:v>34.266940451745377</c:v>
                </c:pt>
                <c:pt idx="287">
                  <c:v>34.792607802874741</c:v>
                </c:pt>
                <c:pt idx="288">
                  <c:v>34.891170431211499</c:v>
                </c:pt>
                <c:pt idx="289">
                  <c:v>35.383983572895275</c:v>
                </c:pt>
                <c:pt idx="290">
                  <c:v>35.416837782340863</c:v>
                </c:pt>
                <c:pt idx="291">
                  <c:v>35.482546201232033</c:v>
                </c:pt>
                <c:pt idx="292">
                  <c:v>35.745379876796711</c:v>
                </c:pt>
                <c:pt idx="293">
                  <c:v>35.7782340862423</c:v>
                </c:pt>
                <c:pt idx="294">
                  <c:v>35.811088295687888</c:v>
                </c:pt>
                <c:pt idx="295">
                  <c:v>35.843942505133469</c:v>
                </c:pt>
                <c:pt idx="296">
                  <c:v>35.909650924024639</c:v>
                </c:pt>
                <c:pt idx="297">
                  <c:v>35.942505133470227</c:v>
                </c:pt>
                <c:pt idx="298">
                  <c:v>35.975359342915809</c:v>
                </c:pt>
                <c:pt idx="299">
                  <c:v>36.139630390143736</c:v>
                </c:pt>
                <c:pt idx="300">
                  <c:v>36.303901437371664</c:v>
                </c:pt>
                <c:pt idx="301">
                  <c:v>36.402464065708422</c:v>
                </c:pt>
                <c:pt idx="302">
                  <c:v>36.435318275154003</c:v>
                </c:pt>
                <c:pt idx="303">
                  <c:v>36.566735112936342</c:v>
                </c:pt>
                <c:pt idx="304">
                  <c:v>36.599589322381931</c:v>
                </c:pt>
                <c:pt idx="305">
                  <c:v>36.698151950718689</c:v>
                </c:pt>
                <c:pt idx="306">
                  <c:v>36.763860369609858</c:v>
                </c:pt>
                <c:pt idx="307">
                  <c:v>36.79671457905544</c:v>
                </c:pt>
                <c:pt idx="308">
                  <c:v>36.960985626283367</c:v>
                </c:pt>
                <c:pt idx="309">
                  <c:v>37.453798767967143</c:v>
                </c:pt>
                <c:pt idx="310">
                  <c:v>37.650924024640659</c:v>
                </c:pt>
                <c:pt idx="311">
                  <c:v>37.782340862422998</c:v>
                </c:pt>
                <c:pt idx="312">
                  <c:v>37.848049281314168</c:v>
                </c:pt>
                <c:pt idx="313">
                  <c:v>38.012320328542096</c:v>
                </c:pt>
                <c:pt idx="314">
                  <c:v>38.176591375770023</c:v>
                </c:pt>
                <c:pt idx="315">
                  <c:v>38.209445585215605</c:v>
                </c:pt>
                <c:pt idx="316">
                  <c:v>38.242299794661193</c:v>
                </c:pt>
                <c:pt idx="317">
                  <c:v>38.340862422997944</c:v>
                </c:pt>
                <c:pt idx="318">
                  <c:v>38.406570841889121</c:v>
                </c:pt>
                <c:pt idx="319">
                  <c:v>38.439425051334702</c:v>
                </c:pt>
                <c:pt idx="320">
                  <c:v>38.47227926078029</c:v>
                </c:pt>
                <c:pt idx="321">
                  <c:v>38.570841889117041</c:v>
                </c:pt>
                <c:pt idx="322">
                  <c:v>38.669404517453799</c:v>
                </c:pt>
                <c:pt idx="323">
                  <c:v>38.833675564681727</c:v>
                </c:pt>
                <c:pt idx="324">
                  <c:v>38.866529774127308</c:v>
                </c:pt>
                <c:pt idx="325">
                  <c:v>38.932238193018478</c:v>
                </c:pt>
                <c:pt idx="326">
                  <c:v>39.162217659137575</c:v>
                </c:pt>
                <c:pt idx="327">
                  <c:v>39.195071868583163</c:v>
                </c:pt>
                <c:pt idx="328">
                  <c:v>39.260780287474333</c:v>
                </c:pt>
                <c:pt idx="329">
                  <c:v>39.589322381930188</c:v>
                </c:pt>
                <c:pt idx="330">
                  <c:v>39.655030800821358</c:v>
                </c:pt>
                <c:pt idx="331">
                  <c:v>39.687885010266939</c:v>
                </c:pt>
                <c:pt idx="332">
                  <c:v>39.819301848049278</c:v>
                </c:pt>
                <c:pt idx="333">
                  <c:v>40.016427104722794</c:v>
                </c:pt>
                <c:pt idx="334">
                  <c:v>40.049281314168375</c:v>
                </c:pt>
                <c:pt idx="335">
                  <c:v>40.147843942505133</c:v>
                </c:pt>
                <c:pt idx="336">
                  <c:v>40.246406570841891</c:v>
                </c:pt>
                <c:pt idx="337">
                  <c:v>40.410677618069812</c:v>
                </c:pt>
                <c:pt idx="338">
                  <c:v>40.4435318275154</c:v>
                </c:pt>
                <c:pt idx="339">
                  <c:v>40.476386036960989</c:v>
                </c:pt>
                <c:pt idx="340">
                  <c:v>40.50924024640657</c:v>
                </c:pt>
                <c:pt idx="341">
                  <c:v>40.739219712525667</c:v>
                </c:pt>
                <c:pt idx="342">
                  <c:v>40.837782340862425</c:v>
                </c:pt>
                <c:pt idx="343">
                  <c:v>40.936344969199176</c:v>
                </c:pt>
                <c:pt idx="344">
                  <c:v>41.067761806981522</c:v>
                </c:pt>
                <c:pt idx="345">
                  <c:v>41.166324435318273</c:v>
                </c:pt>
                <c:pt idx="346">
                  <c:v>41.52772073921971</c:v>
                </c:pt>
                <c:pt idx="347">
                  <c:v>41.954825462012323</c:v>
                </c:pt>
                <c:pt idx="348">
                  <c:v>42.020533880903493</c:v>
                </c:pt>
                <c:pt idx="349">
                  <c:v>42.053388090349074</c:v>
                </c:pt>
                <c:pt idx="350">
                  <c:v>42.151950718685832</c:v>
                </c:pt>
                <c:pt idx="351">
                  <c:v>42.579055441478438</c:v>
                </c:pt>
                <c:pt idx="352">
                  <c:v>42.907597535934293</c:v>
                </c:pt>
                <c:pt idx="353">
                  <c:v>43.26899383983573</c:v>
                </c:pt>
                <c:pt idx="354">
                  <c:v>43.466119096509239</c:v>
                </c:pt>
                <c:pt idx="355">
                  <c:v>43.663244353182755</c:v>
                </c:pt>
                <c:pt idx="356">
                  <c:v>43.728952772073924</c:v>
                </c:pt>
                <c:pt idx="357">
                  <c:v>43.926078028747433</c:v>
                </c:pt>
                <c:pt idx="358">
                  <c:v>44.024640657084191</c:v>
                </c:pt>
                <c:pt idx="359">
                  <c:v>44.057494866529773</c:v>
                </c:pt>
                <c:pt idx="360">
                  <c:v>44.090349075975361</c:v>
                </c:pt>
                <c:pt idx="361">
                  <c:v>44.123203285420942</c:v>
                </c:pt>
                <c:pt idx="362">
                  <c:v>44.320328542094458</c:v>
                </c:pt>
                <c:pt idx="363">
                  <c:v>44.353182751540039</c:v>
                </c:pt>
                <c:pt idx="364">
                  <c:v>44.386036960985628</c:v>
                </c:pt>
                <c:pt idx="365">
                  <c:v>44.418891170431209</c:v>
                </c:pt>
                <c:pt idx="366">
                  <c:v>44.517453798767967</c:v>
                </c:pt>
                <c:pt idx="367">
                  <c:v>44.550308008213555</c:v>
                </c:pt>
                <c:pt idx="368">
                  <c:v>44.583162217659137</c:v>
                </c:pt>
                <c:pt idx="369">
                  <c:v>44.616016427104725</c:v>
                </c:pt>
                <c:pt idx="370">
                  <c:v>44.780287474332646</c:v>
                </c:pt>
                <c:pt idx="371">
                  <c:v>44.813141683778234</c:v>
                </c:pt>
                <c:pt idx="372">
                  <c:v>44.878850102669404</c:v>
                </c:pt>
                <c:pt idx="373">
                  <c:v>45.043121149897331</c:v>
                </c:pt>
                <c:pt idx="374">
                  <c:v>45.568788501026695</c:v>
                </c:pt>
                <c:pt idx="375">
                  <c:v>45.601642710472277</c:v>
                </c:pt>
                <c:pt idx="376">
                  <c:v>46.02874743326489</c:v>
                </c:pt>
                <c:pt idx="377">
                  <c:v>46.652977412731005</c:v>
                </c:pt>
                <c:pt idx="378">
                  <c:v>46.882956878850102</c:v>
                </c:pt>
                <c:pt idx="379">
                  <c:v>47.04722792607803</c:v>
                </c:pt>
                <c:pt idx="380">
                  <c:v>47.112936344969199</c:v>
                </c:pt>
                <c:pt idx="381">
                  <c:v>47.145790554414788</c:v>
                </c:pt>
                <c:pt idx="382">
                  <c:v>47.342915811088297</c:v>
                </c:pt>
                <c:pt idx="383">
                  <c:v>47.408624229979466</c:v>
                </c:pt>
                <c:pt idx="384">
                  <c:v>47.605749486652975</c:v>
                </c:pt>
                <c:pt idx="385">
                  <c:v>47.93429158110883</c:v>
                </c:pt>
                <c:pt idx="386">
                  <c:v>47.967145790554412</c:v>
                </c:pt>
                <c:pt idx="387">
                  <c:v>48.06570841889117</c:v>
                </c:pt>
                <c:pt idx="388">
                  <c:v>48.262833675564679</c:v>
                </c:pt>
                <c:pt idx="389">
                  <c:v>48.361396303901437</c:v>
                </c:pt>
                <c:pt idx="390">
                  <c:v>48.459958932238195</c:v>
                </c:pt>
                <c:pt idx="391">
                  <c:v>48.657084188911703</c:v>
                </c:pt>
                <c:pt idx="392">
                  <c:v>48.722792607802873</c:v>
                </c:pt>
                <c:pt idx="393">
                  <c:v>48.821355236139631</c:v>
                </c:pt>
                <c:pt idx="394">
                  <c:v>48.95277207392197</c:v>
                </c:pt>
                <c:pt idx="395">
                  <c:v>49.051334702258728</c:v>
                </c:pt>
                <c:pt idx="396">
                  <c:v>49.248459958932237</c:v>
                </c:pt>
                <c:pt idx="397">
                  <c:v>49.347022587268995</c:v>
                </c:pt>
                <c:pt idx="398">
                  <c:v>49.445585215605746</c:v>
                </c:pt>
                <c:pt idx="399">
                  <c:v>49.741273100616013</c:v>
                </c:pt>
                <c:pt idx="400">
                  <c:v>49.97125256673511</c:v>
                </c:pt>
                <c:pt idx="401">
                  <c:v>50.102669404517457</c:v>
                </c:pt>
                <c:pt idx="402">
                  <c:v>50.168377823408626</c:v>
                </c:pt>
                <c:pt idx="403">
                  <c:v>50.201232032854207</c:v>
                </c:pt>
                <c:pt idx="404">
                  <c:v>51.154004106776178</c:v>
                </c:pt>
                <c:pt idx="405">
                  <c:v>51.252566735112936</c:v>
                </c:pt>
                <c:pt idx="406">
                  <c:v>51.581108829568791</c:v>
                </c:pt>
                <c:pt idx="407">
                  <c:v>51.843942505133469</c:v>
                </c:pt>
                <c:pt idx="408">
                  <c:v>51.975359342915809</c:v>
                </c:pt>
                <c:pt idx="409">
                  <c:v>52.139630390143736</c:v>
                </c:pt>
                <c:pt idx="410">
                  <c:v>52.205338809034906</c:v>
                </c:pt>
                <c:pt idx="411">
                  <c:v>52.501026694045173</c:v>
                </c:pt>
                <c:pt idx="412">
                  <c:v>52.566735112936342</c:v>
                </c:pt>
                <c:pt idx="413">
                  <c:v>52.599589322381931</c:v>
                </c:pt>
                <c:pt idx="414">
                  <c:v>52.6652977412731</c:v>
                </c:pt>
                <c:pt idx="415">
                  <c:v>52.698151950718689</c:v>
                </c:pt>
                <c:pt idx="416">
                  <c:v>53.125256673511295</c:v>
                </c:pt>
                <c:pt idx="417">
                  <c:v>53.355236139630392</c:v>
                </c:pt>
                <c:pt idx="418">
                  <c:v>53.388090349075974</c:v>
                </c:pt>
                <c:pt idx="419">
                  <c:v>53.453798767967143</c:v>
                </c:pt>
                <c:pt idx="420">
                  <c:v>53.519507186858313</c:v>
                </c:pt>
                <c:pt idx="421">
                  <c:v>53.618069815195071</c:v>
                </c:pt>
                <c:pt idx="422">
                  <c:v>53.782340862422998</c:v>
                </c:pt>
                <c:pt idx="423">
                  <c:v>53.913757700205338</c:v>
                </c:pt>
                <c:pt idx="424">
                  <c:v>53.946611909650926</c:v>
                </c:pt>
                <c:pt idx="425">
                  <c:v>54.045174537987677</c:v>
                </c:pt>
                <c:pt idx="426">
                  <c:v>54.308008213552363</c:v>
                </c:pt>
                <c:pt idx="427">
                  <c:v>54.373716632443532</c:v>
                </c:pt>
                <c:pt idx="428">
                  <c:v>54.735112936344969</c:v>
                </c:pt>
                <c:pt idx="429">
                  <c:v>55.030800821355236</c:v>
                </c:pt>
                <c:pt idx="430">
                  <c:v>55.162217659137575</c:v>
                </c:pt>
                <c:pt idx="431">
                  <c:v>55.195071868583163</c:v>
                </c:pt>
                <c:pt idx="432">
                  <c:v>55.326488706365502</c:v>
                </c:pt>
                <c:pt idx="433">
                  <c:v>55.359342915811091</c:v>
                </c:pt>
                <c:pt idx="434">
                  <c:v>55.589322381930188</c:v>
                </c:pt>
                <c:pt idx="435">
                  <c:v>55.622176591375769</c:v>
                </c:pt>
                <c:pt idx="436">
                  <c:v>55.885010266940455</c:v>
                </c:pt>
                <c:pt idx="437">
                  <c:v>55.917864476386036</c:v>
                </c:pt>
                <c:pt idx="438">
                  <c:v>55.950718685831625</c:v>
                </c:pt>
                <c:pt idx="439">
                  <c:v>56.082135523613964</c:v>
                </c:pt>
                <c:pt idx="440">
                  <c:v>56.312114989733061</c:v>
                </c:pt>
                <c:pt idx="441">
                  <c:v>56.410677618069812</c:v>
                </c:pt>
                <c:pt idx="442">
                  <c:v>56.50924024640657</c:v>
                </c:pt>
                <c:pt idx="443">
                  <c:v>56.542094455852158</c:v>
                </c:pt>
                <c:pt idx="444">
                  <c:v>56.57494866529774</c:v>
                </c:pt>
                <c:pt idx="445">
                  <c:v>56.804928131416837</c:v>
                </c:pt>
                <c:pt idx="446">
                  <c:v>56.837782340862425</c:v>
                </c:pt>
                <c:pt idx="447">
                  <c:v>57.002053388090346</c:v>
                </c:pt>
                <c:pt idx="448">
                  <c:v>57.264887063655031</c:v>
                </c:pt>
                <c:pt idx="449">
                  <c:v>57.52772073921971</c:v>
                </c:pt>
                <c:pt idx="450">
                  <c:v>57.593429158110879</c:v>
                </c:pt>
                <c:pt idx="451">
                  <c:v>57.691991786447637</c:v>
                </c:pt>
                <c:pt idx="452">
                  <c:v>57.823408624229977</c:v>
                </c:pt>
                <c:pt idx="453">
                  <c:v>57.921971252566735</c:v>
                </c:pt>
                <c:pt idx="454">
                  <c:v>57.987679671457904</c:v>
                </c:pt>
                <c:pt idx="455">
                  <c:v>58.053388090349074</c:v>
                </c:pt>
                <c:pt idx="456">
                  <c:v>58.18480492813142</c:v>
                </c:pt>
                <c:pt idx="457">
                  <c:v>58.513347022587268</c:v>
                </c:pt>
                <c:pt idx="458">
                  <c:v>58.677618069815196</c:v>
                </c:pt>
                <c:pt idx="459">
                  <c:v>58.776180698151954</c:v>
                </c:pt>
                <c:pt idx="460">
                  <c:v>58.841889117043124</c:v>
                </c:pt>
                <c:pt idx="461">
                  <c:v>59.3347022587269</c:v>
                </c:pt>
                <c:pt idx="462">
                  <c:v>59.367556468172488</c:v>
                </c:pt>
                <c:pt idx="463">
                  <c:v>59.597535934291578</c:v>
                </c:pt>
                <c:pt idx="464">
                  <c:v>59.728952772073924</c:v>
                </c:pt>
                <c:pt idx="465">
                  <c:v>59.794661190965094</c:v>
                </c:pt>
                <c:pt idx="466">
                  <c:v>59.827515400410675</c:v>
                </c:pt>
                <c:pt idx="467">
                  <c:v>59.991786447638603</c:v>
                </c:pt>
                <c:pt idx="468">
                  <c:v>60.2217659137577</c:v>
                </c:pt>
                <c:pt idx="469">
                  <c:v>60.254620123203289</c:v>
                </c:pt>
                <c:pt idx="470">
                  <c:v>60.386036960985628</c:v>
                </c:pt>
                <c:pt idx="471">
                  <c:v>60.451745379876797</c:v>
                </c:pt>
                <c:pt idx="472">
                  <c:v>60.484599589322379</c:v>
                </c:pt>
                <c:pt idx="473">
                  <c:v>60.517453798767967</c:v>
                </c:pt>
                <c:pt idx="474">
                  <c:v>60.648870636550306</c:v>
                </c:pt>
                <c:pt idx="475">
                  <c:v>60.681724845995895</c:v>
                </c:pt>
                <c:pt idx="476">
                  <c:v>60.845995893223822</c:v>
                </c:pt>
                <c:pt idx="477">
                  <c:v>60.878850102669404</c:v>
                </c:pt>
                <c:pt idx="478">
                  <c:v>60.911704312114992</c:v>
                </c:pt>
                <c:pt idx="479">
                  <c:v>60.944558521560573</c:v>
                </c:pt>
                <c:pt idx="480">
                  <c:v>60.977412731006162</c:v>
                </c:pt>
                <c:pt idx="481">
                  <c:v>61.043121149897331</c:v>
                </c:pt>
                <c:pt idx="482">
                  <c:v>61.141683778234089</c:v>
                </c:pt>
                <c:pt idx="483">
                  <c:v>61.17453798767967</c:v>
                </c:pt>
                <c:pt idx="484">
                  <c:v>61.207392197125259</c:v>
                </c:pt>
                <c:pt idx="485">
                  <c:v>61.30595482546201</c:v>
                </c:pt>
                <c:pt idx="486">
                  <c:v>61.371663244353179</c:v>
                </c:pt>
                <c:pt idx="487">
                  <c:v>61.404517453798768</c:v>
                </c:pt>
                <c:pt idx="488">
                  <c:v>61.700205338809035</c:v>
                </c:pt>
                <c:pt idx="489">
                  <c:v>61.897330595482543</c:v>
                </c:pt>
                <c:pt idx="490">
                  <c:v>62.324435318275157</c:v>
                </c:pt>
                <c:pt idx="491">
                  <c:v>62.554414784394254</c:v>
                </c:pt>
                <c:pt idx="492">
                  <c:v>62.587268993839835</c:v>
                </c:pt>
                <c:pt idx="493">
                  <c:v>63.014373716632441</c:v>
                </c:pt>
                <c:pt idx="494">
                  <c:v>63.145790554414788</c:v>
                </c:pt>
                <c:pt idx="495">
                  <c:v>63.277207392197127</c:v>
                </c:pt>
                <c:pt idx="496">
                  <c:v>63.507186858316224</c:v>
                </c:pt>
                <c:pt idx="497">
                  <c:v>63.671457905544145</c:v>
                </c:pt>
                <c:pt idx="498">
                  <c:v>64.262833675564679</c:v>
                </c:pt>
                <c:pt idx="499">
                  <c:v>64.361396303901444</c:v>
                </c:pt>
                <c:pt idx="500">
                  <c:v>64.558521560574945</c:v>
                </c:pt>
                <c:pt idx="501">
                  <c:v>64.887063655030801</c:v>
                </c:pt>
                <c:pt idx="502">
                  <c:v>64.919917864476389</c:v>
                </c:pt>
                <c:pt idx="503">
                  <c:v>64.952772073921977</c:v>
                </c:pt>
                <c:pt idx="504">
                  <c:v>65.01848049281314</c:v>
                </c:pt>
                <c:pt idx="505">
                  <c:v>65.084188911704317</c:v>
                </c:pt>
                <c:pt idx="506">
                  <c:v>65.182751540041068</c:v>
                </c:pt>
                <c:pt idx="507">
                  <c:v>65.347022587268995</c:v>
                </c:pt>
                <c:pt idx="508">
                  <c:v>65.379876796714584</c:v>
                </c:pt>
                <c:pt idx="509">
                  <c:v>65.938398357289529</c:v>
                </c:pt>
                <c:pt idx="510">
                  <c:v>66.004106776180691</c:v>
                </c:pt>
                <c:pt idx="511">
                  <c:v>66.03696098562628</c:v>
                </c:pt>
                <c:pt idx="512">
                  <c:v>66.069815195071868</c:v>
                </c:pt>
                <c:pt idx="513">
                  <c:v>66.168377823408619</c:v>
                </c:pt>
                <c:pt idx="514">
                  <c:v>66.201232032854207</c:v>
                </c:pt>
                <c:pt idx="515">
                  <c:v>66.266940451745384</c:v>
                </c:pt>
                <c:pt idx="516">
                  <c:v>66.299794661190958</c:v>
                </c:pt>
                <c:pt idx="517">
                  <c:v>66.496919917864474</c:v>
                </c:pt>
                <c:pt idx="518">
                  <c:v>66.595482546201225</c:v>
                </c:pt>
                <c:pt idx="519">
                  <c:v>66.69404517453799</c:v>
                </c:pt>
                <c:pt idx="520">
                  <c:v>66.82546201232033</c:v>
                </c:pt>
                <c:pt idx="521">
                  <c:v>66.989733059548257</c:v>
                </c:pt>
                <c:pt idx="522">
                  <c:v>67.285420944558524</c:v>
                </c:pt>
                <c:pt idx="523">
                  <c:v>67.318275154004112</c:v>
                </c:pt>
                <c:pt idx="524">
                  <c:v>67.383983572895275</c:v>
                </c:pt>
                <c:pt idx="525">
                  <c:v>67.416837782340863</c:v>
                </c:pt>
                <c:pt idx="526">
                  <c:v>67.548254620123203</c:v>
                </c:pt>
                <c:pt idx="527">
                  <c:v>67.581108829568791</c:v>
                </c:pt>
                <c:pt idx="528">
                  <c:v>67.646817248459953</c:v>
                </c:pt>
                <c:pt idx="529">
                  <c:v>67.843942505133469</c:v>
                </c:pt>
                <c:pt idx="530">
                  <c:v>68.763860369609858</c:v>
                </c:pt>
                <c:pt idx="531">
                  <c:v>69.848049281314175</c:v>
                </c:pt>
                <c:pt idx="532">
                  <c:v>69.913757700205338</c:v>
                </c:pt>
                <c:pt idx="533">
                  <c:v>70.045174537987677</c:v>
                </c:pt>
                <c:pt idx="534">
                  <c:v>70.242299794661193</c:v>
                </c:pt>
                <c:pt idx="535">
                  <c:v>70.439425051334709</c:v>
                </c:pt>
                <c:pt idx="536">
                  <c:v>70.570841889117048</c:v>
                </c:pt>
                <c:pt idx="537">
                  <c:v>70.735112936344976</c:v>
                </c:pt>
                <c:pt idx="538">
                  <c:v>70.833675564681727</c:v>
                </c:pt>
                <c:pt idx="539">
                  <c:v>70.997946611909654</c:v>
                </c:pt>
                <c:pt idx="540">
                  <c:v>71.293634496919921</c:v>
                </c:pt>
                <c:pt idx="541">
                  <c:v>71.359342915811084</c:v>
                </c:pt>
                <c:pt idx="542">
                  <c:v>71.457905544147849</c:v>
                </c:pt>
                <c:pt idx="543">
                  <c:v>71.523613963039011</c:v>
                </c:pt>
                <c:pt idx="544">
                  <c:v>72.016427104722794</c:v>
                </c:pt>
                <c:pt idx="545">
                  <c:v>72.114989733059545</c:v>
                </c:pt>
                <c:pt idx="546">
                  <c:v>72.4435318275154</c:v>
                </c:pt>
                <c:pt idx="547">
                  <c:v>72.837782340862418</c:v>
                </c:pt>
                <c:pt idx="548">
                  <c:v>73.166324435318273</c:v>
                </c:pt>
                <c:pt idx="549">
                  <c:v>73.363449691991789</c:v>
                </c:pt>
                <c:pt idx="550">
                  <c:v>73.396303901437378</c:v>
                </c:pt>
                <c:pt idx="551">
                  <c:v>73.494866529774129</c:v>
                </c:pt>
                <c:pt idx="552">
                  <c:v>73.560574948665291</c:v>
                </c:pt>
                <c:pt idx="553">
                  <c:v>74.611909650924019</c:v>
                </c:pt>
                <c:pt idx="554">
                  <c:v>75.104722792607802</c:v>
                </c:pt>
                <c:pt idx="555">
                  <c:v>75.433264887063658</c:v>
                </c:pt>
                <c:pt idx="556">
                  <c:v>75.466119096509246</c:v>
                </c:pt>
                <c:pt idx="557">
                  <c:v>76.221765913757707</c:v>
                </c:pt>
                <c:pt idx="558">
                  <c:v>77.30595482546201</c:v>
                </c:pt>
                <c:pt idx="559">
                  <c:v>77.864476386036955</c:v>
                </c:pt>
                <c:pt idx="560">
                  <c:v>77.930184804928132</c:v>
                </c:pt>
                <c:pt idx="561">
                  <c:v>78.19301848049281</c:v>
                </c:pt>
                <c:pt idx="562">
                  <c:v>78.455852156057489</c:v>
                </c:pt>
                <c:pt idx="563">
                  <c:v>78.882956878850109</c:v>
                </c:pt>
                <c:pt idx="564">
                  <c:v>80.098562628336751</c:v>
                </c:pt>
                <c:pt idx="565">
                  <c:v>80.459958932238195</c:v>
                </c:pt>
                <c:pt idx="566">
                  <c:v>80.689938398357285</c:v>
                </c:pt>
                <c:pt idx="567">
                  <c:v>81.051334702258728</c:v>
                </c:pt>
                <c:pt idx="568">
                  <c:v>81.182751540041068</c:v>
                </c:pt>
                <c:pt idx="569">
                  <c:v>83.416837782340863</c:v>
                </c:pt>
                <c:pt idx="570">
                  <c:v>83.811088295687881</c:v>
                </c:pt>
                <c:pt idx="571">
                  <c:v>83.975359342915809</c:v>
                </c:pt>
                <c:pt idx="572">
                  <c:v>84.205338809034913</c:v>
                </c:pt>
                <c:pt idx="573">
                  <c:v>85.815195071868587</c:v>
                </c:pt>
                <c:pt idx="574">
                  <c:v>87.359342915811084</c:v>
                </c:pt>
              </c:numCache>
            </c:numRef>
          </c:xVal>
          <c:yVal>
            <c:numRef>
              <c:f>'RCS-Plot'!$B$11:$B$585</c:f>
              <c:numCache>
                <c:formatCode>0.0000</c:formatCode>
                <c:ptCount val="575"/>
                <c:pt idx="0">
                  <c:v>1</c:v>
                </c:pt>
                <c:pt idx="1">
                  <c:v>0.99999713844845239</c:v>
                </c:pt>
                <c:pt idx="2">
                  <c:v>0.99998339374465517</c:v>
                </c:pt>
                <c:pt idx="3">
                  <c:v>0.99998010811115534</c:v>
                </c:pt>
                <c:pt idx="4">
                  <c:v>0.9999764318606148</c:v>
                </c:pt>
                <c:pt idx="5">
                  <c:v>0.99997234565277926</c:v>
                </c:pt>
                <c:pt idx="6">
                  <c:v>0.99989501450837504</c:v>
                </c:pt>
                <c:pt idx="7">
                  <c:v>0.99970419779665309</c:v>
                </c:pt>
                <c:pt idx="8">
                  <c:v>0.9996185102995131</c:v>
                </c:pt>
                <c:pt idx="9">
                  <c:v>0.9993052537028615</c:v>
                </c:pt>
                <c:pt idx="10">
                  <c:v>0.99908099708244569</c:v>
                </c:pt>
                <c:pt idx="11">
                  <c:v>0.99899712195957313</c:v>
                </c:pt>
                <c:pt idx="12">
                  <c:v>0.99890849289097439</c:v>
                </c:pt>
                <c:pt idx="13">
                  <c:v>0.99871651759601276</c:v>
                </c:pt>
                <c:pt idx="14">
                  <c:v>0.99866537545624678</c:v>
                </c:pt>
                <c:pt idx="15">
                  <c:v>0.99685127580967903</c:v>
                </c:pt>
                <c:pt idx="16">
                  <c:v>0.99533968765836078</c:v>
                </c:pt>
                <c:pt idx="17">
                  <c:v>0.99522596038761379</c:v>
                </c:pt>
                <c:pt idx="18">
                  <c:v>0.99450870461939445</c:v>
                </c:pt>
                <c:pt idx="19">
                  <c:v>0.99034876021696683</c:v>
                </c:pt>
                <c:pt idx="20">
                  <c:v>0.98814741784260096</c:v>
                </c:pt>
                <c:pt idx="21">
                  <c:v>0.98653943808947553</c:v>
                </c:pt>
                <c:pt idx="22">
                  <c:v>0.98633056264355101</c:v>
                </c:pt>
                <c:pt idx="23">
                  <c:v>0.98590757336338763</c:v>
                </c:pt>
                <c:pt idx="24">
                  <c:v>0.98547760989977462</c:v>
                </c:pt>
                <c:pt idx="25">
                  <c:v>0.98504068596651251</c:v>
                </c:pt>
                <c:pt idx="26">
                  <c:v>0.98459681674997823</c:v>
                </c:pt>
                <c:pt idx="27">
                  <c:v>0.98391802728066646</c:v>
                </c:pt>
                <c:pt idx="28">
                  <c:v>0.98368831039273175</c:v>
                </c:pt>
                <c:pt idx="29">
                  <c:v>0.98298883311741425</c:v>
                </c:pt>
                <c:pt idx="30">
                  <c:v>0.9825139360147187</c:v>
                </c:pt>
                <c:pt idx="31">
                  <c:v>0.98129683519935074</c:v>
                </c:pt>
                <c:pt idx="32">
                  <c:v>0.98029265181445879</c:v>
                </c:pt>
                <c:pt idx="33">
                  <c:v>0.97766514442044083</c:v>
                </c:pt>
                <c:pt idx="34">
                  <c:v>0.97544486497745719</c:v>
                </c:pt>
                <c:pt idx="35">
                  <c:v>0.97252546815924601</c:v>
                </c:pt>
                <c:pt idx="36">
                  <c:v>0.97131391558766778</c:v>
                </c:pt>
                <c:pt idx="37">
                  <c:v>0.97069892388749712</c:v>
                </c:pt>
                <c:pt idx="38">
                  <c:v>0.96945073030338325</c:v>
                </c:pt>
                <c:pt idx="39">
                  <c:v>0.96785681272063118</c:v>
                </c:pt>
                <c:pt idx="40">
                  <c:v>0.96688278126954963</c:v>
                </c:pt>
                <c:pt idx="41">
                  <c:v>0.96655519298230763</c:v>
                </c:pt>
                <c:pt idx="42">
                  <c:v>0.96489569130200659</c:v>
                </c:pt>
                <c:pt idx="43">
                  <c:v>0.96422194428416463</c:v>
                </c:pt>
                <c:pt idx="44">
                  <c:v>0.96354258859867914</c:v>
                </c:pt>
                <c:pt idx="45">
                  <c:v>0.95608372696114241</c:v>
                </c:pt>
                <c:pt idx="46">
                  <c:v>0.95571429341584213</c:v>
                </c:pt>
                <c:pt idx="47">
                  <c:v>0.9549717021193237</c:v>
                </c:pt>
                <c:pt idx="48">
                  <c:v>0.9545985580977695</c:v>
                </c:pt>
                <c:pt idx="49">
                  <c:v>0.95271463017057467</c:v>
                </c:pt>
                <c:pt idx="50">
                  <c:v>0.95118605471294893</c:v>
                </c:pt>
                <c:pt idx="51">
                  <c:v>0.95080099211665248</c:v>
                </c:pt>
                <c:pt idx="52">
                  <c:v>0.9500274134658333</c:v>
                </c:pt>
                <c:pt idx="53">
                  <c:v>0.9480736497328851</c:v>
                </c:pt>
                <c:pt idx="54">
                  <c:v>0.94688808466104024</c:v>
                </c:pt>
                <c:pt idx="55">
                  <c:v>0.94327367478088153</c:v>
                </c:pt>
                <c:pt idx="56">
                  <c:v>0.94245908024056257</c:v>
                </c:pt>
                <c:pt idx="57">
                  <c:v>0.94205027210667336</c:v>
                </c:pt>
                <c:pt idx="58">
                  <c:v>0.94122966965917865</c:v>
                </c:pt>
                <c:pt idx="59">
                  <c:v>0.93874448464121374</c:v>
                </c:pt>
                <c:pt idx="60">
                  <c:v>0.93748909377679468</c:v>
                </c:pt>
                <c:pt idx="61">
                  <c:v>0.93622542602621817</c:v>
                </c:pt>
                <c:pt idx="62">
                  <c:v>0.93324575278616084</c:v>
                </c:pt>
                <c:pt idx="63">
                  <c:v>0.9302244740021558</c:v>
                </c:pt>
                <c:pt idx="64">
                  <c:v>0.92935394606418742</c:v>
                </c:pt>
                <c:pt idx="65">
                  <c:v>0.92716398983073267</c:v>
                </c:pt>
                <c:pt idx="66">
                  <c:v>0.9267237163188955</c:v>
                </c:pt>
                <c:pt idx="67">
                  <c:v>0.92495524446250255</c:v>
                </c:pt>
                <c:pt idx="68">
                  <c:v>0.92406667784941976</c:v>
                </c:pt>
                <c:pt idx="69">
                  <c:v>0.92272856816184512</c:v>
                </c:pt>
                <c:pt idx="70">
                  <c:v>0.92093488859244754</c:v>
                </c:pt>
                <c:pt idx="71">
                  <c:v>0.92048481131787685</c:v>
                </c:pt>
                <c:pt idx="72">
                  <c:v>0.92003408452551727</c:v>
                </c:pt>
                <c:pt idx="73">
                  <c:v>0.91958271490738541</c:v>
                </c:pt>
                <c:pt idx="74">
                  <c:v>0.91594941426342003</c:v>
                </c:pt>
                <c:pt idx="75">
                  <c:v>0.91549255782850225</c:v>
                </c:pt>
                <c:pt idx="76">
                  <c:v>0.91503512463568915</c:v>
                </c:pt>
                <c:pt idx="77">
                  <c:v>0.91457712120245449</c:v>
                </c:pt>
                <c:pt idx="78">
                  <c:v>0.91411855402932884</c:v>
                </c:pt>
                <c:pt idx="79">
                  <c:v>0.91319975437981582</c:v>
                </c:pt>
                <c:pt idx="80">
                  <c:v>0.91273953481828962</c:v>
                </c:pt>
                <c:pt idx="81">
                  <c:v>0.91181748837714749</c:v>
                </c:pt>
                <c:pt idx="82">
                  <c:v>0.91089334151139156</c:v>
                </c:pt>
                <c:pt idx="83">
                  <c:v>0.908108806357799</c:v>
                </c:pt>
                <c:pt idx="84">
                  <c:v>0.90483867927213524</c:v>
                </c:pt>
                <c:pt idx="85">
                  <c:v>0.90390038245709015</c:v>
                </c:pt>
                <c:pt idx="86">
                  <c:v>0.89965798822538656</c:v>
                </c:pt>
                <c:pt idx="87">
                  <c:v>0.8963376522792581</c:v>
                </c:pt>
                <c:pt idx="88">
                  <c:v>0.8939561190579165</c:v>
                </c:pt>
                <c:pt idx="89">
                  <c:v>0.89300139014363367</c:v>
                </c:pt>
                <c:pt idx="90">
                  <c:v>0.89156717016551912</c:v>
                </c:pt>
                <c:pt idx="91">
                  <c:v>0.88965113938250295</c:v>
                </c:pt>
                <c:pt idx="92">
                  <c:v>0.88869162062356233</c:v>
                </c:pt>
                <c:pt idx="93">
                  <c:v>0.88725058477918717</c:v>
                </c:pt>
                <c:pt idx="94">
                  <c:v>0.88580756767335356</c:v>
                </c:pt>
                <c:pt idx="95">
                  <c:v>0.88388070860215351</c:v>
                </c:pt>
                <c:pt idx="96">
                  <c:v>0.88291615707014737</c:v>
                </c:pt>
                <c:pt idx="97">
                  <c:v>0.87905142299202543</c:v>
                </c:pt>
                <c:pt idx="98">
                  <c:v>0.87808380783381879</c:v>
                </c:pt>
                <c:pt idx="99">
                  <c:v>0.87759981264744702</c:v>
                </c:pt>
                <c:pt idx="100">
                  <c:v>0.87469351974445675</c:v>
                </c:pt>
                <c:pt idx="101">
                  <c:v>0.8742087952373816</c:v>
                </c:pt>
                <c:pt idx="102">
                  <c:v>0.87226909176588263</c:v>
                </c:pt>
                <c:pt idx="103">
                  <c:v>0.87178398774546118</c:v>
                </c:pt>
                <c:pt idx="104">
                  <c:v>0.87081359809204917</c:v>
                </c:pt>
                <c:pt idx="105">
                  <c:v>0.86984299658338438</c:v>
                </c:pt>
                <c:pt idx="106">
                  <c:v>0.86693027943099699</c:v>
                </c:pt>
                <c:pt idx="107">
                  <c:v>0.86595918717952991</c:v>
                </c:pt>
                <c:pt idx="108">
                  <c:v>0.86498805958705138</c:v>
                </c:pt>
                <c:pt idx="109">
                  <c:v>0.86450249324278217</c:v>
                </c:pt>
                <c:pt idx="110">
                  <c:v>0.86207480505330802</c:v>
                </c:pt>
                <c:pt idx="111">
                  <c:v>0.85964773667846961</c:v>
                </c:pt>
                <c:pt idx="112">
                  <c:v>0.85867719708511414</c:v>
                </c:pt>
                <c:pt idx="113">
                  <c:v>0.85770686993037282</c:v>
                </c:pt>
                <c:pt idx="114">
                  <c:v>0.85722179587952752</c:v>
                </c:pt>
                <c:pt idx="115">
                  <c:v>0.85528218740104178</c:v>
                </c:pt>
                <c:pt idx="116">
                  <c:v>0.853828310665116</c:v>
                </c:pt>
                <c:pt idx="117">
                  <c:v>0.85285951133752469</c:v>
                </c:pt>
                <c:pt idx="118">
                  <c:v>0.85189110823629444</c:v>
                </c:pt>
                <c:pt idx="119">
                  <c:v>0.85140706447309245</c:v>
                </c:pt>
                <c:pt idx="120">
                  <c:v>0.85092313076612369</c:v>
                </c:pt>
                <c:pt idx="121">
                  <c:v>0.84560814406897855</c:v>
                </c:pt>
                <c:pt idx="122">
                  <c:v>0.84416160372794791</c:v>
                </c:pt>
                <c:pt idx="123">
                  <c:v>0.84079217012013019</c:v>
                </c:pt>
                <c:pt idx="124">
                  <c:v>0.84031153611349174</c:v>
                </c:pt>
                <c:pt idx="125">
                  <c:v>0.83887077451680547</c:v>
                </c:pt>
                <c:pt idx="126">
                  <c:v>0.8383909111860457</c:v>
                </c:pt>
                <c:pt idx="127">
                  <c:v>0.83695253588525587</c:v>
                </c:pt>
                <c:pt idx="128">
                  <c:v>0.83599466158489177</c:v>
                </c:pt>
                <c:pt idx="129">
                  <c:v>0.83551604619697573</c:v>
                </c:pt>
                <c:pt idx="130">
                  <c:v>0.8350376492673599</c:v>
                </c:pt>
                <c:pt idx="131">
                  <c:v>0.83360379850826949</c:v>
                </c:pt>
                <c:pt idx="132">
                  <c:v>0.83312630459346571</c:v>
                </c:pt>
                <c:pt idx="133">
                  <c:v>0.8326490436296442</c:v>
                </c:pt>
                <c:pt idx="134">
                  <c:v>0.83169523189508265</c:v>
                </c:pt>
                <c:pt idx="135">
                  <c:v>0.83121868674596977</c:v>
                </c:pt>
                <c:pt idx="136">
                  <c:v>0.8307423857912215</c:v>
                </c:pt>
                <c:pt idx="137">
                  <c:v>0.83026633179350207</c:v>
                </c:pt>
                <c:pt idx="138">
                  <c:v>0.82979052749633075</c:v>
                </c:pt>
                <c:pt idx="139">
                  <c:v>0.82883967888239063</c:v>
                </c:pt>
                <c:pt idx="140">
                  <c:v>0.82788986151718635</c:v>
                </c:pt>
                <c:pt idx="141">
                  <c:v>0.82741534621013324</c:v>
                </c:pt>
                <c:pt idx="142">
                  <c:v>0.82694109666641602</c:v>
                </c:pt>
                <c:pt idx="143">
                  <c:v>0.82551996863586519</c:v>
                </c:pt>
                <c:pt idx="144">
                  <c:v>0.82457392614533687</c:v>
                </c:pt>
                <c:pt idx="145">
                  <c:v>0.82268523488555811</c:v>
                </c:pt>
                <c:pt idx="146">
                  <c:v>0.82221378355073482</c:v>
                </c:pt>
                <c:pt idx="147">
                  <c:v>0.82127176371818045</c:v>
                </c:pt>
                <c:pt idx="148">
                  <c:v>0.820801200023202</c:v>
                </c:pt>
                <c:pt idx="149">
                  <c:v>0.81939132226616695</c:v>
                </c:pt>
                <c:pt idx="150">
                  <c:v>0.81892197525401456</c:v>
                </c:pt>
                <c:pt idx="151">
                  <c:v>0.81798421344116046</c:v>
                </c:pt>
                <c:pt idx="152">
                  <c:v>0.81704770973453056</c:v>
                </c:pt>
                <c:pt idx="153">
                  <c:v>0.81611248208102805</c:v>
                </c:pt>
                <c:pt idx="154">
                  <c:v>0.81564535230739155</c:v>
                </c:pt>
                <c:pt idx="155">
                  <c:v>0.81517854815270485</c:v>
                </c:pt>
                <c:pt idx="156">
                  <c:v>0.81192021625969102</c:v>
                </c:pt>
                <c:pt idx="157">
                  <c:v>0.80821699348633536</c:v>
                </c:pt>
                <c:pt idx="158">
                  <c:v>0.80775568254303809</c:v>
                </c:pt>
                <c:pt idx="159">
                  <c:v>0.8072947317970397</c:v>
                </c:pt>
                <c:pt idx="160">
                  <c:v>0.80637391843574346</c:v>
                </c:pt>
                <c:pt idx="161">
                  <c:v>0.80545456832335938</c:v>
                </c:pt>
                <c:pt idx="162">
                  <c:v>0.79997000033491117</c:v>
                </c:pt>
                <c:pt idx="163">
                  <c:v>0.79860752437104676</c:v>
                </c:pt>
                <c:pt idx="164">
                  <c:v>0.7954423139529635</c:v>
                </c:pt>
                <c:pt idx="165">
                  <c:v>0.79499175238999231</c:v>
                </c:pt>
                <c:pt idx="166">
                  <c:v>0.79454159819475856</c:v>
                </c:pt>
                <c:pt idx="167">
                  <c:v>0.7927450843836128</c:v>
                </c:pt>
                <c:pt idx="168">
                  <c:v>0.79229698887653044</c:v>
                </c:pt>
                <c:pt idx="169">
                  <c:v>0.7914020472917157</c:v>
                </c:pt>
                <c:pt idx="170">
                  <c:v>0.79095520398716834</c:v>
                </c:pt>
                <c:pt idx="171">
                  <c:v>0.78872731661157847</c:v>
                </c:pt>
                <c:pt idx="172">
                  <c:v>0.78474411166144309</c:v>
                </c:pt>
                <c:pt idx="173">
                  <c:v>0.78386374008716486</c:v>
                </c:pt>
                <c:pt idx="174">
                  <c:v>0.78298512345080507</c:v>
                </c:pt>
                <c:pt idx="175">
                  <c:v>0.78254647420782708</c:v>
                </c:pt>
                <c:pt idx="176">
                  <c:v>0.78210826484854834</c:v>
                </c:pt>
                <c:pt idx="177">
                  <c:v>0.77992382870599475</c:v>
                </c:pt>
                <c:pt idx="178">
                  <c:v>0.77775044029336227</c:v>
                </c:pt>
                <c:pt idx="179">
                  <c:v>0.77731709164205454</c:v>
                </c:pt>
                <c:pt idx="180">
                  <c:v>0.77429608711941811</c:v>
                </c:pt>
                <c:pt idx="181">
                  <c:v>0.77215158025039277</c:v>
                </c:pt>
                <c:pt idx="182">
                  <c:v>0.77044400516214862</c:v>
                </c:pt>
                <c:pt idx="183">
                  <c:v>0.76705030885169934</c:v>
                </c:pt>
                <c:pt idx="184">
                  <c:v>0.76494379410490165</c:v>
                </c:pt>
                <c:pt idx="185">
                  <c:v>0.76368526041268125</c:v>
                </c:pt>
                <c:pt idx="186">
                  <c:v>0.76243075938463933</c:v>
                </c:pt>
                <c:pt idx="187">
                  <c:v>0.75869145440696673</c:v>
                </c:pt>
                <c:pt idx="188">
                  <c:v>0.75662974231241997</c:v>
                </c:pt>
                <c:pt idx="189">
                  <c:v>0.7558081915364373</c:v>
                </c:pt>
                <c:pt idx="190">
                  <c:v>0.75457922140031353</c:v>
                </c:pt>
                <c:pt idx="191">
                  <c:v>0.75294685517505222</c:v>
                </c:pt>
                <c:pt idx="192">
                  <c:v>0.75253988087246826</c:v>
                </c:pt>
                <c:pt idx="193">
                  <c:v>0.75213335323433406</c:v>
                </c:pt>
                <c:pt idx="194">
                  <c:v>0.7505117067104814</c:v>
                </c:pt>
                <c:pt idx="195">
                  <c:v>0.74970355990046078</c:v>
                </c:pt>
                <c:pt idx="196">
                  <c:v>0.74930015508412906</c:v>
                </c:pt>
                <c:pt idx="197">
                  <c:v>0.74889719578151104</c:v>
                </c:pt>
                <c:pt idx="198">
                  <c:v>0.74849468182786982</c:v>
                </c:pt>
                <c:pt idx="199">
                  <c:v>0.74809261305397767</c:v>
                </c:pt>
                <c:pt idx="200">
                  <c:v>0.74769098928615862</c:v>
                </c:pt>
                <c:pt idx="201">
                  <c:v>0.74648878621659931</c:v>
                </c:pt>
                <c:pt idx="202">
                  <c:v>0.74529058153163008</c:v>
                </c:pt>
                <c:pt idx="203">
                  <c:v>0.74489206757900917</c:v>
                </c:pt>
                <c:pt idx="204">
                  <c:v>0.74449399708817587</c:v>
                </c:pt>
                <c:pt idx="205">
                  <c:v>0.74330244424877445</c:v>
                </c:pt>
                <c:pt idx="206">
                  <c:v>0.74251028900947436</c:v>
                </c:pt>
                <c:pt idx="207">
                  <c:v>0.74211487470317461</c:v>
                </c:pt>
                <c:pt idx="208">
                  <c:v>0.74093128220314741</c:v>
                </c:pt>
                <c:pt idx="209">
                  <c:v>0.74014442678176595</c:v>
                </c:pt>
                <c:pt idx="210">
                  <c:v>0.73975166019422056</c:v>
                </c:pt>
                <c:pt idx="211">
                  <c:v>0.73935933401346365</c:v>
                </c:pt>
                <c:pt idx="212">
                  <c:v>0.73818499528510684</c:v>
                </c:pt>
                <c:pt idx="213">
                  <c:v>0.73701461061559104</c:v>
                </c:pt>
                <c:pt idx="214">
                  <c:v>0.73662535978216581</c:v>
                </c:pt>
                <c:pt idx="215">
                  <c:v>0.73507273578250809</c:v>
                </c:pt>
                <c:pt idx="216">
                  <c:v>0.73429904727248618</c:v>
                </c:pt>
                <c:pt idx="217">
                  <c:v>0.73391285784022342</c:v>
                </c:pt>
                <c:pt idx="218">
                  <c:v>0.73352710454833581</c:v>
                </c:pt>
                <c:pt idx="219">
                  <c:v>0.73275690514318903</c:v>
                </c:pt>
                <c:pt idx="220">
                  <c:v>0.73122172618440762</c:v>
                </c:pt>
                <c:pt idx="221">
                  <c:v>0.73007489913738244</c:v>
                </c:pt>
                <c:pt idx="222">
                  <c:v>0.72817217437272852</c:v>
                </c:pt>
                <c:pt idx="223">
                  <c:v>0.7259031299650841</c:v>
                </c:pt>
                <c:pt idx="224">
                  <c:v>0.72515021805865532</c:v>
                </c:pt>
                <c:pt idx="225">
                  <c:v>0.72402406161477739</c:v>
                </c:pt>
                <c:pt idx="226">
                  <c:v>0.72327542724418159</c:v>
                </c:pt>
                <c:pt idx="227">
                  <c:v>0.722901749903892</c:v>
                </c:pt>
                <c:pt idx="228">
                  <c:v>0.72252849861841495</c:v>
                </c:pt>
                <c:pt idx="229">
                  <c:v>0.72178327267336018</c:v>
                </c:pt>
                <c:pt idx="230">
                  <c:v>0.72029791639901353</c:v>
                </c:pt>
                <c:pt idx="231">
                  <c:v>0.71992763662468939</c:v>
                </c:pt>
                <c:pt idx="232">
                  <c:v>0.71515233796263877</c:v>
                </c:pt>
                <c:pt idx="233">
                  <c:v>0.71297221090467811</c:v>
                </c:pt>
                <c:pt idx="234">
                  <c:v>0.71224882653066768</c:v>
                </c:pt>
                <c:pt idx="235">
                  <c:v>0.71188775577061103</c:v>
                </c:pt>
                <c:pt idx="236">
                  <c:v>0.70901404608109331</c:v>
                </c:pt>
                <c:pt idx="237">
                  <c:v>0.70829972919577133</c:v>
                </c:pt>
                <c:pt idx="238">
                  <c:v>0.70723132222530638</c:v>
                </c:pt>
                <c:pt idx="239">
                  <c:v>0.70687600298903452</c:v>
                </c:pt>
                <c:pt idx="240">
                  <c:v>0.70299428243248241</c:v>
                </c:pt>
                <c:pt idx="241">
                  <c:v>0.7026438222940351</c:v>
                </c:pt>
                <c:pt idx="242">
                  <c:v>0.70229376406408028</c:v>
                </c:pt>
                <c:pt idx="243">
                  <c:v>0.7015948514533541</c:v>
                </c:pt>
                <c:pt idx="244">
                  <c:v>0.70124599613204741</c:v>
                </c:pt>
                <c:pt idx="245">
                  <c:v>0.70089754083819467</c:v>
                </c:pt>
                <c:pt idx="246">
                  <c:v>0.70020182844162093</c:v>
                </c:pt>
                <c:pt idx="247">
                  <c:v>0.69881518312499102</c:v>
                </c:pt>
                <c:pt idx="248">
                  <c:v>0.69846951474181196</c:v>
                </c:pt>
                <c:pt idx="249">
                  <c:v>0.69812424258116013</c:v>
                </c:pt>
                <c:pt idx="250">
                  <c:v>0.69709079863720502</c:v>
                </c:pt>
                <c:pt idx="251">
                  <c:v>0.69503454381042251</c:v>
                </c:pt>
                <c:pt idx="252">
                  <c:v>0.69469320738875129</c:v>
                </c:pt>
                <c:pt idx="253">
                  <c:v>0.69265338089222961</c:v>
                </c:pt>
                <c:pt idx="254">
                  <c:v>0.69096419933435549</c:v>
                </c:pt>
                <c:pt idx="255">
                  <c:v>0.69062752155171603</c:v>
                </c:pt>
                <c:pt idx="256">
                  <c:v>0.69029122879580052</c:v>
                </c:pt>
                <c:pt idx="257">
                  <c:v>0.68995532057294873</c:v>
                </c:pt>
                <c:pt idx="258">
                  <c:v>0.68961979638903248</c:v>
                </c:pt>
                <c:pt idx="259">
                  <c:v>0.68928465574946851</c:v>
                </c:pt>
                <c:pt idx="260">
                  <c:v>0.68168113585215684</c:v>
                </c:pt>
                <c:pt idx="261">
                  <c:v>0.68102933704644431</c:v>
                </c:pt>
                <c:pt idx="262">
                  <c:v>0.6761878146482011</c:v>
                </c:pt>
                <c:pt idx="263">
                  <c:v>0.67522936581754445</c:v>
                </c:pt>
                <c:pt idx="264">
                  <c:v>0.67395649262741697</c:v>
                </c:pt>
                <c:pt idx="265">
                  <c:v>0.67332221491986755</c:v>
                </c:pt>
                <c:pt idx="266">
                  <c:v>0.67237348562219379</c:v>
                </c:pt>
                <c:pt idx="267">
                  <c:v>0.66892219377900131</c:v>
                </c:pt>
                <c:pt idx="268">
                  <c:v>0.66798834031553012</c:v>
                </c:pt>
                <c:pt idx="269">
                  <c:v>0.66767775631447712</c:v>
                </c:pt>
                <c:pt idx="270">
                  <c:v>0.6664389093419143</c:v>
                </c:pt>
                <c:pt idx="271">
                  <c:v>0.66551342353574483</c:v>
                </c:pt>
                <c:pt idx="272">
                  <c:v>0.66489816329336049</c:v>
                </c:pt>
                <c:pt idx="273">
                  <c:v>0.66459105075699676</c:v>
                </c:pt>
                <c:pt idx="274">
                  <c:v>0.66397785834980694</c:v>
                </c:pt>
                <c:pt idx="275">
                  <c:v>0.66367177747797113</c:v>
                </c:pt>
                <c:pt idx="276">
                  <c:v>0.66336603949366979</c:v>
                </c:pt>
                <c:pt idx="277">
                  <c:v>0.66123543248935435</c:v>
                </c:pt>
                <c:pt idx="278">
                  <c:v>0.66093241962765337</c:v>
                </c:pt>
                <c:pt idx="279">
                  <c:v>0.66062974516285311</c:v>
                </c:pt>
                <c:pt idx="280">
                  <c:v>0.6597237471747559</c:v>
                </c:pt>
                <c:pt idx="281">
                  <c:v>0.65822047207486323</c:v>
                </c:pt>
                <c:pt idx="282">
                  <c:v>0.65702386568877558</c:v>
                </c:pt>
                <c:pt idx="283">
                  <c:v>0.65494256564097542</c:v>
                </c:pt>
                <c:pt idx="284">
                  <c:v>0.65170440844342192</c:v>
                </c:pt>
                <c:pt idx="285">
                  <c:v>0.64505929974409526</c:v>
                </c:pt>
                <c:pt idx="286">
                  <c:v>0.64306990734680602</c:v>
                </c:pt>
                <c:pt idx="287">
                  <c:v>0.63857926632216999</c:v>
                </c:pt>
                <c:pt idx="288">
                  <c:v>0.63774591284349469</c:v>
                </c:pt>
                <c:pt idx="289">
                  <c:v>0.63361936897461935</c:v>
                </c:pt>
                <c:pt idx="290">
                  <c:v>0.63334662636288008</c:v>
                </c:pt>
                <c:pt idx="291">
                  <c:v>0.63280201802997738</c:v>
                </c:pt>
                <c:pt idx="292">
                  <c:v>0.63063521007427215</c:v>
                </c:pt>
                <c:pt idx="293">
                  <c:v>0.63036565948165801</c:v>
                </c:pt>
                <c:pt idx="294">
                  <c:v>0.63009639636730619</c:v>
                </c:pt>
                <c:pt idx="295">
                  <c:v>0.62982742028282146</c:v>
                </c:pt>
                <c:pt idx="296">
                  <c:v>0.62929032741275892</c:v>
                </c:pt>
                <c:pt idx="297">
                  <c:v>0.62902220973328582</c:v>
                </c:pt>
                <c:pt idx="298">
                  <c:v>0.6287543772958889</c:v>
                </c:pt>
                <c:pt idx="299">
                  <c:v>0.62741947816825683</c:v>
                </c:pt>
                <c:pt idx="300">
                  <c:v>0.62609164351757451</c:v>
                </c:pt>
                <c:pt idx="301">
                  <c:v>0.62529831073968323</c:v>
                </c:pt>
                <c:pt idx="302">
                  <c:v>0.62503442518173968</c:v>
                </c:pt>
                <c:pt idx="303">
                  <c:v>0.62398166480142014</c:v>
                </c:pt>
                <c:pt idx="304">
                  <c:v>0.62371916799056204</c:v>
                </c:pt>
                <c:pt idx="305">
                  <c:v>0.62293333449007515</c:v>
                </c:pt>
                <c:pt idx="306">
                  <c:v>0.62241082193775821</c:v>
                </c:pt>
                <c:pt idx="307">
                  <c:v>0.62214997730055122</c:v>
                </c:pt>
                <c:pt idx="308">
                  <c:v>0.62084985329791442</c:v>
                </c:pt>
                <c:pt idx="309">
                  <c:v>0.61699002513627665</c:v>
                </c:pt>
                <c:pt idx="310">
                  <c:v>0.61546289158684142</c:v>
                </c:pt>
                <c:pt idx="311">
                  <c:v>0.61445006550835679</c:v>
                </c:pt>
                <c:pt idx="312">
                  <c:v>0.61394522142523944</c:v>
                </c:pt>
                <c:pt idx="313">
                  <c:v>0.61268766095860761</c:v>
                </c:pt>
                <c:pt idx="314">
                  <c:v>0.61143655925693563</c:v>
                </c:pt>
                <c:pt idx="315">
                  <c:v>0.61118710949538158</c:v>
                </c:pt>
                <c:pt idx="316">
                  <c:v>0.61093791564894318</c:v>
                </c:pt>
                <c:pt idx="317">
                  <c:v>0.61019186556806893</c:v>
                </c:pt>
                <c:pt idx="318">
                  <c:v>0.60969577104147177</c:v>
                </c:pt>
                <c:pt idx="319">
                  <c:v>0.60944810423321405</c:v>
                </c:pt>
                <c:pt idx="320">
                  <c:v>0.60920069052836345</c:v>
                </c:pt>
                <c:pt idx="321">
                  <c:v>0.60845996404547309</c:v>
                </c:pt>
                <c:pt idx="322">
                  <c:v>0.60772150115971713</c:v>
                </c:pt>
                <c:pt idx="323">
                  <c:v>0.60649573087592701</c:v>
                </c:pt>
                <c:pt idx="324">
                  <c:v>0.60625132345283961</c:v>
                </c:pt>
                <c:pt idx="325">
                  <c:v>0.6057632521026981</c:v>
                </c:pt>
                <c:pt idx="326">
                  <c:v>0.60406276814825455</c:v>
                </c:pt>
                <c:pt idx="327">
                  <c:v>0.60382082282304006</c:v>
                </c:pt>
                <c:pt idx="328">
                  <c:v>0.60333766402493427</c:v>
                </c:pt>
                <c:pt idx="329">
                  <c:v>0.60093640744233345</c:v>
                </c:pt>
                <c:pt idx="330">
                  <c:v>0.60045904227644564</c:v>
                </c:pt>
                <c:pt idx="331">
                  <c:v>0.6002207180014455</c:v>
                </c:pt>
                <c:pt idx="332">
                  <c:v>0.59926980084815606</c:v>
                </c:pt>
                <c:pt idx="333">
                  <c:v>0.59785052381986947</c:v>
                </c:pt>
                <c:pt idx="334">
                  <c:v>0.59761480105446119</c:v>
                </c:pt>
                <c:pt idx="335">
                  <c:v>0.59690903691123565</c:v>
                </c:pt>
                <c:pt idx="336">
                  <c:v>0.59620537126908968</c:v>
                </c:pt>
                <c:pt idx="337">
                  <c:v>0.59503723168049216</c:v>
                </c:pt>
                <c:pt idx="338">
                  <c:v>0.59480429595571271</c:v>
                </c:pt>
                <c:pt idx="339">
                  <c:v>0.59457159011526384</c:v>
                </c:pt>
                <c:pt idx="340">
                  <c:v>0.59433911379750826</c:v>
                </c:pt>
                <c:pt idx="341">
                  <c:v>0.59271817595806964</c:v>
                </c:pt>
                <c:pt idx="342">
                  <c:v>0.59202689523999807</c:v>
                </c:pt>
                <c:pt idx="343">
                  <c:v>0.59133764478624651</c:v>
                </c:pt>
                <c:pt idx="344">
                  <c:v>0.59042178586617344</c:v>
                </c:pt>
                <c:pt idx="345">
                  <c:v>0.58973723562983726</c:v>
                </c:pt>
                <c:pt idx="346">
                  <c:v>0.58724424604314673</c:v>
                </c:pt>
                <c:pt idx="347">
                  <c:v>0.58433200082015291</c:v>
                </c:pt>
                <c:pt idx="348">
                  <c:v>0.58388718961913177</c:v>
                </c:pt>
                <c:pt idx="349">
                  <c:v>0.58366510398477622</c:v>
                </c:pt>
                <c:pt idx="350">
                  <c:v>0.58300012294979153</c:v>
                </c:pt>
                <c:pt idx="351">
                  <c:v>0.58014045884944954</c:v>
                </c:pt>
                <c:pt idx="352">
                  <c:v>0.57796463076074089</c:v>
                </c:pt>
                <c:pt idx="353">
                  <c:v>0.57559481690369807</c:v>
                </c:pt>
                <c:pt idx="354">
                  <c:v>0.57431246577578643</c:v>
                </c:pt>
                <c:pt idx="355">
                  <c:v>0.57303728147121913</c:v>
                </c:pt>
                <c:pt idx="356">
                  <c:v>0.57261380118003935</c:v>
                </c:pt>
                <c:pt idx="357">
                  <c:v>0.57134806959100082</c:v>
                </c:pt>
                <c:pt idx="358">
                  <c:v>0.57071783779118512</c:v>
                </c:pt>
                <c:pt idx="359">
                  <c:v>0.57050814873955757</c:v>
                </c:pt>
                <c:pt idx="360">
                  <c:v>0.57029865329625906</c:v>
                </c:pt>
                <c:pt idx="361">
                  <c:v>0.57008935116259529</c:v>
                </c:pt>
                <c:pt idx="362">
                  <c:v>0.5688375812030767</c:v>
                </c:pt>
                <c:pt idx="363">
                  <c:v>0.56862962391806382</c:v>
                </c:pt>
                <c:pt idx="364">
                  <c:v>0.56842185757224484</c:v>
                </c:pt>
                <c:pt idx="365">
                  <c:v>0.56821428187169298</c:v>
                </c:pt>
                <c:pt idx="366">
                  <c:v>0.56759269571024651</c:v>
                </c:pt>
                <c:pt idx="367">
                  <c:v>0.56738587966199283</c:v>
                </c:pt>
                <c:pt idx="368">
                  <c:v>0.56717925279724124</c:v>
                </c:pt>
                <c:pt idx="369">
                  <c:v>0.56697281482520689</c:v>
                </c:pt>
                <c:pt idx="370">
                  <c:v>0.56594344821478948</c:v>
                </c:pt>
                <c:pt idx="371">
                  <c:v>0.56573813752171997</c:v>
                </c:pt>
                <c:pt idx="372">
                  <c:v>0.56532807646426675</c:v>
                </c:pt>
                <c:pt idx="373">
                  <c:v>0.564306179064199</c:v>
                </c:pt>
                <c:pt idx="374">
                  <c:v>0.56106699347200817</c:v>
                </c:pt>
                <c:pt idx="375">
                  <c:v>0.56086608962289219</c:v>
                </c:pt>
                <c:pt idx="376">
                  <c:v>0.5582706322552704</c:v>
                </c:pt>
                <c:pt idx="377">
                  <c:v>0.55453079902557023</c:v>
                </c:pt>
                <c:pt idx="378">
                  <c:v>0.55316867584266394</c:v>
                </c:pt>
                <c:pt idx="379">
                  <c:v>0.55220082948930815</c:v>
                </c:pt>
                <c:pt idx="380">
                  <c:v>0.55181487231868298</c:v>
                </c:pt>
                <c:pt idx="381">
                  <c:v>0.55162214586947</c:v>
                </c:pt>
                <c:pt idx="382">
                  <c:v>0.55046930119832505</c:v>
                </c:pt>
                <c:pt idx="383">
                  <c:v>0.55008635229729674</c:v>
                </c:pt>
                <c:pt idx="384">
                  <c:v>0.54894147566050278</c:v>
                </c:pt>
                <c:pt idx="385">
                  <c:v>0.54704646320487171</c:v>
                </c:pt>
                <c:pt idx="386">
                  <c:v>0.5468578560202586</c:v>
                </c:pt>
                <c:pt idx="387">
                  <c:v>0.54629300302724326</c:v>
                </c:pt>
                <c:pt idx="388">
                  <c:v>0.54516763397470869</c:v>
                </c:pt>
                <c:pt idx="389">
                  <c:v>0.54460710503745136</c:v>
                </c:pt>
                <c:pt idx="390">
                  <c:v>0.54404800463279912</c:v>
                </c:pt>
                <c:pt idx="391">
                  <c:v>0.54293406404983713</c:v>
                </c:pt>
                <c:pt idx="392">
                  <c:v>0.54256400596423116</c:v>
                </c:pt>
                <c:pt idx="393">
                  <c:v>0.54201008943424211</c:v>
                </c:pt>
                <c:pt idx="394">
                  <c:v>0.54127370950257747</c:v>
                </c:pt>
                <c:pt idx="395">
                  <c:v>0.54072304811615235</c:v>
                </c:pt>
                <c:pt idx="396">
                  <c:v>0.53962587360620662</c:v>
                </c:pt>
                <c:pt idx="397">
                  <c:v>0.53907934828951254</c:v>
                </c:pt>
                <c:pt idx="398">
                  <c:v>0.53853418952486898</c:v>
                </c:pt>
                <c:pt idx="399">
                  <c:v>0.53690685256786974</c:v>
                </c:pt>
                <c:pt idx="400">
                  <c:v>0.53564950884114726</c:v>
                </c:pt>
                <c:pt idx="401">
                  <c:v>0.53493428017616451</c:v>
                </c:pt>
                <c:pt idx="402">
                  <c:v>0.53457754755015641</c:v>
                </c:pt>
                <c:pt idx="403">
                  <c:v>0.53439940091444127</c:v>
                </c:pt>
                <c:pt idx="404">
                  <c:v>0.52929587755763474</c:v>
                </c:pt>
                <c:pt idx="405">
                  <c:v>0.52877473923219898</c:v>
                </c:pt>
                <c:pt idx="406">
                  <c:v>0.52704665154851837</c:v>
                </c:pt>
                <c:pt idx="407">
                  <c:v>0.52567409484925787</c:v>
                </c:pt>
                <c:pt idx="408">
                  <c:v>0.52499108639738623</c:v>
                </c:pt>
                <c:pt idx="409">
                  <c:v>0.52414036661189112</c:v>
                </c:pt>
                <c:pt idx="410">
                  <c:v>0.5238010197782792</c:v>
                </c:pt>
                <c:pt idx="411">
                  <c:v>0.52228056346020801</c:v>
                </c:pt>
                <c:pt idx="412">
                  <c:v>0.52194414291270375</c:v>
                </c:pt>
                <c:pt idx="413">
                  <c:v>0.52177613041570858</c:v>
                </c:pt>
                <c:pt idx="414">
                  <c:v>0.52144050004122411</c:v>
                </c:pt>
                <c:pt idx="415">
                  <c:v>0.52127288179114195</c:v>
                </c:pt>
                <c:pt idx="416">
                  <c:v>0.51910570233437403</c:v>
                </c:pt>
                <c:pt idx="417">
                  <c:v>0.51794779127338886</c:v>
                </c:pt>
                <c:pt idx="418">
                  <c:v>0.51778288643327375</c:v>
                </c:pt>
                <c:pt idx="419">
                  <c:v>0.51745345822933597</c:v>
                </c:pt>
                <c:pt idx="420">
                  <c:v>0.51712453747154874</c:v>
                </c:pt>
                <c:pt idx="421">
                  <c:v>0.51663210468671283</c:v>
                </c:pt>
                <c:pt idx="422">
                  <c:v>0.5158139005341279</c:v>
                </c:pt>
                <c:pt idx="423">
                  <c:v>0.51516159000627704</c:v>
                </c:pt>
                <c:pt idx="424">
                  <c:v>0.51499882380729045</c:v>
                </c:pt>
                <c:pt idx="425">
                  <c:v>0.51451126987191009</c:v>
                </c:pt>
                <c:pt idx="426">
                  <c:v>0.51321655656073373</c:v>
                </c:pt>
                <c:pt idx="427">
                  <c:v>0.51289410501903565</c:v>
                </c:pt>
                <c:pt idx="428">
                  <c:v>0.51112930824877689</c:v>
                </c:pt>
                <c:pt idx="429">
                  <c:v>0.50969620758697587</c:v>
                </c:pt>
                <c:pt idx="430">
                  <c:v>0.50906236650770786</c:v>
                </c:pt>
                <c:pt idx="431">
                  <c:v>0.50890420169156103</c:v>
                </c:pt>
                <c:pt idx="432">
                  <c:v>0.5082727193778056</c:v>
                </c:pt>
                <c:pt idx="433">
                  <c:v>0.50811514223003484</c:v>
                </c:pt>
                <c:pt idx="434">
                  <c:v>0.50701537064558089</c:v>
                </c:pt>
                <c:pt idx="435">
                  <c:v>0.50685872542601196</c:v>
                </c:pt>
                <c:pt idx="436">
                  <c:v>0.50560971832657153</c:v>
                </c:pt>
                <c:pt idx="437">
                  <c:v>0.50545410941383806</c:v>
                </c:pt>
                <c:pt idx="438">
                  <c:v>0.50529861486304406</c:v>
                </c:pt>
                <c:pt idx="439">
                  <c:v>0.50467777717067619</c:v>
                </c:pt>
                <c:pt idx="440">
                  <c:v>0.50359567837675068</c:v>
                </c:pt>
                <c:pt idx="441">
                  <c:v>0.50313361249856992</c:v>
                </c:pt>
                <c:pt idx="442">
                  <c:v>0.50267255512678843</c:v>
                </c:pt>
                <c:pt idx="443">
                  <c:v>0.50251909274207596</c:v>
                </c:pt>
                <c:pt idx="444">
                  <c:v>0.50236574180881755</c:v>
                </c:pt>
                <c:pt idx="445">
                  <c:v>0.50129539330879436</c:v>
                </c:pt>
                <c:pt idx="446">
                  <c:v>0.50114292859169152</c:v>
                </c:pt>
                <c:pt idx="447">
                  <c:v>0.50038225364570599</c:v>
                </c:pt>
                <c:pt idx="448">
                  <c:v>0.4991708533077886</c:v>
                </c:pt>
                <c:pt idx="449">
                  <c:v>0.4979663779283981</c:v>
                </c:pt>
                <c:pt idx="450">
                  <c:v>0.49766633245227626</c:v>
                </c:pt>
                <c:pt idx="451">
                  <c:v>0.49721706461899462</c:v>
                </c:pt>
                <c:pt idx="452">
                  <c:v>0.49661952892662597</c:v>
                </c:pt>
                <c:pt idx="453">
                  <c:v>0.49617248828153432</c:v>
                </c:pt>
                <c:pt idx="454">
                  <c:v>0.49587498818558551</c:v>
                </c:pt>
                <c:pt idx="455">
                  <c:v>0.49557790838616694</c:v>
                </c:pt>
                <c:pt idx="456">
                  <c:v>0.49498500522717964</c:v>
                </c:pt>
                <c:pt idx="457">
                  <c:v>0.49351002505446795</c:v>
                </c:pt>
                <c:pt idx="458">
                  <c:v>0.49277640128059264</c:v>
                </c:pt>
                <c:pt idx="459">
                  <c:v>0.49233745448705168</c:v>
                </c:pt>
                <c:pt idx="460">
                  <c:v>0.49204533250033233</c:v>
                </c:pt>
                <c:pt idx="461">
                  <c:v>0.48986728956313541</c:v>
                </c:pt>
                <c:pt idx="462">
                  <c:v>0.48972288803744263</c:v>
                </c:pt>
                <c:pt idx="463">
                  <c:v>0.48871485409491516</c:v>
                </c:pt>
                <c:pt idx="464">
                  <c:v>0.48814100510028169</c:v>
                </c:pt>
                <c:pt idx="465">
                  <c:v>0.48785466920583853</c:v>
                </c:pt>
                <c:pt idx="466">
                  <c:v>0.4877116479644778</c:v>
                </c:pt>
                <c:pt idx="467">
                  <c:v>0.48699800375845231</c:v>
                </c:pt>
                <c:pt idx="468">
                  <c:v>0.48600297260713682</c:v>
                </c:pt>
                <c:pt idx="469">
                  <c:v>0.48586121082451456</c:v>
                </c:pt>
                <c:pt idx="470">
                  <c:v>0.48529512254710189</c:v>
                </c:pt>
                <c:pt idx="471">
                  <c:v>0.48501265199511262</c:v>
                </c:pt>
                <c:pt idx="472">
                  <c:v>0.48487155968599366</c:v>
                </c:pt>
                <c:pt idx="473">
                  <c:v>0.4847305625249515</c:v>
                </c:pt>
                <c:pt idx="474">
                  <c:v>0.48416752292233467</c:v>
                </c:pt>
                <c:pt idx="475">
                  <c:v>0.48402699967408996</c:v>
                </c:pt>
                <c:pt idx="476">
                  <c:v>0.48332579729611641</c:v>
                </c:pt>
                <c:pt idx="477">
                  <c:v>0.48318583874998311</c:v>
                </c:pt>
                <c:pt idx="478">
                  <c:v>0.48304597390023418</c:v>
                </c:pt>
                <c:pt idx="479">
                  <c:v>0.48290620262723688</c:v>
                </c:pt>
                <c:pt idx="480">
                  <c:v>0.48276652481156063</c:v>
                </c:pt>
                <c:pt idx="481">
                  <c:v>0.48248744907547664</c:v>
                </c:pt>
                <c:pt idx="482">
                  <c:v>0.48206953342723774</c:v>
                </c:pt>
                <c:pt idx="483">
                  <c:v>0.48193041385887131</c:v>
                </c:pt>
                <c:pt idx="484">
                  <c:v>0.48179138691751028</c:v>
                </c:pt>
                <c:pt idx="485">
                  <c:v>0.48137486067837365</c:v>
                </c:pt>
                <c:pt idx="486">
                  <c:v>0.48109763749949391</c:v>
                </c:pt>
                <c:pt idx="487">
                  <c:v>0.48095916385319315</c:v>
                </c:pt>
                <c:pt idx="488">
                  <c:v>0.47971701840314251</c:v>
                </c:pt>
                <c:pt idx="489">
                  <c:v>0.47889301111237187</c:v>
                </c:pt>
                <c:pt idx="490">
                  <c:v>0.47711875450350683</c:v>
                </c:pt>
                <c:pt idx="491">
                  <c:v>0.47616960469638203</c:v>
                </c:pt>
                <c:pt idx="492">
                  <c:v>0.47603436413759748</c:v>
                </c:pt>
                <c:pt idx="493">
                  <c:v>0.47428418132569011</c:v>
                </c:pt>
                <c:pt idx="494">
                  <c:v>0.47374860970383625</c:v>
                </c:pt>
                <c:pt idx="495">
                  <c:v>0.47321441249679791</c:v>
                </c:pt>
                <c:pt idx="496">
                  <c:v>0.4722828541583694</c:v>
                </c:pt>
                <c:pt idx="497">
                  <c:v>0.47161999964363099</c:v>
                </c:pt>
                <c:pt idx="498">
                  <c:v>0.46925106445516029</c:v>
                </c:pt>
                <c:pt idx="499">
                  <c:v>0.46885885286677564</c:v>
                </c:pt>
                <c:pt idx="500">
                  <c:v>0.46807664312304964</c:v>
                </c:pt>
                <c:pt idx="501">
                  <c:v>0.4667794681957142</c:v>
                </c:pt>
                <c:pt idx="502">
                  <c:v>0.46665019505543975</c:v>
                </c:pt>
                <c:pt idx="503">
                  <c:v>0.46652100231529869</c:v>
                </c:pt>
                <c:pt idx="504">
                  <c:v>0.46626285764645742</c:v>
                </c:pt>
                <c:pt idx="505">
                  <c:v>0.46600503341287125</c:v>
                </c:pt>
                <c:pt idx="506">
                  <c:v>0.465618896186692</c:v>
                </c:pt>
                <c:pt idx="507">
                  <c:v>0.46497692539406749</c:v>
                </c:pt>
                <c:pt idx="508">
                  <c:v>0.46484876906128442</c:v>
                </c:pt>
                <c:pt idx="509">
                  <c:v>0.46268212937503178</c:v>
                </c:pt>
                <c:pt idx="510">
                  <c:v>0.46242871113713191</c:v>
                </c:pt>
                <c:pt idx="511">
                  <c:v>0.46230211797383608</c:v>
                </c:pt>
                <c:pt idx="512">
                  <c:v>0.46217560199140473</c:v>
                </c:pt>
                <c:pt idx="513">
                  <c:v>0.46179651621014017</c:v>
                </c:pt>
                <c:pt idx="514">
                  <c:v>0.46167030803276177</c:v>
                </c:pt>
                <c:pt idx="515">
                  <c:v>0.46141812175400065</c:v>
                </c:pt>
                <c:pt idx="516">
                  <c:v>0.46129214347028391</c:v>
                </c:pt>
                <c:pt idx="517">
                  <c:v>0.46053787602714047</c:v>
                </c:pt>
                <c:pt idx="518">
                  <c:v>0.46016176826344579</c:v>
                </c:pt>
                <c:pt idx="519">
                  <c:v>0.4597863412361648</c:v>
                </c:pt>
                <c:pt idx="520">
                  <c:v>0.45928682662283088</c:v>
                </c:pt>
                <c:pt idx="521">
                  <c:v>0.45866412051296807</c:v>
                </c:pt>
                <c:pt idx="522">
                  <c:v>0.45754794029195395</c:v>
                </c:pt>
                <c:pt idx="523">
                  <c:v>0.45742429036826576</c:v>
                </c:pt>
                <c:pt idx="524">
                  <c:v>0.4571772115407684</c:v>
                </c:pt>
                <c:pt idx="525">
                  <c:v>0.45705378246442857</c:v>
                </c:pt>
                <c:pt idx="526">
                  <c:v>0.45656079973544139</c:v>
                </c:pt>
                <c:pt idx="527">
                  <c:v>0.45643773701874274</c:v>
                </c:pt>
                <c:pt idx="528">
                  <c:v>0.45619183054597312</c:v>
                </c:pt>
                <c:pt idx="529">
                  <c:v>0.45545585669370253</c:v>
                </c:pt>
                <c:pt idx="530">
                  <c:v>0.45205545415321341</c:v>
                </c:pt>
                <c:pt idx="531">
                  <c:v>0.44811819908959938</c:v>
                </c:pt>
                <c:pt idx="532">
                  <c:v>0.44788196609686459</c:v>
                </c:pt>
                <c:pt idx="533">
                  <c:v>0.44741030699803891</c:v>
                </c:pt>
                <c:pt idx="534">
                  <c:v>0.44670482647128457</c:v>
                </c:pt>
                <c:pt idx="535">
                  <c:v>0.44600174124096692</c:v>
                </c:pt>
                <c:pt idx="536">
                  <c:v>0.44553434050988466</c:v>
                </c:pt>
                <c:pt idx="537">
                  <c:v>0.44495156936537794</c:v>
                </c:pt>
                <c:pt idx="538">
                  <c:v>0.44460269235950023</c:v>
                </c:pt>
                <c:pt idx="539">
                  <c:v>0.44402253382071466</c:v>
                </c:pt>
                <c:pt idx="540">
                  <c:v>0.44298232748178112</c:v>
                </c:pt>
                <c:pt idx="541">
                  <c:v>0.44275187851229086</c:v>
                </c:pt>
                <c:pt idx="542">
                  <c:v>0.44240668528448363</c:v>
                </c:pt>
                <c:pt idx="543">
                  <c:v>0.44217687578966286</c:v>
                </c:pt>
                <c:pt idx="544">
                  <c:v>0.4404613875762084</c:v>
                </c:pt>
                <c:pt idx="545">
                  <c:v>0.4401199890852</c:v>
                </c:pt>
                <c:pt idx="546">
                  <c:v>0.4389860428830214</c:v>
                </c:pt>
                <c:pt idx="547">
                  <c:v>0.43763345495685374</c:v>
                </c:pt>
                <c:pt idx="548">
                  <c:v>0.43651300944421745</c:v>
                </c:pt>
                <c:pt idx="549">
                  <c:v>0.43584364107387746</c:v>
                </c:pt>
                <c:pt idx="550">
                  <c:v>0.43573228976640938</c:v>
                </c:pt>
                <c:pt idx="551">
                  <c:v>0.43539859469999015</c:v>
                </c:pt>
                <c:pt idx="552">
                  <c:v>0.43517642972491327</c:v>
                </c:pt>
                <c:pt idx="553">
                  <c:v>0.43165383035175997</c:v>
                </c:pt>
                <c:pt idx="554">
                  <c:v>0.43002301485322619</c:v>
                </c:pt>
                <c:pt idx="555">
                  <c:v>0.42894289503294841</c:v>
                </c:pt>
                <c:pt idx="556">
                  <c:v>0.42883519219472438</c:v>
                </c:pt>
                <c:pt idx="557">
                  <c:v>0.42637335742103949</c:v>
                </c:pt>
                <c:pt idx="558">
                  <c:v>0.42289148234492685</c:v>
                </c:pt>
                <c:pt idx="559">
                  <c:v>0.42112036152350246</c:v>
                </c:pt>
                <c:pt idx="560">
                  <c:v>0.42091298571401065</c:v>
                </c:pt>
                <c:pt idx="561">
                  <c:v>0.42008555051734797</c:v>
                </c:pt>
                <c:pt idx="562">
                  <c:v>0.41926140417529079</c:v>
                </c:pt>
                <c:pt idx="563">
                  <c:v>0.41792911288883683</c:v>
                </c:pt>
                <c:pt idx="564">
                  <c:v>0.41418338068048555</c:v>
                </c:pt>
                <c:pt idx="565">
                  <c:v>0.41308269943929021</c:v>
                </c:pt>
                <c:pt idx="566">
                  <c:v>0.41238529256188872</c:v>
                </c:pt>
                <c:pt idx="567">
                  <c:v>0.411294081599478</c:v>
                </c:pt>
                <c:pt idx="568">
                  <c:v>0.41089869832740844</c:v>
                </c:pt>
                <c:pt idx="569">
                  <c:v>0.40429086142795218</c:v>
                </c:pt>
                <c:pt idx="570">
                  <c:v>0.40314662558116915</c:v>
                </c:pt>
                <c:pt idx="571">
                  <c:v>0.4026717572102006</c:v>
                </c:pt>
                <c:pt idx="572">
                  <c:v>0.40200880527447252</c:v>
                </c:pt>
                <c:pt idx="573">
                  <c:v>0.39742817065839614</c:v>
                </c:pt>
                <c:pt idx="574">
                  <c:v>0.39313089240985039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2AF-4382-9251-125CE67AF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758608"/>
        <c:axId val="939045168"/>
      </c:scatterChart>
      <c:valAx>
        <c:axId val="1404758608"/>
        <c:scaling>
          <c:orientation val="minMax"/>
          <c:max val="90"/>
          <c:min val="-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45168"/>
        <c:crossesAt val="-5.000000000000001E-2"/>
        <c:crossBetween val="midCat"/>
        <c:majorUnit val="6"/>
      </c:valAx>
      <c:valAx>
        <c:axId val="939045168"/>
        <c:scaling>
          <c:orientation val="minMax"/>
          <c:max val="1"/>
          <c:min val="-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1.2221789494562835E-2"/>
              <c:y val="0.39484826444887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.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58608"/>
        <c:crossesAt val="-3"/>
        <c:crossBetween val="midCat"/>
        <c:majorUnit val="0.1"/>
      </c:valAx>
      <c:spPr>
        <a:noFill/>
        <a:ln>
          <a:noFill/>
        </a:ln>
        <a:effectLst/>
      </c:spPr>
    </c:plotArea>
    <c:legend>
      <c:legendPos val="l"/>
      <c:legendEntry>
        <c:idx val="1"/>
        <c:delete val="1"/>
      </c:legendEntry>
      <c:layout>
        <c:manualLayout>
          <c:xMode val="edge"/>
          <c:yMode val="edge"/>
          <c:x val="0.29381955797594295"/>
          <c:y val="0.40585383242598105"/>
          <c:w val="0.16289748877466165"/>
          <c:h val="0.175827872229974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Recurrence-free</a:t>
            </a:r>
            <a:r>
              <a:rPr lang="en-US" baseline="0"/>
              <a:t> survival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29170084267798"/>
          <c:y val="8.3296957279531389E-2"/>
          <c:w val="0.84562529227214356"/>
          <c:h val="0.8200581854978972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'Survival-Plot'!$B$16</c:f>
              <c:strCache>
                <c:ptCount val="1"/>
                <c:pt idx="0">
                  <c:v>exp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'Survival-Plot'!$B$17:$B$32</c:f>
              <c:numCache>
                <c:formatCode>0.00000</c:formatCode>
                <c:ptCount val="16"/>
                <c:pt idx="0">
                  <c:v>1</c:v>
                </c:pt>
                <c:pt idx="1">
                  <c:v>0.93166057708355998</c:v>
                </c:pt>
                <c:pt idx="2">
                  <c:v>0.86799143089167208</c:v>
                </c:pt>
                <c:pt idx="3">
                  <c:v>0.80867339740812028</c:v>
                </c:pt>
                <c:pt idx="4">
                  <c:v>0.7534091241013724</c:v>
                </c:pt>
                <c:pt idx="5">
                  <c:v>0.70192157934030408</c:v>
                </c:pt>
                <c:pt idx="6">
                  <c:v>0.65395266367559157</c:v>
                </c:pt>
                <c:pt idx="7">
                  <c:v>0.60926191602533286</c:v>
                </c:pt>
                <c:pt idx="8">
                  <c:v>0.5676253082791971</c:v>
                </c:pt>
                <c:pt idx="9">
                  <c:v>0.52883412227863047</c:v>
                </c:pt>
                <c:pt idx="10">
                  <c:v>0.49269390354358683</c:v>
                </c:pt>
                <c:pt idx="11">
                  <c:v>0.45902348650096997</c:v>
                </c:pt>
                <c:pt idx="12">
                  <c:v>0.42765408632840141</c:v>
                </c:pt>
                <c:pt idx="13">
                  <c:v>0.39842845286086104</c:v>
                </c:pt>
                <c:pt idx="14">
                  <c:v>0.37120008231885981</c:v>
                </c:pt>
                <c:pt idx="15">
                  <c:v>0.34583248290665392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40-4571-A6BA-538BF258F7BD}"/>
            </c:ext>
          </c:extLst>
        </c:ser>
        <c:ser>
          <c:idx val="1"/>
          <c:order val="1"/>
          <c:tx>
            <c:strRef>
              <c:f>'Survival-Plot'!$C$16</c:f>
              <c:strCache>
                <c:ptCount val="1"/>
                <c:pt idx="0">
                  <c:v>weibull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'Survival-Plot'!$C$17:$C$32</c:f>
              <c:numCache>
                <c:formatCode>0.00000</c:formatCode>
                <c:ptCount val="16"/>
                <c:pt idx="0">
                  <c:v>1</c:v>
                </c:pt>
                <c:pt idx="1">
                  <c:v>0.96000491462390758</c:v>
                </c:pt>
                <c:pt idx="2">
                  <c:v>0.90616094948307169</c:v>
                </c:pt>
                <c:pt idx="3">
                  <c:v>0.84788572870825041</c:v>
                </c:pt>
                <c:pt idx="4">
                  <c:v>0.78829175278668295</c:v>
                </c:pt>
                <c:pt idx="5">
                  <c:v>0.72910898470914098</c:v>
                </c:pt>
                <c:pt idx="6">
                  <c:v>0.67142121648481712</c:v>
                </c:pt>
                <c:pt idx="7">
                  <c:v>0.61593326642871959</c:v>
                </c:pt>
                <c:pt idx="8">
                  <c:v>0.56310083088617313</c:v>
                </c:pt>
                <c:pt idx="9">
                  <c:v>0.51320516353442414</c:v>
                </c:pt>
                <c:pt idx="10">
                  <c:v>0.46640097327206759</c:v>
                </c:pt>
                <c:pt idx="11">
                  <c:v>0.4227494900414695</c:v>
                </c:pt>
                <c:pt idx="12">
                  <c:v>0.38224246550501451</c:v>
                </c:pt>
                <c:pt idx="13">
                  <c:v>0.34482019621388482</c:v>
                </c:pt>
                <c:pt idx="14">
                  <c:v>0.31038536638571596</c:v>
                </c:pt>
                <c:pt idx="15">
                  <c:v>0.27881383177156527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140-4571-A6BA-538BF258F7BD}"/>
            </c:ext>
          </c:extLst>
        </c:ser>
        <c:ser>
          <c:idx val="2"/>
          <c:order val="2"/>
          <c:tx>
            <c:strRef>
              <c:f>'Survival-Plot'!$D$16</c:f>
              <c:strCache>
                <c:ptCount val="1"/>
                <c:pt idx="0">
                  <c:v>weibullPH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'Survival-Plot'!$D$17:$D$32</c:f>
              <c:numCache>
                <c:formatCode>0.00000</c:formatCode>
                <c:ptCount val="16"/>
                <c:pt idx="0">
                  <c:v>1</c:v>
                </c:pt>
                <c:pt idx="1">
                  <c:v>0.96000491459207649</c:v>
                </c:pt>
                <c:pt idx="2">
                  <c:v>0.90616094926362856</c:v>
                </c:pt>
                <c:pt idx="3">
                  <c:v>0.84788572822975883</c:v>
                </c:pt>
                <c:pt idx="4">
                  <c:v>0.7882917520172964</c:v>
                </c:pt>
                <c:pt idx="5">
                  <c:v>0.72910898364204568</c:v>
                </c:pt>
                <c:pt idx="6">
                  <c:v>0.67142121513002528</c:v>
                </c:pt>
                <c:pt idx="7">
                  <c:v>0.61593326480756083</c:v>
                </c:pt>
                <c:pt idx="8">
                  <c:v>0.56310082902730552</c:v>
                </c:pt>
                <c:pt idx="9">
                  <c:v>0.51320516147085093</c:v>
                </c:pt>
                <c:pt idx="10">
                  <c:v>0.46640097103888284</c:v>
                </c:pt>
                <c:pt idx="11">
                  <c:v>0.42274948767416043</c:v>
                </c:pt>
                <c:pt idx="12">
                  <c:v>0.38224246303820264</c:v>
                </c:pt>
                <c:pt idx="13">
                  <c:v>0.3448201936804165</c:v>
                </c:pt>
                <c:pt idx="14">
                  <c:v>0.31038536381603354</c:v>
                </c:pt>
                <c:pt idx="15">
                  <c:v>0.27881382919330222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140-4571-A6BA-538BF258F7BD}"/>
            </c:ext>
          </c:extLst>
        </c:ser>
        <c:ser>
          <c:idx val="3"/>
          <c:order val="3"/>
          <c:tx>
            <c:strRef>
              <c:f>'Survival-Plot'!$E$16</c:f>
              <c:strCache>
                <c:ptCount val="1"/>
                <c:pt idx="0">
                  <c:v>gompertz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'Survival-Plot'!$E$17:$E$32</c:f>
              <c:numCache>
                <c:formatCode>0.00000</c:formatCode>
                <c:ptCount val="16"/>
                <c:pt idx="0">
                  <c:v>1</c:v>
                </c:pt>
                <c:pt idx="1">
                  <c:v>0.93884486634952879</c:v>
                </c:pt>
                <c:pt idx="2">
                  <c:v>0.87968852365130779</c:v>
                </c:pt>
                <c:pt idx="3">
                  <c:v>0.82258041131295323</c:v>
                </c:pt>
                <c:pt idx="4">
                  <c:v>0.7675636430930971</c:v>
                </c:pt>
                <c:pt idx="5">
                  <c:v>0.71467469110799309</c:v>
                </c:pt>
                <c:pt idx="6">
                  <c:v>0.66394310804819845</c:v>
                </c:pt>
                <c:pt idx="7">
                  <c:v>0.61539129217846855</c:v>
                </c:pt>
                <c:pt idx="8">
                  <c:v>0.56903429944960038</c:v>
                </c:pt>
                <c:pt idx="9">
                  <c:v>0.52487970671858086</c:v>
                </c:pt>
                <c:pt idx="10">
                  <c:v>0.48292752965072289</c:v>
                </c:pt>
                <c:pt idx="11">
                  <c:v>0.44317019836415106</c:v>
                </c:pt>
                <c:pt idx="12">
                  <c:v>0.40559259327460695</c:v>
                </c:pt>
                <c:pt idx="13">
                  <c:v>0.37017214291100498</c:v>
                </c:pt>
                <c:pt idx="14">
                  <c:v>0.3368789847058305</c:v>
                </c:pt>
                <c:pt idx="15">
                  <c:v>0.30567618892828069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140-4571-A6BA-538BF258F7BD}"/>
            </c:ext>
          </c:extLst>
        </c:ser>
        <c:ser>
          <c:idx val="4"/>
          <c:order val="4"/>
          <c:tx>
            <c:strRef>
              <c:f>'Survival-Plot'!$F$16</c:f>
              <c:strCache>
                <c:ptCount val="1"/>
                <c:pt idx="0">
                  <c:v>gamma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'Survival-Plot'!$F$17:$F$32</c:f>
              <c:numCache>
                <c:formatCode>0.00000</c:formatCode>
                <c:ptCount val="16"/>
                <c:pt idx="0">
                  <c:v>1</c:v>
                </c:pt>
                <c:pt idx="1">
                  <c:v>0.96604336137210089</c:v>
                </c:pt>
                <c:pt idx="2">
                  <c:v>0.91263785909377315</c:v>
                </c:pt>
                <c:pt idx="3">
                  <c:v>0.85253509079810563</c:v>
                </c:pt>
                <c:pt idx="4">
                  <c:v>0.79039216359708342</c:v>
                </c:pt>
                <c:pt idx="5">
                  <c:v>0.72870054922277716</c:v>
                </c:pt>
                <c:pt idx="6">
                  <c:v>0.66891095346606366</c:v>
                </c:pt>
                <c:pt idx="7">
                  <c:v>0.61187856863481449</c:v>
                </c:pt>
                <c:pt idx="8">
                  <c:v>0.55808777033078871</c:v>
                </c:pt>
                <c:pt idx="9">
                  <c:v>0.50778144396375202</c:v>
                </c:pt>
                <c:pt idx="10">
                  <c:v>0.46104165688808552</c:v>
                </c:pt>
                <c:pt idx="11">
                  <c:v>0.41784267300127353</c:v>
                </c:pt>
                <c:pt idx="12">
                  <c:v>0.37808701680794266</c:v>
                </c:pt>
                <c:pt idx="13">
                  <c:v>0.34163057069377534</c:v>
                </c:pt>
                <c:pt idx="14">
                  <c:v>0.30830028877948301</c:v>
                </c:pt>
                <c:pt idx="15">
                  <c:v>0.27790679089539916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140-4571-A6BA-538BF258F7BD}"/>
            </c:ext>
          </c:extLst>
        </c:ser>
        <c:ser>
          <c:idx val="5"/>
          <c:order val="5"/>
          <c:tx>
            <c:strRef>
              <c:f>'Survival-Plot'!$G$16</c:f>
              <c:strCache>
                <c:ptCount val="1"/>
                <c:pt idx="0">
                  <c:v>llogis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'Survival-Plot'!$G$17:$G$32</c:f>
              <c:numCache>
                <c:formatCode>0.00000</c:formatCode>
                <c:ptCount val="16"/>
                <c:pt idx="0">
                  <c:v>1</c:v>
                </c:pt>
                <c:pt idx="1">
                  <c:v>0.96665715662970919</c:v>
                </c:pt>
                <c:pt idx="2">
                  <c:v>0.90927103342185089</c:v>
                </c:pt>
                <c:pt idx="3">
                  <c:v>0.84335414002290043</c:v>
                </c:pt>
                <c:pt idx="4">
                  <c:v>0.77600449969343765</c:v>
                </c:pt>
                <c:pt idx="5">
                  <c:v>0.71106648533262407</c:v>
                </c:pt>
                <c:pt idx="6">
                  <c:v>0.65048350595971827</c:v>
                </c:pt>
                <c:pt idx="7">
                  <c:v>0.59506217394994076</c:v>
                </c:pt>
                <c:pt idx="8">
                  <c:v>0.54495283252429727</c:v>
                </c:pt>
                <c:pt idx="9">
                  <c:v>0.49994950518933867</c:v>
                </c:pt>
                <c:pt idx="10">
                  <c:v>0.45967158001908165</c:v>
                </c:pt>
                <c:pt idx="11">
                  <c:v>0.42366994072396696</c:v>
                </c:pt>
                <c:pt idx="12">
                  <c:v>0.39148627735834479</c:v>
                </c:pt>
                <c:pt idx="13">
                  <c:v>0.36268419127067308</c:v>
                </c:pt>
                <c:pt idx="14">
                  <c:v>0.33686377119335964</c:v>
                </c:pt>
                <c:pt idx="15">
                  <c:v>0.31366678259374692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140-4571-A6BA-538BF258F7BD}"/>
            </c:ext>
          </c:extLst>
        </c:ser>
        <c:ser>
          <c:idx val="6"/>
          <c:order val="6"/>
          <c:tx>
            <c:strRef>
              <c:f>'Survival-Plot'!$H$16</c:f>
              <c:strCache>
                <c:ptCount val="1"/>
                <c:pt idx="0">
                  <c:v>lnorm</c:v>
                </c:pt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'Survival-Plot'!$H$17:$H$32</c:f>
              <c:numCache>
                <c:formatCode>0.00000</c:formatCode>
                <c:ptCount val="16"/>
                <c:pt idx="0">
                  <c:v>1</c:v>
                </c:pt>
                <c:pt idx="1">
                  <c:v>0.97663197465607343</c:v>
                </c:pt>
                <c:pt idx="2">
                  <c:v>0.91408795557997735</c:v>
                </c:pt>
                <c:pt idx="3">
                  <c:v>0.84190865674819038</c:v>
                </c:pt>
                <c:pt idx="4">
                  <c:v>0.77157621571700308</c:v>
                </c:pt>
                <c:pt idx="5">
                  <c:v>0.70667811116856127</c:v>
                </c:pt>
                <c:pt idx="6">
                  <c:v>0.64803282709265297</c:v>
                </c:pt>
                <c:pt idx="7">
                  <c:v>0.59546115324560944</c:v>
                </c:pt>
                <c:pt idx="8">
                  <c:v>0.54844336765199553</c:v>
                </c:pt>
                <c:pt idx="9">
                  <c:v>0.50637564102039612</c:v>
                </c:pt>
                <c:pt idx="10">
                  <c:v>0.46867051603846244</c:v>
                </c:pt>
                <c:pt idx="11">
                  <c:v>0.43479345368020472</c:v>
                </c:pt>
                <c:pt idx="12">
                  <c:v>0.40427254395049572</c:v>
                </c:pt>
                <c:pt idx="13">
                  <c:v>0.37669711198883182</c:v>
                </c:pt>
                <c:pt idx="14">
                  <c:v>0.35171209476277498</c:v>
                </c:pt>
                <c:pt idx="15">
                  <c:v>0.32901121662618282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140-4571-A6BA-538BF258F7BD}"/>
            </c:ext>
          </c:extLst>
        </c:ser>
        <c:ser>
          <c:idx val="7"/>
          <c:order val="7"/>
          <c:tx>
            <c:strRef>
              <c:f>'Survival-Plot'!$I$16</c:f>
              <c:strCache>
                <c:ptCount val="1"/>
                <c:pt idx="0">
                  <c:v>gengamma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'Survival-Plot'!$I$17:$I$32</c:f>
              <c:numCache>
                <c:formatCode>0.00000</c:formatCode>
                <c:ptCount val="16"/>
                <c:pt idx="0">
                  <c:v>1</c:v>
                </c:pt>
                <c:pt idx="1">
                  <c:v>0.98385566378075573</c:v>
                </c:pt>
                <c:pt idx="2">
                  <c:v>0.91145392635411837</c:v>
                </c:pt>
                <c:pt idx="3">
                  <c:v>0.82843913468216002</c:v>
                </c:pt>
                <c:pt idx="4">
                  <c:v>0.75369079603473288</c:v>
                </c:pt>
                <c:pt idx="5">
                  <c:v>0.68967776493526656</c:v>
                </c:pt>
                <c:pt idx="6">
                  <c:v>0.63526441049374027</c:v>
                </c:pt>
                <c:pt idx="7">
                  <c:v>0.58879478677863206</c:v>
                </c:pt>
                <c:pt idx="8">
                  <c:v>0.54878286310698698</c:v>
                </c:pt>
                <c:pt idx="9">
                  <c:v>0.51402373375899368</c:v>
                </c:pt>
                <c:pt idx="10">
                  <c:v>0.48356726922257498</c:v>
                </c:pt>
                <c:pt idx="11">
                  <c:v>0.45666746051790463</c:v>
                </c:pt>
                <c:pt idx="12">
                  <c:v>0.43273584720203784</c:v>
                </c:pt>
                <c:pt idx="13">
                  <c:v>0.41130444589585202</c:v>
                </c:pt>
                <c:pt idx="14">
                  <c:v>0.3919975726551701</c:v>
                </c:pt>
                <c:pt idx="15">
                  <c:v>0.3745107263599663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140-4571-A6BA-538BF258F7BD}"/>
            </c:ext>
          </c:extLst>
        </c:ser>
        <c:ser>
          <c:idx val="8"/>
          <c:order val="8"/>
          <c:tx>
            <c:strRef>
              <c:f>'Survival-Plot'!$J$16</c:f>
              <c:strCache>
                <c:ptCount val="1"/>
                <c:pt idx="0">
                  <c:v>gengamma_orig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'Survival-Plot'!$J$17:$J$32</c:f>
              <c:numCache>
                <c:formatCode>0.00000</c:formatCode>
                <c:ptCount val="16"/>
                <c:pt idx="0">
                  <c:v>1</c:v>
                </c:pt>
                <c:pt idx="1">
                  <c:v>0.97447083609246044</c:v>
                </c:pt>
                <c:pt idx="2">
                  <c:v>0.91451259633599458</c:v>
                </c:pt>
                <c:pt idx="3">
                  <c:v>0.84549756913482899</c:v>
                </c:pt>
                <c:pt idx="4">
                  <c:v>0.77709385094389527</c:v>
                </c:pt>
                <c:pt idx="5">
                  <c:v>0.71279691271675882</c:v>
                </c:pt>
                <c:pt idx="6">
                  <c:v>0.65372698613814273</c:v>
                </c:pt>
                <c:pt idx="7">
                  <c:v>0.60003032536041023</c:v>
                </c:pt>
                <c:pt idx="8">
                  <c:v>0.55145054813124283</c:v>
                </c:pt>
                <c:pt idx="9">
                  <c:v>0.50757774927280108</c:v>
                </c:pt>
                <c:pt idx="10">
                  <c:v>0.46796090605109431</c:v>
                </c:pt>
                <c:pt idx="11">
                  <c:v>0.43215855438568174</c:v>
                </c:pt>
                <c:pt idx="12">
                  <c:v>0.39976043728451383</c:v>
                </c:pt>
                <c:pt idx="13">
                  <c:v>0.37039522073110609</c:v>
                </c:pt>
                <c:pt idx="14">
                  <c:v>0.34373153812520241</c:v>
                </c:pt>
                <c:pt idx="15">
                  <c:v>0.31947595373842153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140-4571-A6BA-538BF258F7BD}"/>
            </c:ext>
          </c:extLst>
        </c:ser>
        <c:ser>
          <c:idx val="9"/>
          <c:order val="9"/>
          <c:tx>
            <c:strRef>
              <c:f>'Survival-Plot'!$K$16</c:f>
              <c:strCache>
                <c:ptCount val="1"/>
                <c:pt idx="0">
                  <c:v>genf</c:v>
                </c:pt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'Survival-Plot'!$K$17:$K$32</c:f>
              <c:numCache>
                <c:formatCode>0.00000</c:formatCode>
                <c:ptCount val="16"/>
                <c:pt idx="0">
                  <c:v>1</c:v>
                </c:pt>
                <c:pt idx="1">
                  <c:v>0.98443134499209128</c:v>
                </c:pt>
                <c:pt idx="2">
                  <c:v>0.91290265751694288</c:v>
                </c:pt>
                <c:pt idx="3">
                  <c:v>0.82790240881480626</c:v>
                </c:pt>
                <c:pt idx="4">
                  <c:v>0.75140750151609392</c:v>
                </c:pt>
                <c:pt idx="5">
                  <c:v>0.68665967906975467</c:v>
                </c:pt>
                <c:pt idx="6">
                  <c:v>0.6323698372169535</c:v>
                </c:pt>
                <c:pt idx="7">
                  <c:v>0.58659984047149738</c:v>
                </c:pt>
                <c:pt idx="8">
                  <c:v>0.54763510865587961</c:v>
                </c:pt>
                <c:pt idx="9">
                  <c:v>0.51411292548281273</c:v>
                </c:pt>
                <c:pt idx="10">
                  <c:v>0.48498031100626171</c:v>
                </c:pt>
                <c:pt idx="11">
                  <c:v>0.45942617293849286</c:v>
                </c:pt>
                <c:pt idx="12">
                  <c:v>0.43682184891664477</c:v>
                </c:pt>
                <c:pt idx="13">
                  <c:v>0.41667528687782662</c:v>
                </c:pt>
                <c:pt idx="14">
                  <c:v>0.3985971255329197</c:v>
                </c:pt>
                <c:pt idx="15">
                  <c:v>0.38227584894677513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140-4571-A6BA-538BF258F7BD}"/>
            </c:ext>
          </c:extLst>
        </c:ser>
        <c:ser>
          <c:idx val="10"/>
          <c:order val="10"/>
          <c:tx>
            <c:strRef>
              <c:f>'Survival-Plot'!$L$16</c:f>
              <c:strCache>
                <c:ptCount val="1"/>
                <c:pt idx="0">
                  <c:v>genf_orig</c:v>
                </c:pt>
              </c:strCache>
            </c:strRef>
          </c:tx>
          <c:spPr>
            <a:ln w="127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'Survival-Plot'!$A$17:$A$32</c:f>
              <c:numCache>
                <c:formatCode>General</c:formatCode>
                <c:ptCount val="16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</c:numCache>
            </c:numRef>
          </c:xVal>
          <c:yVal>
            <c:numRef>
              <c:f>'Survival-Plot'!$L$17:$L$32</c:f>
              <c:numCache>
                <c:formatCode>0.00000</c:formatCode>
                <c:ptCount val="16"/>
                <c:pt idx="0">
                  <c:v>1</c:v>
                </c:pt>
                <c:pt idx="1">
                  <c:v>0.98442813261391715</c:v>
                </c:pt>
                <c:pt idx="2">
                  <c:v>0.91290967487928787</c:v>
                </c:pt>
                <c:pt idx="3">
                  <c:v>0.82791175174245279</c:v>
                </c:pt>
                <c:pt idx="4">
                  <c:v>0.75141246653476479</c:v>
                </c:pt>
                <c:pt idx="5">
                  <c:v>0.68665828955794994</c:v>
                </c:pt>
                <c:pt idx="6">
                  <c:v>0.63236218462352922</c:v>
                </c:pt>
                <c:pt idx="7">
                  <c:v>0.58658668266656333</c:v>
                </c:pt>
                <c:pt idx="8">
                  <c:v>0.54761732539017349</c:v>
                </c:pt>
                <c:pt idx="9">
                  <c:v>0.51409133113969663</c:v>
                </c:pt>
                <c:pt idx="10">
                  <c:v>0.48495560350154343</c:v>
                </c:pt>
                <c:pt idx="11">
                  <c:v>0.45939893180498614</c:v>
                </c:pt>
                <c:pt idx="12">
                  <c:v>0.43679254920793731</c:v>
                </c:pt>
                <c:pt idx="13">
                  <c:v>0.41664431636597554</c:v>
                </c:pt>
                <c:pt idx="14">
                  <c:v>0.39856480078516088</c:v>
                </c:pt>
                <c:pt idx="15">
                  <c:v>0.38224242900532646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140-4571-A6BA-538BF258F7BD}"/>
            </c:ext>
          </c:extLst>
        </c:ser>
        <c:ser>
          <c:idx val="11"/>
          <c:order val="11"/>
          <c:tx>
            <c:v>Kaplan Meier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Data!$M$6:$M$547</c:f>
              <c:numCache>
                <c:formatCode>0.0000</c:formatCode>
                <c:ptCount val="542"/>
                <c:pt idx="0">
                  <c:v>0</c:v>
                </c:pt>
                <c:pt idx="1">
                  <c:v>2.3655030800821355</c:v>
                </c:pt>
                <c:pt idx="2">
                  <c:v>2.3655030800821355</c:v>
                </c:pt>
                <c:pt idx="3">
                  <c:v>3.2197125256673513</c:v>
                </c:pt>
                <c:pt idx="4">
                  <c:v>3.2197125256673513</c:v>
                </c:pt>
                <c:pt idx="5">
                  <c:v>3.7125256673511293</c:v>
                </c:pt>
                <c:pt idx="6">
                  <c:v>3.7125256673511293</c:v>
                </c:pt>
                <c:pt idx="7">
                  <c:v>3.9425051334702257</c:v>
                </c:pt>
                <c:pt idx="8">
                  <c:v>3.9425051334702257</c:v>
                </c:pt>
                <c:pt idx="9">
                  <c:v>5.2566735112936342</c:v>
                </c:pt>
                <c:pt idx="10">
                  <c:v>5.2566735112936342</c:v>
                </c:pt>
                <c:pt idx="11">
                  <c:v>5.5523613963039011</c:v>
                </c:pt>
                <c:pt idx="12">
                  <c:v>5.5523613963039011</c:v>
                </c:pt>
                <c:pt idx="13">
                  <c:v>5.6180698151950716</c:v>
                </c:pt>
                <c:pt idx="14">
                  <c:v>5.6180698151950716</c:v>
                </c:pt>
                <c:pt idx="15">
                  <c:v>5.6837782340862422</c:v>
                </c:pt>
                <c:pt idx="16">
                  <c:v>5.6837782340862422</c:v>
                </c:pt>
                <c:pt idx="17">
                  <c:v>5.7494866529774127</c:v>
                </c:pt>
                <c:pt idx="18">
                  <c:v>5.7494866529774127</c:v>
                </c:pt>
                <c:pt idx="19">
                  <c:v>5.8151950718685832</c:v>
                </c:pt>
                <c:pt idx="20">
                  <c:v>5.8151950718685832</c:v>
                </c:pt>
                <c:pt idx="21">
                  <c:v>5.9137577002053385</c:v>
                </c:pt>
                <c:pt idx="22">
                  <c:v>5.9137577002053385</c:v>
                </c:pt>
                <c:pt idx="23">
                  <c:v>5.9466119096509242</c:v>
                </c:pt>
                <c:pt idx="24">
                  <c:v>5.9466119096509242</c:v>
                </c:pt>
                <c:pt idx="25">
                  <c:v>6.0451745379876796</c:v>
                </c:pt>
                <c:pt idx="26">
                  <c:v>6.0451745379876796</c:v>
                </c:pt>
                <c:pt idx="27">
                  <c:v>6.2751540041067759</c:v>
                </c:pt>
                <c:pt idx="28">
                  <c:v>6.2751540041067759</c:v>
                </c:pt>
                <c:pt idx="29">
                  <c:v>6.406570841889117</c:v>
                </c:pt>
                <c:pt idx="30">
                  <c:v>6.406570841889117</c:v>
                </c:pt>
                <c:pt idx="31">
                  <c:v>6.7351129363449695</c:v>
                </c:pt>
                <c:pt idx="32">
                  <c:v>6.7351129363449695</c:v>
                </c:pt>
                <c:pt idx="33">
                  <c:v>7.3264887063655033</c:v>
                </c:pt>
                <c:pt idx="34">
                  <c:v>7.3264887063655033</c:v>
                </c:pt>
                <c:pt idx="35">
                  <c:v>7.4579055441478443</c:v>
                </c:pt>
                <c:pt idx="36">
                  <c:v>7.4579055441478443</c:v>
                </c:pt>
                <c:pt idx="37">
                  <c:v>7.655030800821355</c:v>
                </c:pt>
                <c:pt idx="38">
                  <c:v>7.655030800821355</c:v>
                </c:pt>
                <c:pt idx="39">
                  <c:v>7.8193018480492817</c:v>
                </c:pt>
                <c:pt idx="40">
                  <c:v>7.8193018480492817</c:v>
                </c:pt>
                <c:pt idx="41">
                  <c:v>7.9178644763860371</c:v>
                </c:pt>
                <c:pt idx="42">
                  <c:v>7.9178644763860371</c:v>
                </c:pt>
                <c:pt idx="43">
                  <c:v>7.9507186858316219</c:v>
                </c:pt>
                <c:pt idx="44">
                  <c:v>7.9507186858316219</c:v>
                </c:pt>
                <c:pt idx="45">
                  <c:v>8.1149897330595486</c:v>
                </c:pt>
                <c:pt idx="46">
                  <c:v>8.1149897330595486</c:v>
                </c:pt>
                <c:pt idx="47">
                  <c:v>8.1806981519507183</c:v>
                </c:pt>
                <c:pt idx="48">
                  <c:v>8.1806981519507183</c:v>
                </c:pt>
                <c:pt idx="49">
                  <c:v>8.2464065708418897</c:v>
                </c:pt>
                <c:pt idx="50">
                  <c:v>8.2464065708418897</c:v>
                </c:pt>
                <c:pt idx="51">
                  <c:v>8.9363449691991779</c:v>
                </c:pt>
                <c:pt idx="52">
                  <c:v>8.9363449691991779</c:v>
                </c:pt>
                <c:pt idx="53">
                  <c:v>9.0349075975359341</c:v>
                </c:pt>
                <c:pt idx="54">
                  <c:v>9.0349075975359341</c:v>
                </c:pt>
                <c:pt idx="55">
                  <c:v>9.2320328542094447</c:v>
                </c:pt>
                <c:pt idx="56">
                  <c:v>9.2320328542094447</c:v>
                </c:pt>
                <c:pt idx="57">
                  <c:v>9.3634496919917858</c:v>
                </c:pt>
                <c:pt idx="58">
                  <c:v>9.3634496919917858</c:v>
                </c:pt>
                <c:pt idx="59">
                  <c:v>9.3963039014373724</c:v>
                </c:pt>
                <c:pt idx="60">
                  <c:v>9.3963039014373724</c:v>
                </c:pt>
                <c:pt idx="61">
                  <c:v>9.462012320328542</c:v>
                </c:pt>
                <c:pt idx="62">
                  <c:v>9.462012320328542</c:v>
                </c:pt>
                <c:pt idx="63">
                  <c:v>9.6262833675564679</c:v>
                </c:pt>
                <c:pt idx="64">
                  <c:v>9.6262833675564679</c:v>
                </c:pt>
                <c:pt idx="65">
                  <c:v>10.020533880903491</c:v>
                </c:pt>
                <c:pt idx="66">
                  <c:v>10.020533880903491</c:v>
                </c:pt>
                <c:pt idx="67">
                  <c:v>10.086242299794661</c:v>
                </c:pt>
                <c:pt idx="68">
                  <c:v>10.086242299794661</c:v>
                </c:pt>
                <c:pt idx="69">
                  <c:v>10.119096509240247</c:v>
                </c:pt>
                <c:pt idx="70">
                  <c:v>10.119096509240247</c:v>
                </c:pt>
                <c:pt idx="71">
                  <c:v>10.381930184804927</c:v>
                </c:pt>
                <c:pt idx="72">
                  <c:v>10.381930184804927</c:v>
                </c:pt>
                <c:pt idx="73">
                  <c:v>10.809034907597535</c:v>
                </c:pt>
                <c:pt idx="74">
                  <c:v>10.809034907597535</c:v>
                </c:pt>
                <c:pt idx="75">
                  <c:v>11.039014373716633</c:v>
                </c:pt>
                <c:pt idx="76">
                  <c:v>11.039014373716633</c:v>
                </c:pt>
                <c:pt idx="77">
                  <c:v>11.104722792607802</c:v>
                </c:pt>
                <c:pt idx="78">
                  <c:v>11.104722792607802</c:v>
                </c:pt>
                <c:pt idx="79">
                  <c:v>11.268993839835728</c:v>
                </c:pt>
                <c:pt idx="80">
                  <c:v>11.268993839835728</c:v>
                </c:pt>
                <c:pt idx="81">
                  <c:v>11.301848049281315</c:v>
                </c:pt>
                <c:pt idx="82">
                  <c:v>11.301848049281315</c:v>
                </c:pt>
                <c:pt idx="83">
                  <c:v>11.433264887063656</c:v>
                </c:pt>
                <c:pt idx="84">
                  <c:v>11.433264887063656</c:v>
                </c:pt>
                <c:pt idx="85">
                  <c:v>11.498973305954825</c:v>
                </c:pt>
                <c:pt idx="86">
                  <c:v>11.498973305954825</c:v>
                </c:pt>
                <c:pt idx="87">
                  <c:v>11.597535934291582</c:v>
                </c:pt>
                <c:pt idx="88">
                  <c:v>11.597535934291582</c:v>
                </c:pt>
                <c:pt idx="89">
                  <c:v>11.728952772073923</c:v>
                </c:pt>
                <c:pt idx="90">
                  <c:v>11.728952772073923</c:v>
                </c:pt>
                <c:pt idx="91">
                  <c:v>11.761806981519507</c:v>
                </c:pt>
                <c:pt idx="92">
                  <c:v>11.761806981519507</c:v>
                </c:pt>
                <c:pt idx="93">
                  <c:v>11.794661190965092</c:v>
                </c:pt>
                <c:pt idx="94">
                  <c:v>11.794661190965092</c:v>
                </c:pt>
                <c:pt idx="95">
                  <c:v>11.827515400410677</c:v>
                </c:pt>
                <c:pt idx="96">
                  <c:v>11.827515400410677</c:v>
                </c:pt>
                <c:pt idx="97">
                  <c:v>12.123203285420944</c:v>
                </c:pt>
                <c:pt idx="98">
                  <c:v>12.123203285420944</c:v>
                </c:pt>
                <c:pt idx="99">
                  <c:v>12.156057494866531</c:v>
                </c:pt>
                <c:pt idx="100">
                  <c:v>12.156057494866531</c:v>
                </c:pt>
                <c:pt idx="101">
                  <c:v>12.188911704312115</c:v>
                </c:pt>
                <c:pt idx="102">
                  <c:v>12.188911704312115</c:v>
                </c:pt>
                <c:pt idx="103">
                  <c:v>12.2217659137577</c:v>
                </c:pt>
                <c:pt idx="104">
                  <c:v>12.2217659137577</c:v>
                </c:pt>
                <c:pt idx="105">
                  <c:v>12.28747433264887</c:v>
                </c:pt>
                <c:pt idx="106">
                  <c:v>12.28747433264887</c:v>
                </c:pt>
                <c:pt idx="107">
                  <c:v>12.320328542094456</c:v>
                </c:pt>
                <c:pt idx="108">
                  <c:v>12.320328542094456</c:v>
                </c:pt>
                <c:pt idx="109">
                  <c:v>12.386036960985626</c:v>
                </c:pt>
                <c:pt idx="110">
                  <c:v>12.386036960985626</c:v>
                </c:pt>
                <c:pt idx="111">
                  <c:v>12.451745379876797</c:v>
                </c:pt>
                <c:pt idx="112">
                  <c:v>12.451745379876797</c:v>
                </c:pt>
                <c:pt idx="113">
                  <c:v>12.648870636550308</c:v>
                </c:pt>
                <c:pt idx="114">
                  <c:v>12.648870636550308</c:v>
                </c:pt>
                <c:pt idx="115">
                  <c:v>12.878850102669405</c:v>
                </c:pt>
                <c:pt idx="116">
                  <c:v>12.878850102669405</c:v>
                </c:pt>
                <c:pt idx="117">
                  <c:v>12.944558521560575</c:v>
                </c:pt>
                <c:pt idx="118">
                  <c:v>12.944558521560575</c:v>
                </c:pt>
                <c:pt idx="119">
                  <c:v>13.240246406570842</c:v>
                </c:pt>
                <c:pt idx="120">
                  <c:v>13.240246406570842</c:v>
                </c:pt>
                <c:pt idx="121">
                  <c:v>13.470225872689939</c:v>
                </c:pt>
                <c:pt idx="122">
                  <c:v>13.470225872689939</c:v>
                </c:pt>
                <c:pt idx="123">
                  <c:v>13.634496919917865</c:v>
                </c:pt>
                <c:pt idx="124">
                  <c:v>13.634496919917865</c:v>
                </c:pt>
                <c:pt idx="125">
                  <c:v>13.700205338809035</c:v>
                </c:pt>
                <c:pt idx="126">
                  <c:v>13.700205338809035</c:v>
                </c:pt>
                <c:pt idx="127">
                  <c:v>13.798767967145791</c:v>
                </c:pt>
                <c:pt idx="128">
                  <c:v>13.798767967145791</c:v>
                </c:pt>
                <c:pt idx="129">
                  <c:v>13.995893223819301</c:v>
                </c:pt>
                <c:pt idx="130">
                  <c:v>13.995893223819301</c:v>
                </c:pt>
                <c:pt idx="131">
                  <c:v>14.324435318275153</c:v>
                </c:pt>
                <c:pt idx="132">
                  <c:v>14.324435318275153</c:v>
                </c:pt>
                <c:pt idx="133">
                  <c:v>14.390143737166325</c:v>
                </c:pt>
                <c:pt idx="134">
                  <c:v>14.390143737166325</c:v>
                </c:pt>
                <c:pt idx="135">
                  <c:v>14.652977412731007</c:v>
                </c:pt>
                <c:pt idx="136">
                  <c:v>14.652977412731007</c:v>
                </c:pt>
                <c:pt idx="137">
                  <c:v>14.718685831622176</c:v>
                </c:pt>
                <c:pt idx="138">
                  <c:v>14.718685831622176</c:v>
                </c:pt>
                <c:pt idx="139">
                  <c:v>14.751540041067761</c:v>
                </c:pt>
                <c:pt idx="140">
                  <c:v>14.751540041067761</c:v>
                </c:pt>
                <c:pt idx="141">
                  <c:v>14.948665297741274</c:v>
                </c:pt>
                <c:pt idx="142">
                  <c:v>14.948665297741274</c:v>
                </c:pt>
                <c:pt idx="143">
                  <c:v>14.981519507186858</c:v>
                </c:pt>
                <c:pt idx="144">
                  <c:v>14.981519507186858</c:v>
                </c:pt>
                <c:pt idx="145">
                  <c:v>15.112936344969199</c:v>
                </c:pt>
                <c:pt idx="146">
                  <c:v>15.112936344969199</c:v>
                </c:pt>
                <c:pt idx="147">
                  <c:v>15.277207392197125</c:v>
                </c:pt>
                <c:pt idx="148">
                  <c:v>15.277207392197125</c:v>
                </c:pt>
                <c:pt idx="149">
                  <c:v>15.474332648870636</c:v>
                </c:pt>
                <c:pt idx="150">
                  <c:v>15.474332648870636</c:v>
                </c:pt>
                <c:pt idx="151">
                  <c:v>15.540041067761807</c:v>
                </c:pt>
                <c:pt idx="152">
                  <c:v>15.540041067761807</c:v>
                </c:pt>
                <c:pt idx="153">
                  <c:v>15.605749486652977</c:v>
                </c:pt>
                <c:pt idx="154">
                  <c:v>15.605749486652977</c:v>
                </c:pt>
                <c:pt idx="155">
                  <c:v>15.638603696098563</c:v>
                </c:pt>
                <c:pt idx="156">
                  <c:v>15.638603696098563</c:v>
                </c:pt>
                <c:pt idx="157">
                  <c:v>15.802874743326489</c:v>
                </c:pt>
                <c:pt idx="158">
                  <c:v>15.802874743326489</c:v>
                </c:pt>
                <c:pt idx="159">
                  <c:v>15.967145790554415</c:v>
                </c:pt>
                <c:pt idx="160">
                  <c:v>15.967145790554415</c:v>
                </c:pt>
                <c:pt idx="161">
                  <c:v>16.098562628336754</c:v>
                </c:pt>
                <c:pt idx="162">
                  <c:v>16.098562628336754</c:v>
                </c:pt>
                <c:pt idx="163">
                  <c:v>16.131416837782339</c:v>
                </c:pt>
                <c:pt idx="164">
                  <c:v>16.131416837782339</c:v>
                </c:pt>
                <c:pt idx="165">
                  <c:v>16.262833675564682</c:v>
                </c:pt>
                <c:pt idx="166">
                  <c:v>16.262833675564682</c:v>
                </c:pt>
                <c:pt idx="167">
                  <c:v>16.361396303901437</c:v>
                </c:pt>
                <c:pt idx="168">
                  <c:v>16.361396303901437</c:v>
                </c:pt>
                <c:pt idx="169">
                  <c:v>16.427104722792606</c:v>
                </c:pt>
                <c:pt idx="170">
                  <c:v>16.427104722792606</c:v>
                </c:pt>
                <c:pt idx="171">
                  <c:v>16.492813141683779</c:v>
                </c:pt>
                <c:pt idx="172">
                  <c:v>16.492813141683779</c:v>
                </c:pt>
                <c:pt idx="173">
                  <c:v>16.525667351129364</c:v>
                </c:pt>
                <c:pt idx="174">
                  <c:v>16.525667351129364</c:v>
                </c:pt>
                <c:pt idx="175">
                  <c:v>16.558521560574949</c:v>
                </c:pt>
                <c:pt idx="176">
                  <c:v>16.558521560574949</c:v>
                </c:pt>
                <c:pt idx="177">
                  <c:v>16.919917864476385</c:v>
                </c:pt>
                <c:pt idx="178">
                  <c:v>16.919917864476385</c:v>
                </c:pt>
                <c:pt idx="179">
                  <c:v>17.018480492813143</c:v>
                </c:pt>
                <c:pt idx="180">
                  <c:v>17.018480492813143</c:v>
                </c:pt>
                <c:pt idx="181">
                  <c:v>17.248459958932237</c:v>
                </c:pt>
                <c:pt idx="182">
                  <c:v>17.248459958932237</c:v>
                </c:pt>
                <c:pt idx="183">
                  <c:v>17.37987679671458</c:v>
                </c:pt>
                <c:pt idx="184">
                  <c:v>17.37987679671458</c:v>
                </c:pt>
                <c:pt idx="185">
                  <c:v>17.412731006160165</c:v>
                </c:pt>
                <c:pt idx="186">
                  <c:v>17.412731006160165</c:v>
                </c:pt>
                <c:pt idx="187">
                  <c:v>17.511293634496919</c:v>
                </c:pt>
                <c:pt idx="188">
                  <c:v>17.511293634496919</c:v>
                </c:pt>
                <c:pt idx="189">
                  <c:v>17.577002053388089</c:v>
                </c:pt>
                <c:pt idx="190">
                  <c:v>17.577002053388089</c:v>
                </c:pt>
                <c:pt idx="191">
                  <c:v>17.609856262833677</c:v>
                </c:pt>
                <c:pt idx="192">
                  <c:v>17.609856262833677</c:v>
                </c:pt>
                <c:pt idx="193">
                  <c:v>17.642710472279262</c:v>
                </c:pt>
                <c:pt idx="194">
                  <c:v>17.642710472279262</c:v>
                </c:pt>
                <c:pt idx="195">
                  <c:v>17.741273100616016</c:v>
                </c:pt>
                <c:pt idx="196">
                  <c:v>17.741273100616016</c:v>
                </c:pt>
                <c:pt idx="197">
                  <c:v>17.806981519507186</c:v>
                </c:pt>
                <c:pt idx="198">
                  <c:v>17.806981519507186</c:v>
                </c:pt>
                <c:pt idx="199">
                  <c:v>17.872689938398356</c:v>
                </c:pt>
                <c:pt idx="200">
                  <c:v>17.872689938398356</c:v>
                </c:pt>
                <c:pt idx="201">
                  <c:v>17.905544147843944</c:v>
                </c:pt>
                <c:pt idx="202">
                  <c:v>17.905544147843944</c:v>
                </c:pt>
                <c:pt idx="203">
                  <c:v>17.971252566735114</c:v>
                </c:pt>
                <c:pt idx="204">
                  <c:v>17.971252566735114</c:v>
                </c:pt>
                <c:pt idx="205">
                  <c:v>18.004106776180699</c:v>
                </c:pt>
                <c:pt idx="206">
                  <c:v>18.004106776180699</c:v>
                </c:pt>
                <c:pt idx="207">
                  <c:v>18.069815195071868</c:v>
                </c:pt>
                <c:pt idx="208">
                  <c:v>18.069815195071868</c:v>
                </c:pt>
                <c:pt idx="209">
                  <c:v>18.135523613963038</c:v>
                </c:pt>
                <c:pt idx="210">
                  <c:v>18.135523613963038</c:v>
                </c:pt>
                <c:pt idx="211">
                  <c:v>18.201232032854211</c:v>
                </c:pt>
                <c:pt idx="212">
                  <c:v>18.201232032854211</c:v>
                </c:pt>
                <c:pt idx="213">
                  <c:v>18.299794661190965</c:v>
                </c:pt>
                <c:pt idx="214">
                  <c:v>18.299794661190965</c:v>
                </c:pt>
                <c:pt idx="215">
                  <c:v>18.365503080082135</c:v>
                </c:pt>
                <c:pt idx="216">
                  <c:v>18.365503080082135</c:v>
                </c:pt>
                <c:pt idx="217">
                  <c:v>18.496919917864478</c:v>
                </c:pt>
                <c:pt idx="218">
                  <c:v>18.496919917864478</c:v>
                </c:pt>
                <c:pt idx="219">
                  <c:v>18.529774127310063</c:v>
                </c:pt>
                <c:pt idx="220">
                  <c:v>18.529774127310063</c:v>
                </c:pt>
                <c:pt idx="221">
                  <c:v>18.759753593429156</c:v>
                </c:pt>
                <c:pt idx="222">
                  <c:v>18.759753593429156</c:v>
                </c:pt>
                <c:pt idx="223">
                  <c:v>18.82546201232033</c:v>
                </c:pt>
                <c:pt idx="224">
                  <c:v>18.82546201232033</c:v>
                </c:pt>
                <c:pt idx="225">
                  <c:v>18.891170431211499</c:v>
                </c:pt>
                <c:pt idx="226">
                  <c:v>18.891170431211499</c:v>
                </c:pt>
                <c:pt idx="227">
                  <c:v>18.956878850102669</c:v>
                </c:pt>
                <c:pt idx="228">
                  <c:v>18.956878850102669</c:v>
                </c:pt>
                <c:pt idx="229">
                  <c:v>18.989733059548254</c:v>
                </c:pt>
                <c:pt idx="230">
                  <c:v>18.989733059548254</c:v>
                </c:pt>
                <c:pt idx="231">
                  <c:v>19.022587268993838</c:v>
                </c:pt>
                <c:pt idx="232">
                  <c:v>19.022587268993838</c:v>
                </c:pt>
                <c:pt idx="233">
                  <c:v>19.252566735112936</c:v>
                </c:pt>
                <c:pt idx="234">
                  <c:v>19.252566735112936</c:v>
                </c:pt>
                <c:pt idx="235">
                  <c:v>19.515400410677618</c:v>
                </c:pt>
                <c:pt idx="236">
                  <c:v>19.515400410677618</c:v>
                </c:pt>
                <c:pt idx="237">
                  <c:v>19.548254620123203</c:v>
                </c:pt>
                <c:pt idx="238">
                  <c:v>19.548254620123203</c:v>
                </c:pt>
                <c:pt idx="239">
                  <c:v>19.646817248459961</c:v>
                </c:pt>
                <c:pt idx="240">
                  <c:v>19.646817248459961</c:v>
                </c:pt>
                <c:pt idx="241">
                  <c:v>19.71252566735113</c:v>
                </c:pt>
                <c:pt idx="242">
                  <c:v>19.71252566735113</c:v>
                </c:pt>
                <c:pt idx="243">
                  <c:v>20.106776180698152</c:v>
                </c:pt>
                <c:pt idx="244">
                  <c:v>20.106776180698152</c:v>
                </c:pt>
                <c:pt idx="245">
                  <c:v>20.435318275154003</c:v>
                </c:pt>
                <c:pt idx="246">
                  <c:v>20.435318275154003</c:v>
                </c:pt>
                <c:pt idx="247">
                  <c:v>20.501026694045173</c:v>
                </c:pt>
                <c:pt idx="248">
                  <c:v>20.501026694045173</c:v>
                </c:pt>
                <c:pt idx="249">
                  <c:v>20.6652977412731</c:v>
                </c:pt>
                <c:pt idx="250">
                  <c:v>20.6652977412731</c:v>
                </c:pt>
                <c:pt idx="251">
                  <c:v>20.763860369609855</c:v>
                </c:pt>
                <c:pt idx="252">
                  <c:v>20.763860369609855</c:v>
                </c:pt>
                <c:pt idx="253">
                  <c:v>20.928131416837783</c:v>
                </c:pt>
                <c:pt idx="254">
                  <c:v>20.928131416837783</c:v>
                </c:pt>
                <c:pt idx="255">
                  <c:v>21.223819301848049</c:v>
                </c:pt>
                <c:pt idx="256">
                  <c:v>21.223819301848049</c:v>
                </c:pt>
                <c:pt idx="257">
                  <c:v>21.289527720739219</c:v>
                </c:pt>
                <c:pt idx="258">
                  <c:v>21.289527720739219</c:v>
                </c:pt>
                <c:pt idx="259">
                  <c:v>21.355236139630389</c:v>
                </c:pt>
                <c:pt idx="260">
                  <c:v>21.355236139630389</c:v>
                </c:pt>
                <c:pt idx="261">
                  <c:v>21.749486652977414</c:v>
                </c:pt>
                <c:pt idx="262">
                  <c:v>21.749486652977414</c:v>
                </c:pt>
                <c:pt idx="263">
                  <c:v>22.012320328542096</c:v>
                </c:pt>
                <c:pt idx="264">
                  <c:v>22.012320328542096</c:v>
                </c:pt>
                <c:pt idx="265">
                  <c:v>22.17659137577002</c:v>
                </c:pt>
                <c:pt idx="266">
                  <c:v>22.17659137577002</c:v>
                </c:pt>
                <c:pt idx="267">
                  <c:v>22.308008213552363</c:v>
                </c:pt>
                <c:pt idx="268">
                  <c:v>22.308008213552363</c:v>
                </c:pt>
                <c:pt idx="269">
                  <c:v>22.570841889117045</c:v>
                </c:pt>
                <c:pt idx="270">
                  <c:v>22.570841889117045</c:v>
                </c:pt>
                <c:pt idx="271">
                  <c:v>22.932238193018481</c:v>
                </c:pt>
                <c:pt idx="272">
                  <c:v>22.932238193018481</c:v>
                </c:pt>
                <c:pt idx="273">
                  <c:v>23.227926078028748</c:v>
                </c:pt>
                <c:pt idx="274">
                  <c:v>23.227926078028748</c:v>
                </c:pt>
                <c:pt idx="275">
                  <c:v>23.392197125256672</c:v>
                </c:pt>
                <c:pt idx="276">
                  <c:v>23.392197125256672</c:v>
                </c:pt>
                <c:pt idx="277">
                  <c:v>23.457905544147845</c:v>
                </c:pt>
                <c:pt idx="278">
                  <c:v>23.457905544147845</c:v>
                </c:pt>
                <c:pt idx="279">
                  <c:v>23.720739219712527</c:v>
                </c:pt>
                <c:pt idx="280">
                  <c:v>23.720739219712527</c:v>
                </c:pt>
                <c:pt idx="281">
                  <c:v>23.885010266940451</c:v>
                </c:pt>
                <c:pt idx="282">
                  <c:v>23.885010266940451</c:v>
                </c:pt>
                <c:pt idx="283">
                  <c:v>23.950718685831621</c:v>
                </c:pt>
                <c:pt idx="284">
                  <c:v>23.950718685831621</c:v>
                </c:pt>
                <c:pt idx="285">
                  <c:v>23.983572895277206</c:v>
                </c:pt>
                <c:pt idx="286">
                  <c:v>23.983572895277206</c:v>
                </c:pt>
                <c:pt idx="287">
                  <c:v>24.016427104722794</c:v>
                </c:pt>
                <c:pt idx="288">
                  <c:v>24.016427104722794</c:v>
                </c:pt>
                <c:pt idx="289">
                  <c:v>24.049281314168379</c:v>
                </c:pt>
                <c:pt idx="290">
                  <c:v>24.049281314168379</c:v>
                </c:pt>
                <c:pt idx="291">
                  <c:v>24.377823408624231</c:v>
                </c:pt>
                <c:pt idx="292">
                  <c:v>24.377823408624231</c:v>
                </c:pt>
                <c:pt idx="293">
                  <c:v>24.476386036960985</c:v>
                </c:pt>
                <c:pt idx="294">
                  <c:v>24.476386036960985</c:v>
                </c:pt>
                <c:pt idx="295">
                  <c:v>24.542094455852155</c:v>
                </c:pt>
                <c:pt idx="296">
                  <c:v>24.542094455852155</c:v>
                </c:pt>
                <c:pt idx="297">
                  <c:v>24.57494866529774</c:v>
                </c:pt>
                <c:pt idx="298">
                  <c:v>24.57494866529774</c:v>
                </c:pt>
                <c:pt idx="299">
                  <c:v>24.772073921971252</c:v>
                </c:pt>
                <c:pt idx="300">
                  <c:v>24.772073921971252</c:v>
                </c:pt>
                <c:pt idx="301">
                  <c:v>24.804928131416837</c:v>
                </c:pt>
                <c:pt idx="302">
                  <c:v>24.804928131416837</c:v>
                </c:pt>
                <c:pt idx="303">
                  <c:v>25.034907597535934</c:v>
                </c:pt>
                <c:pt idx="304">
                  <c:v>25.034907597535934</c:v>
                </c:pt>
                <c:pt idx="305">
                  <c:v>25.264887063655031</c:v>
                </c:pt>
                <c:pt idx="306">
                  <c:v>25.264887063655031</c:v>
                </c:pt>
                <c:pt idx="307">
                  <c:v>25.363449691991786</c:v>
                </c:pt>
                <c:pt idx="308">
                  <c:v>25.363449691991786</c:v>
                </c:pt>
                <c:pt idx="309">
                  <c:v>25.494866529774129</c:v>
                </c:pt>
                <c:pt idx="310">
                  <c:v>25.494866529774129</c:v>
                </c:pt>
                <c:pt idx="311">
                  <c:v>25.757700205338811</c:v>
                </c:pt>
                <c:pt idx="312">
                  <c:v>25.757700205338811</c:v>
                </c:pt>
                <c:pt idx="313">
                  <c:v>25.95482546201232</c:v>
                </c:pt>
                <c:pt idx="314">
                  <c:v>25.95482546201232</c:v>
                </c:pt>
                <c:pt idx="315">
                  <c:v>26.119096509240247</c:v>
                </c:pt>
                <c:pt idx="316">
                  <c:v>26.119096509240247</c:v>
                </c:pt>
                <c:pt idx="317">
                  <c:v>26.184804928131417</c:v>
                </c:pt>
                <c:pt idx="318">
                  <c:v>26.184804928131417</c:v>
                </c:pt>
                <c:pt idx="319">
                  <c:v>26.250513347022586</c:v>
                </c:pt>
                <c:pt idx="320">
                  <c:v>26.250513347022586</c:v>
                </c:pt>
                <c:pt idx="321">
                  <c:v>26.316221765913756</c:v>
                </c:pt>
                <c:pt idx="322">
                  <c:v>26.316221765913756</c:v>
                </c:pt>
                <c:pt idx="323">
                  <c:v>26.447638603696099</c:v>
                </c:pt>
                <c:pt idx="324">
                  <c:v>26.447638603696099</c:v>
                </c:pt>
                <c:pt idx="325">
                  <c:v>26.90759753593429</c:v>
                </c:pt>
                <c:pt idx="326">
                  <c:v>26.90759753593429</c:v>
                </c:pt>
                <c:pt idx="327">
                  <c:v>27.170431211498972</c:v>
                </c:pt>
                <c:pt idx="328">
                  <c:v>27.170431211498972</c:v>
                </c:pt>
                <c:pt idx="329">
                  <c:v>27.466119096509239</c:v>
                </c:pt>
                <c:pt idx="330">
                  <c:v>27.466119096509239</c:v>
                </c:pt>
                <c:pt idx="331">
                  <c:v>27.531827515400412</c:v>
                </c:pt>
                <c:pt idx="332">
                  <c:v>27.531827515400412</c:v>
                </c:pt>
                <c:pt idx="333">
                  <c:v>27.663244353182751</c:v>
                </c:pt>
                <c:pt idx="334">
                  <c:v>27.663244353182751</c:v>
                </c:pt>
                <c:pt idx="335">
                  <c:v>28.090349075975361</c:v>
                </c:pt>
                <c:pt idx="336">
                  <c:v>28.090349075975361</c:v>
                </c:pt>
                <c:pt idx="337">
                  <c:v>28.156057494866531</c:v>
                </c:pt>
                <c:pt idx="338">
                  <c:v>28.156057494866531</c:v>
                </c:pt>
                <c:pt idx="339">
                  <c:v>28.2217659137577</c:v>
                </c:pt>
                <c:pt idx="340">
                  <c:v>28.2217659137577</c:v>
                </c:pt>
                <c:pt idx="341">
                  <c:v>28.28747433264887</c:v>
                </c:pt>
                <c:pt idx="342">
                  <c:v>28.28747433264887</c:v>
                </c:pt>
                <c:pt idx="343">
                  <c:v>28.418891170431213</c:v>
                </c:pt>
                <c:pt idx="344">
                  <c:v>28.418891170431213</c:v>
                </c:pt>
                <c:pt idx="345">
                  <c:v>28.451745379876797</c:v>
                </c:pt>
                <c:pt idx="346">
                  <c:v>28.451745379876797</c:v>
                </c:pt>
                <c:pt idx="347">
                  <c:v>28.484599589322382</c:v>
                </c:pt>
                <c:pt idx="348">
                  <c:v>28.484599589322382</c:v>
                </c:pt>
                <c:pt idx="349">
                  <c:v>28.780287474332649</c:v>
                </c:pt>
                <c:pt idx="350">
                  <c:v>28.780287474332649</c:v>
                </c:pt>
                <c:pt idx="351">
                  <c:v>29.010266940451746</c:v>
                </c:pt>
                <c:pt idx="352">
                  <c:v>29.010266940451746</c:v>
                </c:pt>
                <c:pt idx="353">
                  <c:v>29.207392197125255</c:v>
                </c:pt>
                <c:pt idx="354">
                  <c:v>29.207392197125255</c:v>
                </c:pt>
                <c:pt idx="355">
                  <c:v>29.240246406570844</c:v>
                </c:pt>
                <c:pt idx="356">
                  <c:v>29.240246406570844</c:v>
                </c:pt>
                <c:pt idx="357">
                  <c:v>29.273100616016428</c:v>
                </c:pt>
                <c:pt idx="358">
                  <c:v>29.273100616016428</c:v>
                </c:pt>
                <c:pt idx="359">
                  <c:v>29.338809034907598</c:v>
                </c:pt>
                <c:pt idx="360">
                  <c:v>29.338809034907598</c:v>
                </c:pt>
                <c:pt idx="361">
                  <c:v>30.160164271047229</c:v>
                </c:pt>
                <c:pt idx="362">
                  <c:v>30.160164271047229</c:v>
                </c:pt>
                <c:pt idx="363">
                  <c:v>31.04722792607803</c:v>
                </c:pt>
                <c:pt idx="364">
                  <c:v>31.04722792607803</c:v>
                </c:pt>
                <c:pt idx="365">
                  <c:v>31.408624229979466</c:v>
                </c:pt>
                <c:pt idx="366">
                  <c:v>31.408624229979466</c:v>
                </c:pt>
                <c:pt idx="367">
                  <c:v>31.507186858316221</c:v>
                </c:pt>
                <c:pt idx="368">
                  <c:v>31.507186858316221</c:v>
                </c:pt>
                <c:pt idx="369">
                  <c:v>31.540041067761805</c:v>
                </c:pt>
                <c:pt idx="370">
                  <c:v>31.540041067761805</c:v>
                </c:pt>
                <c:pt idx="371">
                  <c:v>31.671457905544148</c:v>
                </c:pt>
                <c:pt idx="372">
                  <c:v>31.671457905544148</c:v>
                </c:pt>
                <c:pt idx="373">
                  <c:v>32.229979466119097</c:v>
                </c:pt>
                <c:pt idx="374">
                  <c:v>32.229979466119097</c:v>
                </c:pt>
                <c:pt idx="375">
                  <c:v>32.262833675564679</c:v>
                </c:pt>
                <c:pt idx="376">
                  <c:v>32.262833675564679</c:v>
                </c:pt>
                <c:pt idx="377">
                  <c:v>32.295687885010267</c:v>
                </c:pt>
                <c:pt idx="378">
                  <c:v>32.295687885010267</c:v>
                </c:pt>
                <c:pt idx="379">
                  <c:v>32.558521560574945</c:v>
                </c:pt>
                <c:pt idx="380">
                  <c:v>32.558521560574945</c:v>
                </c:pt>
                <c:pt idx="381">
                  <c:v>32.919917864476389</c:v>
                </c:pt>
                <c:pt idx="382">
                  <c:v>32.919917864476389</c:v>
                </c:pt>
                <c:pt idx="383">
                  <c:v>34.036960985626287</c:v>
                </c:pt>
                <c:pt idx="384">
                  <c:v>34.036960985626287</c:v>
                </c:pt>
                <c:pt idx="385">
                  <c:v>34.266940451745377</c:v>
                </c:pt>
                <c:pt idx="386">
                  <c:v>34.266940451745377</c:v>
                </c:pt>
                <c:pt idx="387">
                  <c:v>34.792607802874741</c:v>
                </c:pt>
                <c:pt idx="388">
                  <c:v>34.792607802874741</c:v>
                </c:pt>
                <c:pt idx="389">
                  <c:v>35.482546201232033</c:v>
                </c:pt>
                <c:pt idx="390">
                  <c:v>35.482546201232033</c:v>
                </c:pt>
                <c:pt idx="391">
                  <c:v>35.811088295687888</c:v>
                </c:pt>
                <c:pt idx="392">
                  <c:v>35.811088295687888</c:v>
                </c:pt>
                <c:pt idx="393">
                  <c:v>35.909650924024639</c:v>
                </c:pt>
                <c:pt idx="394">
                  <c:v>35.909650924024639</c:v>
                </c:pt>
                <c:pt idx="395">
                  <c:v>35.942505133470227</c:v>
                </c:pt>
                <c:pt idx="396">
                  <c:v>35.942505133470227</c:v>
                </c:pt>
                <c:pt idx="397">
                  <c:v>36.303901437371664</c:v>
                </c:pt>
                <c:pt idx="398">
                  <c:v>36.303901437371664</c:v>
                </c:pt>
                <c:pt idx="399">
                  <c:v>36.402464065708422</c:v>
                </c:pt>
                <c:pt idx="400">
                  <c:v>36.402464065708422</c:v>
                </c:pt>
                <c:pt idx="401">
                  <c:v>36.79671457905544</c:v>
                </c:pt>
                <c:pt idx="402">
                  <c:v>36.79671457905544</c:v>
                </c:pt>
                <c:pt idx="403">
                  <c:v>37.453798767967143</c:v>
                </c:pt>
                <c:pt idx="404">
                  <c:v>37.453798767967143</c:v>
                </c:pt>
                <c:pt idx="405">
                  <c:v>37.650924024640659</c:v>
                </c:pt>
                <c:pt idx="406">
                  <c:v>37.650924024640659</c:v>
                </c:pt>
                <c:pt idx="407">
                  <c:v>37.782340862422998</c:v>
                </c:pt>
                <c:pt idx="408">
                  <c:v>37.782340862422998</c:v>
                </c:pt>
                <c:pt idx="409">
                  <c:v>38.012320328542096</c:v>
                </c:pt>
                <c:pt idx="410">
                  <c:v>38.012320328542096</c:v>
                </c:pt>
                <c:pt idx="411">
                  <c:v>38.176591375770023</c:v>
                </c:pt>
                <c:pt idx="412">
                  <c:v>38.176591375770023</c:v>
                </c:pt>
                <c:pt idx="413">
                  <c:v>38.242299794661193</c:v>
                </c:pt>
                <c:pt idx="414">
                  <c:v>38.242299794661193</c:v>
                </c:pt>
                <c:pt idx="415">
                  <c:v>38.439425051334702</c:v>
                </c:pt>
                <c:pt idx="416">
                  <c:v>38.439425051334702</c:v>
                </c:pt>
                <c:pt idx="417">
                  <c:v>38.570841889117041</c:v>
                </c:pt>
                <c:pt idx="418">
                  <c:v>38.570841889117041</c:v>
                </c:pt>
                <c:pt idx="419">
                  <c:v>38.866529774127308</c:v>
                </c:pt>
                <c:pt idx="420">
                  <c:v>38.866529774127308</c:v>
                </c:pt>
                <c:pt idx="421">
                  <c:v>39.162217659137575</c:v>
                </c:pt>
                <c:pt idx="422">
                  <c:v>39.162217659137575</c:v>
                </c:pt>
                <c:pt idx="423">
                  <c:v>39.195071868583163</c:v>
                </c:pt>
                <c:pt idx="424">
                  <c:v>39.195071868583163</c:v>
                </c:pt>
                <c:pt idx="425">
                  <c:v>39.655030800821358</c:v>
                </c:pt>
                <c:pt idx="426">
                  <c:v>39.655030800821358</c:v>
                </c:pt>
                <c:pt idx="427">
                  <c:v>40.016427104722794</c:v>
                </c:pt>
                <c:pt idx="428">
                  <c:v>40.016427104722794</c:v>
                </c:pt>
                <c:pt idx="429">
                  <c:v>40.049281314168375</c:v>
                </c:pt>
                <c:pt idx="430">
                  <c:v>40.049281314168375</c:v>
                </c:pt>
                <c:pt idx="431">
                  <c:v>40.246406570841891</c:v>
                </c:pt>
                <c:pt idx="432">
                  <c:v>40.246406570841891</c:v>
                </c:pt>
                <c:pt idx="433">
                  <c:v>40.936344969199176</c:v>
                </c:pt>
                <c:pt idx="434">
                  <c:v>40.936344969199176</c:v>
                </c:pt>
                <c:pt idx="435">
                  <c:v>41.166324435318273</c:v>
                </c:pt>
                <c:pt idx="436">
                  <c:v>41.166324435318273</c:v>
                </c:pt>
                <c:pt idx="437">
                  <c:v>42.020533880903493</c:v>
                </c:pt>
                <c:pt idx="438">
                  <c:v>42.020533880903493</c:v>
                </c:pt>
                <c:pt idx="439">
                  <c:v>42.053388090349074</c:v>
                </c:pt>
                <c:pt idx="440">
                  <c:v>42.053388090349074</c:v>
                </c:pt>
                <c:pt idx="441">
                  <c:v>42.579055441478438</c:v>
                </c:pt>
                <c:pt idx="442">
                  <c:v>42.579055441478438</c:v>
                </c:pt>
                <c:pt idx="443">
                  <c:v>42.907597535934293</c:v>
                </c:pt>
                <c:pt idx="444">
                  <c:v>42.907597535934293</c:v>
                </c:pt>
                <c:pt idx="445">
                  <c:v>43.663244353182755</c:v>
                </c:pt>
                <c:pt idx="446">
                  <c:v>43.663244353182755</c:v>
                </c:pt>
                <c:pt idx="447">
                  <c:v>43.926078028747433</c:v>
                </c:pt>
                <c:pt idx="448">
                  <c:v>43.926078028747433</c:v>
                </c:pt>
                <c:pt idx="449">
                  <c:v>44.123203285420942</c:v>
                </c:pt>
                <c:pt idx="450">
                  <c:v>44.123203285420942</c:v>
                </c:pt>
                <c:pt idx="451">
                  <c:v>44.418891170431209</c:v>
                </c:pt>
                <c:pt idx="452">
                  <c:v>44.418891170431209</c:v>
                </c:pt>
                <c:pt idx="453">
                  <c:v>44.780287474332646</c:v>
                </c:pt>
                <c:pt idx="454">
                  <c:v>44.780287474332646</c:v>
                </c:pt>
                <c:pt idx="455">
                  <c:v>44.878850102669404</c:v>
                </c:pt>
                <c:pt idx="456">
                  <c:v>44.878850102669404</c:v>
                </c:pt>
                <c:pt idx="457">
                  <c:v>45.043121149897331</c:v>
                </c:pt>
                <c:pt idx="458">
                  <c:v>45.043121149897331</c:v>
                </c:pt>
                <c:pt idx="459">
                  <c:v>45.568788501026695</c:v>
                </c:pt>
                <c:pt idx="460">
                  <c:v>45.568788501026695</c:v>
                </c:pt>
                <c:pt idx="461">
                  <c:v>45.601642710472277</c:v>
                </c:pt>
                <c:pt idx="462">
                  <c:v>45.601642710472277</c:v>
                </c:pt>
                <c:pt idx="463">
                  <c:v>46.652977412731005</c:v>
                </c:pt>
                <c:pt idx="464">
                  <c:v>46.652977412731005</c:v>
                </c:pt>
                <c:pt idx="465">
                  <c:v>47.605749486652975</c:v>
                </c:pt>
                <c:pt idx="466">
                  <c:v>47.605749486652975</c:v>
                </c:pt>
                <c:pt idx="467">
                  <c:v>47.93429158110883</c:v>
                </c:pt>
                <c:pt idx="468">
                  <c:v>47.93429158110883</c:v>
                </c:pt>
                <c:pt idx="469">
                  <c:v>47.967145790554412</c:v>
                </c:pt>
                <c:pt idx="470">
                  <c:v>47.967145790554412</c:v>
                </c:pt>
                <c:pt idx="471">
                  <c:v>48.06570841889117</c:v>
                </c:pt>
                <c:pt idx="472">
                  <c:v>48.06570841889117</c:v>
                </c:pt>
                <c:pt idx="473">
                  <c:v>48.657084188911703</c:v>
                </c:pt>
                <c:pt idx="474">
                  <c:v>48.657084188911703</c:v>
                </c:pt>
                <c:pt idx="475">
                  <c:v>49.051334702258728</c:v>
                </c:pt>
                <c:pt idx="476">
                  <c:v>49.051334702258728</c:v>
                </c:pt>
                <c:pt idx="477">
                  <c:v>49.347022587268995</c:v>
                </c:pt>
                <c:pt idx="478">
                  <c:v>49.347022587268995</c:v>
                </c:pt>
                <c:pt idx="479">
                  <c:v>49.97125256673511</c:v>
                </c:pt>
                <c:pt idx="480">
                  <c:v>49.97125256673511</c:v>
                </c:pt>
                <c:pt idx="481">
                  <c:v>50.102669404517457</c:v>
                </c:pt>
                <c:pt idx="482">
                  <c:v>50.102669404517457</c:v>
                </c:pt>
                <c:pt idx="483">
                  <c:v>50.201232032854207</c:v>
                </c:pt>
                <c:pt idx="484">
                  <c:v>50.201232032854207</c:v>
                </c:pt>
                <c:pt idx="485">
                  <c:v>52.139630390143736</c:v>
                </c:pt>
                <c:pt idx="486">
                  <c:v>52.139630390143736</c:v>
                </c:pt>
                <c:pt idx="487">
                  <c:v>52.205338809034906</c:v>
                </c:pt>
                <c:pt idx="488">
                  <c:v>52.205338809034906</c:v>
                </c:pt>
                <c:pt idx="489">
                  <c:v>52.599589322381931</c:v>
                </c:pt>
                <c:pt idx="490">
                  <c:v>52.599589322381931</c:v>
                </c:pt>
                <c:pt idx="491">
                  <c:v>53.913757700205338</c:v>
                </c:pt>
                <c:pt idx="492">
                  <c:v>53.913757700205338</c:v>
                </c:pt>
                <c:pt idx="493">
                  <c:v>55.030800821355236</c:v>
                </c:pt>
                <c:pt idx="494">
                  <c:v>55.030800821355236</c:v>
                </c:pt>
                <c:pt idx="495">
                  <c:v>55.162217659137575</c:v>
                </c:pt>
                <c:pt idx="496">
                  <c:v>55.162217659137575</c:v>
                </c:pt>
                <c:pt idx="497">
                  <c:v>55.326488706365502</c:v>
                </c:pt>
                <c:pt idx="498">
                  <c:v>55.326488706365502</c:v>
                </c:pt>
                <c:pt idx="499">
                  <c:v>55.885010266940455</c:v>
                </c:pt>
                <c:pt idx="500">
                  <c:v>55.885010266940455</c:v>
                </c:pt>
                <c:pt idx="501">
                  <c:v>56.837782340862425</c:v>
                </c:pt>
                <c:pt idx="502">
                  <c:v>56.837782340862425</c:v>
                </c:pt>
                <c:pt idx="503">
                  <c:v>57.593429158110879</c:v>
                </c:pt>
                <c:pt idx="504">
                  <c:v>57.593429158110879</c:v>
                </c:pt>
                <c:pt idx="505">
                  <c:v>57.921971252566735</c:v>
                </c:pt>
                <c:pt idx="506">
                  <c:v>57.921971252566735</c:v>
                </c:pt>
                <c:pt idx="507">
                  <c:v>59.3347022587269</c:v>
                </c:pt>
                <c:pt idx="508">
                  <c:v>59.3347022587269</c:v>
                </c:pt>
                <c:pt idx="509">
                  <c:v>59.367556468172488</c:v>
                </c:pt>
                <c:pt idx="510">
                  <c:v>59.367556468172488</c:v>
                </c:pt>
                <c:pt idx="511">
                  <c:v>59.597535934291578</c:v>
                </c:pt>
                <c:pt idx="512">
                  <c:v>59.597535934291578</c:v>
                </c:pt>
                <c:pt idx="513">
                  <c:v>63.014373716632441</c:v>
                </c:pt>
                <c:pt idx="514">
                  <c:v>63.014373716632441</c:v>
                </c:pt>
                <c:pt idx="515">
                  <c:v>64.887063655030801</c:v>
                </c:pt>
                <c:pt idx="516">
                  <c:v>64.887063655030801</c:v>
                </c:pt>
                <c:pt idx="517">
                  <c:v>64.952772073921977</c:v>
                </c:pt>
                <c:pt idx="518">
                  <c:v>64.952772073921977</c:v>
                </c:pt>
                <c:pt idx="519">
                  <c:v>65.347022587268995</c:v>
                </c:pt>
                <c:pt idx="520">
                  <c:v>65.347022587268995</c:v>
                </c:pt>
                <c:pt idx="521">
                  <c:v>65.379876796714584</c:v>
                </c:pt>
                <c:pt idx="522">
                  <c:v>65.379876796714584</c:v>
                </c:pt>
                <c:pt idx="523">
                  <c:v>66.201232032854207</c:v>
                </c:pt>
                <c:pt idx="524">
                  <c:v>66.201232032854207</c:v>
                </c:pt>
                <c:pt idx="525">
                  <c:v>66.299794661190958</c:v>
                </c:pt>
                <c:pt idx="526">
                  <c:v>66.299794661190958</c:v>
                </c:pt>
                <c:pt idx="527">
                  <c:v>66.69404517453799</c:v>
                </c:pt>
                <c:pt idx="528">
                  <c:v>66.69404517453799</c:v>
                </c:pt>
                <c:pt idx="529">
                  <c:v>66.82546201232033</c:v>
                </c:pt>
                <c:pt idx="530">
                  <c:v>66.82546201232033</c:v>
                </c:pt>
                <c:pt idx="531">
                  <c:v>66.989733059548257</c:v>
                </c:pt>
                <c:pt idx="532">
                  <c:v>66.989733059548257</c:v>
                </c:pt>
                <c:pt idx="533">
                  <c:v>68.763860369609858</c:v>
                </c:pt>
                <c:pt idx="534">
                  <c:v>68.763860369609858</c:v>
                </c:pt>
                <c:pt idx="535">
                  <c:v>75.104722792607802</c:v>
                </c:pt>
                <c:pt idx="536">
                  <c:v>75.104722792607802</c:v>
                </c:pt>
                <c:pt idx="537">
                  <c:v>77.930184804928132</c:v>
                </c:pt>
                <c:pt idx="538">
                  <c:v>77.930184804928132</c:v>
                </c:pt>
                <c:pt idx="539">
                  <c:v>80.689938398357285</c:v>
                </c:pt>
                <c:pt idx="540">
                  <c:v>80.689938398357285</c:v>
                </c:pt>
                <c:pt idx="541">
                  <c:v>87.359342915811084</c:v>
                </c:pt>
              </c:numCache>
            </c:numRef>
          </c:xVal>
          <c:yVal>
            <c:numRef>
              <c:f>Data!$N$6:$N$547</c:f>
              <c:numCache>
                <c:formatCode>0.0000</c:formatCode>
                <c:ptCount val="542"/>
                <c:pt idx="0">
                  <c:v>1</c:v>
                </c:pt>
                <c:pt idx="1">
                  <c:v>1</c:v>
                </c:pt>
                <c:pt idx="2">
                  <c:v>0.99851190476190477</c:v>
                </c:pt>
                <c:pt idx="3">
                  <c:v>0.99851190476190477</c:v>
                </c:pt>
                <c:pt idx="4">
                  <c:v>0.99702380952380953</c:v>
                </c:pt>
                <c:pt idx="5">
                  <c:v>0.99702380952380953</c:v>
                </c:pt>
                <c:pt idx="6">
                  <c:v>0.9955357142857143</c:v>
                </c:pt>
                <c:pt idx="7">
                  <c:v>0.9955357142857143</c:v>
                </c:pt>
                <c:pt idx="8">
                  <c:v>0.99404539136013692</c:v>
                </c:pt>
                <c:pt idx="9">
                  <c:v>0.99404539136013692</c:v>
                </c:pt>
                <c:pt idx="10">
                  <c:v>0.99255283071244904</c:v>
                </c:pt>
                <c:pt idx="11">
                  <c:v>0.99255283071244904</c:v>
                </c:pt>
                <c:pt idx="12">
                  <c:v>0.99105802223246042</c:v>
                </c:pt>
                <c:pt idx="13">
                  <c:v>0.99105802223246042</c:v>
                </c:pt>
                <c:pt idx="14">
                  <c:v>0.9895632137524718</c:v>
                </c:pt>
                <c:pt idx="15">
                  <c:v>0.9895632137524718</c:v>
                </c:pt>
                <c:pt idx="16">
                  <c:v>0.98806840527248319</c:v>
                </c:pt>
                <c:pt idx="17">
                  <c:v>0.98806840527248319</c:v>
                </c:pt>
                <c:pt idx="18">
                  <c:v>0.98657359679249457</c:v>
                </c:pt>
                <c:pt idx="19">
                  <c:v>0.98657359679249457</c:v>
                </c:pt>
                <c:pt idx="20">
                  <c:v>0.98358397983251733</c:v>
                </c:pt>
                <c:pt idx="21">
                  <c:v>0.98358397983251733</c:v>
                </c:pt>
                <c:pt idx="22">
                  <c:v>0.98208689614936273</c:v>
                </c:pt>
                <c:pt idx="23">
                  <c:v>0.98208689614936273</c:v>
                </c:pt>
                <c:pt idx="24">
                  <c:v>0.98058981246620824</c:v>
                </c:pt>
                <c:pt idx="25">
                  <c:v>0.98058981246620824</c:v>
                </c:pt>
                <c:pt idx="26">
                  <c:v>0.97909272878305376</c:v>
                </c:pt>
                <c:pt idx="27">
                  <c:v>0.97909272878305376</c:v>
                </c:pt>
                <c:pt idx="28">
                  <c:v>0.97759335247557588</c:v>
                </c:pt>
                <c:pt idx="29">
                  <c:v>0.97759335247557588</c:v>
                </c:pt>
                <c:pt idx="30">
                  <c:v>0.97609397616809801</c:v>
                </c:pt>
                <c:pt idx="31">
                  <c:v>0.97609397616809801</c:v>
                </c:pt>
                <c:pt idx="32">
                  <c:v>0.97459229312783946</c:v>
                </c:pt>
                <c:pt idx="33">
                  <c:v>0.97459229312783946</c:v>
                </c:pt>
                <c:pt idx="34">
                  <c:v>0.97308829267548169</c:v>
                </c:pt>
                <c:pt idx="35">
                  <c:v>0.97308829267548169</c:v>
                </c:pt>
                <c:pt idx="36">
                  <c:v>0.97158429222312392</c:v>
                </c:pt>
                <c:pt idx="37">
                  <c:v>0.97158429222312392</c:v>
                </c:pt>
                <c:pt idx="38">
                  <c:v>0.9700779599871191</c:v>
                </c:pt>
                <c:pt idx="39">
                  <c:v>0.9700779599871191</c:v>
                </c:pt>
                <c:pt idx="40">
                  <c:v>0.96857162775111427</c:v>
                </c:pt>
                <c:pt idx="41">
                  <c:v>0.96857162775111427</c:v>
                </c:pt>
                <c:pt idx="42">
                  <c:v>0.96706529551510945</c:v>
                </c:pt>
                <c:pt idx="43">
                  <c:v>0.96706529551510945</c:v>
                </c:pt>
                <c:pt idx="44">
                  <c:v>0.96555896327910462</c:v>
                </c:pt>
                <c:pt idx="45">
                  <c:v>0.96555896327910462</c:v>
                </c:pt>
                <c:pt idx="46">
                  <c:v>0.96405263104309979</c:v>
                </c:pt>
                <c:pt idx="47">
                  <c:v>0.96405263104309979</c:v>
                </c:pt>
                <c:pt idx="48">
                  <c:v>0.96254629880709497</c:v>
                </c:pt>
                <c:pt idx="49">
                  <c:v>0.96254629880709497</c:v>
                </c:pt>
                <c:pt idx="50">
                  <c:v>0.96103996657109014</c:v>
                </c:pt>
                <c:pt idx="51">
                  <c:v>0.96103996657109014</c:v>
                </c:pt>
                <c:pt idx="52">
                  <c:v>0.95802730209908049</c:v>
                </c:pt>
                <c:pt idx="53">
                  <c:v>0.95802730209908049</c:v>
                </c:pt>
                <c:pt idx="54">
                  <c:v>0.95651859768632597</c:v>
                </c:pt>
                <c:pt idx="55">
                  <c:v>0.95651859768632597</c:v>
                </c:pt>
                <c:pt idx="56">
                  <c:v>0.95349642202223017</c:v>
                </c:pt>
                <c:pt idx="57">
                  <c:v>0.95349642202223017</c:v>
                </c:pt>
                <c:pt idx="58">
                  <c:v>0.95047424635813438</c:v>
                </c:pt>
                <c:pt idx="59">
                  <c:v>0.95047424635813438</c:v>
                </c:pt>
                <c:pt idx="60">
                  <c:v>0.94896315852608648</c:v>
                </c:pt>
                <c:pt idx="61">
                  <c:v>0.94896315852608648</c:v>
                </c:pt>
                <c:pt idx="62">
                  <c:v>0.94745207069403847</c:v>
                </c:pt>
                <c:pt idx="63">
                  <c:v>0.94745207069403847</c:v>
                </c:pt>
                <c:pt idx="64">
                  <c:v>0.94594098286199058</c:v>
                </c:pt>
                <c:pt idx="65">
                  <c:v>0.94594098286199058</c:v>
                </c:pt>
                <c:pt idx="66">
                  <c:v>0.94442747728941134</c:v>
                </c:pt>
                <c:pt idx="67">
                  <c:v>0.94442747728941134</c:v>
                </c:pt>
                <c:pt idx="68">
                  <c:v>0.94291397171683211</c:v>
                </c:pt>
                <c:pt idx="69">
                  <c:v>0.94291397171683211</c:v>
                </c:pt>
                <c:pt idx="70">
                  <c:v>0.93988696057167376</c:v>
                </c:pt>
                <c:pt idx="71">
                  <c:v>0.93988696057167376</c:v>
                </c:pt>
                <c:pt idx="72">
                  <c:v>0.93837101386107435</c:v>
                </c:pt>
                <c:pt idx="73">
                  <c:v>0.93837101386107435</c:v>
                </c:pt>
                <c:pt idx="74">
                  <c:v>0.9368501532227258</c:v>
                </c:pt>
                <c:pt idx="75">
                  <c:v>0.9368501532227258</c:v>
                </c:pt>
                <c:pt idx="76">
                  <c:v>0.93532929258437725</c:v>
                </c:pt>
                <c:pt idx="77">
                  <c:v>0.93532929258437725</c:v>
                </c:pt>
                <c:pt idx="78">
                  <c:v>0.93076671066933148</c:v>
                </c:pt>
                <c:pt idx="79">
                  <c:v>0.93076671066933148</c:v>
                </c:pt>
                <c:pt idx="80">
                  <c:v>0.92924585003098292</c:v>
                </c:pt>
                <c:pt idx="81">
                  <c:v>0.92924585003098292</c:v>
                </c:pt>
                <c:pt idx="82">
                  <c:v>0.92772498939263437</c:v>
                </c:pt>
                <c:pt idx="83">
                  <c:v>0.92772498939263437</c:v>
                </c:pt>
                <c:pt idx="84">
                  <c:v>0.92620412875428582</c:v>
                </c:pt>
                <c:pt idx="85">
                  <c:v>0.92620412875428582</c:v>
                </c:pt>
                <c:pt idx="86">
                  <c:v>0.92468326811593726</c:v>
                </c:pt>
                <c:pt idx="87">
                  <c:v>0.92468326811593726</c:v>
                </c:pt>
                <c:pt idx="88">
                  <c:v>0.9231624074775886</c:v>
                </c:pt>
                <c:pt idx="89">
                  <c:v>0.9231624074775886</c:v>
                </c:pt>
                <c:pt idx="90">
                  <c:v>0.92164154683924004</c:v>
                </c:pt>
                <c:pt idx="91">
                  <c:v>0.92164154683924004</c:v>
                </c:pt>
                <c:pt idx="92">
                  <c:v>0.92012068620089149</c:v>
                </c:pt>
                <c:pt idx="93">
                  <c:v>0.92012068620089149</c:v>
                </c:pt>
                <c:pt idx="94">
                  <c:v>0.91707896492419427</c:v>
                </c:pt>
                <c:pt idx="95">
                  <c:v>0.91707896492419427</c:v>
                </c:pt>
                <c:pt idx="96">
                  <c:v>0.91555810428584572</c:v>
                </c:pt>
                <c:pt idx="97">
                  <c:v>0.91555810428584572</c:v>
                </c:pt>
                <c:pt idx="98">
                  <c:v>0.91403471309735018</c:v>
                </c:pt>
                <c:pt idx="99">
                  <c:v>0.91403471309735018</c:v>
                </c:pt>
                <c:pt idx="100">
                  <c:v>0.910987930720359</c:v>
                </c:pt>
                <c:pt idx="101">
                  <c:v>0.910987930720359</c:v>
                </c:pt>
                <c:pt idx="102">
                  <c:v>0.90946453953186346</c:v>
                </c:pt>
                <c:pt idx="103">
                  <c:v>0.90946453953186346</c:v>
                </c:pt>
                <c:pt idx="104">
                  <c:v>0.90794114834336781</c:v>
                </c:pt>
                <c:pt idx="105">
                  <c:v>0.90794114834336781</c:v>
                </c:pt>
                <c:pt idx="106">
                  <c:v>0.90641775715487216</c:v>
                </c:pt>
                <c:pt idx="107">
                  <c:v>0.90641775715487216</c:v>
                </c:pt>
                <c:pt idx="108">
                  <c:v>0.90489436596637662</c:v>
                </c:pt>
                <c:pt idx="109">
                  <c:v>0.90489436596637662</c:v>
                </c:pt>
                <c:pt idx="110">
                  <c:v>0.90337097477788098</c:v>
                </c:pt>
                <c:pt idx="111">
                  <c:v>0.90337097477788098</c:v>
                </c:pt>
                <c:pt idx="112">
                  <c:v>0.90184758358938544</c:v>
                </c:pt>
                <c:pt idx="113">
                  <c:v>0.90184758358938544</c:v>
                </c:pt>
                <c:pt idx="114">
                  <c:v>0.9003241924008899</c:v>
                </c:pt>
                <c:pt idx="115">
                  <c:v>0.9003241924008899</c:v>
                </c:pt>
                <c:pt idx="116">
                  <c:v>0.89880080121239436</c:v>
                </c:pt>
                <c:pt idx="117">
                  <c:v>0.89880080121239436</c:v>
                </c:pt>
                <c:pt idx="118">
                  <c:v>0.89727741002389882</c:v>
                </c:pt>
                <c:pt idx="119">
                  <c:v>0.89727741002389882</c:v>
                </c:pt>
                <c:pt idx="120">
                  <c:v>0.89575401883540318</c:v>
                </c:pt>
                <c:pt idx="121">
                  <c:v>0.89575401883540318</c:v>
                </c:pt>
                <c:pt idx="122">
                  <c:v>0.89423062764690764</c:v>
                </c:pt>
                <c:pt idx="123">
                  <c:v>0.89423062764690764</c:v>
                </c:pt>
                <c:pt idx="124">
                  <c:v>0.8927072364584121</c:v>
                </c:pt>
                <c:pt idx="125">
                  <c:v>0.8927072364584121</c:v>
                </c:pt>
                <c:pt idx="126">
                  <c:v>0.89118384526991645</c:v>
                </c:pt>
                <c:pt idx="127">
                  <c:v>0.89118384526991645</c:v>
                </c:pt>
                <c:pt idx="128">
                  <c:v>0.88813706289292527</c:v>
                </c:pt>
                <c:pt idx="129">
                  <c:v>0.88813706289292527</c:v>
                </c:pt>
                <c:pt idx="130">
                  <c:v>0.88508504549466782</c:v>
                </c:pt>
                <c:pt idx="131">
                  <c:v>0.88508504549466782</c:v>
                </c:pt>
                <c:pt idx="132">
                  <c:v>0.88355375648862167</c:v>
                </c:pt>
                <c:pt idx="133">
                  <c:v>0.88355375648862167</c:v>
                </c:pt>
                <c:pt idx="134">
                  <c:v>0.88202246748257551</c:v>
                </c:pt>
                <c:pt idx="135">
                  <c:v>0.88202246748257551</c:v>
                </c:pt>
                <c:pt idx="136">
                  <c:v>0.88049117847652936</c:v>
                </c:pt>
                <c:pt idx="137">
                  <c:v>0.88049117847652936</c:v>
                </c:pt>
                <c:pt idx="138">
                  <c:v>0.8789598894704832</c:v>
                </c:pt>
                <c:pt idx="139">
                  <c:v>0.8789598894704832</c:v>
                </c:pt>
                <c:pt idx="140">
                  <c:v>0.87742860046443705</c:v>
                </c:pt>
                <c:pt idx="141">
                  <c:v>0.87742860046443705</c:v>
                </c:pt>
                <c:pt idx="142">
                  <c:v>0.87589731145839089</c:v>
                </c:pt>
                <c:pt idx="143">
                  <c:v>0.87589731145839089</c:v>
                </c:pt>
                <c:pt idx="144">
                  <c:v>0.87436602245234474</c:v>
                </c:pt>
                <c:pt idx="145">
                  <c:v>0.87436602245234474</c:v>
                </c:pt>
                <c:pt idx="146">
                  <c:v>0.87283473344629858</c:v>
                </c:pt>
                <c:pt idx="147">
                  <c:v>0.87283473344629858</c:v>
                </c:pt>
                <c:pt idx="148">
                  <c:v>0.8712980525775551</c:v>
                </c:pt>
                <c:pt idx="149">
                  <c:v>0.8712980525775551</c:v>
                </c:pt>
                <c:pt idx="150">
                  <c:v>0.86976137170881163</c:v>
                </c:pt>
                <c:pt idx="151">
                  <c:v>0.86976137170881163</c:v>
                </c:pt>
                <c:pt idx="152">
                  <c:v>0.86822469084006815</c:v>
                </c:pt>
                <c:pt idx="153">
                  <c:v>0.86822469084006815</c:v>
                </c:pt>
                <c:pt idx="154">
                  <c:v>0.86668800997132467</c:v>
                </c:pt>
                <c:pt idx="155">
                  <c:v>0.86668800997132467</c:v>
                </c:pt>
                <c:pt idx="156">
                  <c:v>0.86361464823383771</c:v>
                </c:pt>
                <c:pt idx="157">
                  <c:v>0.86361464823383771</c:v>
                </c:pt>
                <c:pt idx="158">
                  <c:v>0.86207796736509423</c:v>
                </c:pt>
                <c:pt idx="159">
                  <c:v>0.86207796736509423</c:v>
                </c:pt>
                <c:pt idx="160">
                  <c:v>0.86054128649635075</c:v>
                </c:pt>
                <c:pt idx="161">
                  <c:v>0.86054128649635075</c:v>
                </c:pt>
                <c:pt idx="162">
                  <c:v>0.85900185664573114</c:v>
                </c:pt>
                <c:pt idx="163">
                  <c:v>0.85900185664573114</c:v>
                </c:pt>
                <c:pt idx="164">
                  <c:v>0.85438356709387242</c:v>
                </c:pt>
                <c:pt idx="165">
                  <c:v>0.85438356709387242</c:v>
                </c:pt>
                <c:pt idx="166">
                  <c:v>0.85284413724325281</c:v>
                </c:pt>
                <c:pt idx="167">
                  <c:v>0.85284413724325281</c:v>
                </c:pt>
                <c:pt idx="168">
                  <c:v>0.8513047073926332</c:v>
                </c:pt>
                <c:pt idx="169">
                  <c:v>0.8513047073926332</c:v>
                </c:pt>
                <c:pt idx="170">
                  <c:v>0.84976527754201359</c:v>
                </c:pt>
                <c:pt idx="171">
                  <c:v>0.84976527754201359</c:v>
                </c:pt>
                <c:pt idx="172">
                  <c:v>0.84822584769139397</c:v>
                </c:pt>
                <c:pt idx="173">
                  <c:v>0.84822584769139397</c:v>
                </c:pt>
                <c:pt idx="174">
                  <c:v>0.84668641784077436</c:v>
                </c:pt>
                <c:pt idx="175">
                  <c:v>0.84668641784077436</c:v>
                </c:pt>
                <c:pt idx="176">
                  <c:v>0.84514698799015475</c:v>
                </c:pt>
                <c:pt idx="177">
                  <c:v>0.84514698799015475</c:v>
                </c:pt>
                <c:pt idx="178">
                  <c:v>0.84360755813953514</c:v>
                </c:pt>
                <c:pt idx="179">
                  <c:v>0.84360755813953514</c:v>
                </c:pt>
                <c:pt idx="180">
                  <c:v>0.84206812828891553</c:v>
                </c:pt>
                <c:pt idx="181">
                  <c:v>0.84206812828891553</c:v>
                </c:pt>
                <c:pt idx="182">
                  <c:v>0.84052869843829603</c:v>
                </c:pt>
                <c:pt idx="183">
                  <c:v>0.84052869843829603</c:v>
                </c:pt>
                <c:pt idx="184">
                  <c:v>0.83898644394574873</c:v>
                </c:pt>
                <c:pt idx="185">
                  <c:v>0.83898644394574873</c:v>
                </c:pt>
                <c:pt idx="186">
                  <c:v>0.83744134920551716</c:v>
                </c:pt>
                <c:pt idx="187">
                  <c:v>0.83744134920551716</c:v>
                </c:pt>
                <c:pt idx="188">
                  <c:v>0.83589625446528559</c:v>
                </c:pt>
                <c:pt idx="189">
                  <c:v>0.83589625446528559</c:v>
                </c:pt>
                <c:pt idx="190">
                  <c:v>0.83435115972505403</c:v>
                </c:pt>
                <c:pt idx="191">
                  <c:v>0.83435115972505403</c:v>
                </c:pt>
                <c:pt idx="192">
                  <c:v>0.83280606498482246</c:v>
                </c:pt>
                <c:pt idx="193">
                  <c:v>0.83280606498482246</c:v>
                </c:pt>
                <c:pt idx="194">
                  <c:v>0.83126097024459089</c:v>
                </c:pt>
                <c:pt idx="195">
                  <c:v>0.83126097024459089</c:v>
                </c:pt>
                <c:pt idx="196">
                  <c:v>0.82971587550435932</c:v>
                </c:pt>
                <c:pt idx="197">
                  <c:v>0.82971587550435932</c:v>
                </c:pt>
                <c:pt idx="198">
                  <c:v>0.82816789812468694</c:v>
                </c:pt>
                <c:pt idx="199">
                  <c:v>0.82816789812468694</c:v>
                </c:pt>
                <c:pt idx="200">
                  <c:v>0.82507194336534229</c:v>
                </c:pt>
                <c:pt idx="201">
                  <c:v>0.82507194336534229</c:v>
                </c:pt>
                <c:pt idx="202">
                  <c:v>0.8235239659856699</c:v>
                </c:pt>
                <c:pt idx="203">
                  <c:v>0.8235239659856699</c:v>
                </c:pt>
                <c:pt idx="204">
                  <c:v>0.82197307339435977</c:v>
                </c:pt>
                <c:pt idx="205">
                  <c:v>0.82197307339435977</c:v>
                </c:pt>
                <c:pt idx="206">
                  <c:v>0.81732039562042946</c:v>
                </c:pt>
                <c:pt idx="207">
                  <c:v>0.81732039562042946</c:v>
                </c:pt>
                <c:pt idx="208">
                  <c:v>0.8142186104378093</c:v>
                </c:pt>
                <c:pt idx="209">
                  <c:v>0.8142186104378093</c:v>
                </c:pt>
                <c:pt idx="210">
                  <c:v>0.81111682525518902</c:v>
                </c:pt>
                <c:pt idx="211">
                  <c:v>0.81111682525518902</c:v>
                </c:pt>
                <c:pt idx="212">
                  <c:v>0.80800909795536069</c:v>
                </c:pt>
                <c:pt idx="213">
                  <c:v>0.80800909795536069</c:v>
                </c:pt>
                <c:pt idx="214">
                  <c:v>0.80645523430544652</c:v>
                </c:pt>
                <c:pt idx="215">
                  <c:v>0.80645523430544652</c:v>
                </c:pt>
                <c:pt idx="216">
                  <c:v>0.80490137065553236</c:v>
                </c:pt>
                <c:pt idx="217">
                  <c:v>0.80490137065553236</c:v>
                </c:pt>
                <c:pt idx="218">
                  <c:v>0.80334750700561819</c:v>
                </c:pt>
                <c:pt idx="219">
                  <c:v>0.80334750700561819</c:v>
                </c:pt>
                <c:pt idx="220">
                  <c:v>0.80179364335570402</c:v>
                </c:pt>
                <c:pt idx="221">
                  <c:v>0.80179364335570402</c:v>
                </c:pt>
                <c:pt idx="222">
                  <c:v>0.8002306927838605</c:v>
                </c:pt>
                <c:pt idx="223">
                  <c:v>0.8002306927838605</c:v>
                </c:pt>
                <c:pt idx="224">
                  <c:v>0.79866774221201697</c:v>
                </c:pt>
                <c:pt idx="225">
                  <c:v>0.79866774221201697</c:v>
                </c:pt>
                <c:pt idx="226">
                  <c:v>0.79710479164017345</c:v>
                </c:pt>
                <c:pt idx="227">
                  <c:v>0.79710479164017345</c:v>
                </c:pt>
                <c:pt idx="228">
                  <c:v>0.79554184106832992</c:v>
                </c:pt>
                <c:pt idx="229">
                  <c:v>0.79554184106832992</c:v>
                </c:pt>
                <c:pt idx="230">
                  <c:v>0.79397889049648651</c:v>
                </c:pt>
                <c:pt idx="231">
                  <c:v>0.79397889049648651</c:v>
                </c:pt>
                <c:pt idx="232">
                  <c:v>0.79241593992464299</c:v>
                </c:pt>
                <c:pt idx="233">
                  <c:v>0.79241593992464299</c:v>
                </c:pt>
                <c:pt idx="234">
                  <c:v>0.79085298935279946</c:v>
                </c:pt>
                <c:pt idx="235">
                  <c:v>0.79085298935279946</c:v>
                </c:pt>
                <c:pt idx="236">
                  <c:v>0.78772708820911252</c:v>
                </c:pt>
                <c:pt idx="237">
                  <c:v>0.78772708820911252</c:v>
                </c:pt>
                <c:pt idx="238">
                  <c:v>0.786164137637269</c:v>
                </c:pt>
                <c:pt idx="239">
                  <c:v>0.786164137637269</c:v>
                </c:pt>
                <c:pt idx="240">
                  <c:v>0.78459807361807121</c:v>
                </c:pt>
                <c:pt idx="241">
                  <c:v>0.78459807361807121</c:v>
                </c:pt>
                <c:pt idx="242">
                  <c:v>0.78303200959887342</c:v>
                </c:pt>
                <c:pt idx="243">
                  <c:v>0.78303200959887342</c:v>
                </c:pt>
                <c:pt idx="244">
                  <c:v>0.78146594557967564</c:v>
                </c:pt>
                <c:pt idx="245">
                  <c:v>0.78146594557967564</c:v>
                </c:pt>
                <c:pt idx="246">
                  <c:v>0.77989673685361205</c:v>
                </c:pt>
                <c:pt idx="247">
                  <c:v>0.77989673685361205</c:v>
                </c:pt>
                <c:pt idx="248">
                  <c:v>0.77674563892693071</c:v>
                </c:pt>
                <c:pt idx="249">
                  <c:v>0.77674563892693071</c:v>
                </c:pt>
                <c:pt idx="250">
                  <c:v>0.77516688762829866</c:v>
                </c:pt>
                <c:pt idx="251">
                  <c:v>0.77516688762829866</c:v>
                </c:pt>
                <c:pt idx="252">
                  <c:v>0.77358167926914068</c:v>
                </c:pt>
                <c:pt idx="253">
                  <c:v>0.77358167926914068</c:v>
                </c:pt>
                <c:pt idx="254">
                  <c:v>0.77199647090998258</c:v>
                </c:pt>
                <c:pt idx="255">
                  <c:v>0.77199647090998258</c:v>
                </c:pt>
                <c:pt idx="256">
                  <c:v>0.77040800080522953</c:v>
                </c:pt>
                <c:pt idx="257">
                  <c:v>0.77040800080522953</c:v>
                </c:pt>
                <c:pt idx="258">
                  <c:v>0.76881953070047648</c:v>
                </c:pt>
                <c:pt idx="259">
                  <c:v>0.76881953070047648</c:v>
                </c:pt>
                <c:pt idx="260">
                  <c:v>0.76723106059572344</c:v>
                </c:pt>
                <c:pt idx="261">
                  <c:v>0.76723106059572344</c:v>
                </c:pt>
                <c:pt idx="262">
                  <c:v>0.76562932560491814</c:v>
                </c:pt>
                <c:pt idx="263">
                  <c:v>0.76562932560491814</c:v>
                </c:pt>
                <c:pt idx="264">
                  <c:v>0.76402423267912167</c:v>
                </c:pt>
                <c:pt idx="265">
                  <c:v>0.76402423267912167</c:v>
                </c:pt>
                <c:pt idx="266">
                  <c:v>0.7624191397533252</c:v>
                </c:pt>
                <c:pt idx="267">
                  <c:v>0.7624191397533252</c:v>
                </c:pt>
                <c:pt idx="268">
                  <c:v>0.76081066055553337</c:v>
                </c:pt>
                <c:pt idx="269">
                  <c:v>0.76081066055553337</c:v>
                </c:pt>
                <c:pt idx="270">
                  <c:v>0.75920218135774153</c:v>
                </c:pt>
                <c:pt idx="271">
                  <c:v>0.75920218135774153</c:v>
                </c:pt>
                <c:pt idx="272">
                  <c:v>0.75758685756761868</c:v>
                </c:pt>
                <c:pt idx="273">
                  <c:v>0.75758685756761868</c:v>
                </c:pt>
                <c:pt idx="274">
                  <c:v>0.75597153377749582</c:v>
                </c:pt>
                <c:pt idx="275">
                  <c:v>0.75597153377749582</c:v>
                </c:pt>
                <c:pt idx="276">
                  <c:v>0.75435620998737296</c:v>
                </c:pt>
                <c:pt idx="277">
                  <c:v>0.75435620998737296</c:v>
                </c:pt>
                <c:pt idx="278">
                  <c:v>0.7527408861972501</c:v>
                </c:pt>
                <c:pt idx="279">
                  <c:v>0.7527408861972501</c:v>
                </c:pt>
                <c:pt idx="280">
                  <c:v>0.75111859980458362</c:v>
                </c:pt>
                <c:pt idx="281">
                  <c:v>0.75111859980458362</c:v>
                </c:pt>
                <c:pt idx="282">
                  <c:v>0.74948927529307696</c:v>
                </c:pt>
                <c:pt idx="283">
                  <c:v>0.74948927529307696</c:v>
                </c:pt>
                <c:pt idx="284">
                  <c:v>0.7478599507815703</c:v>
                </c:pt>
                <c:pt idx="285">
                  <c:v>0.7478599507815703</c:v>
                </c:pt>
                <c:pt idx="286">
                  <c:v>0.74623062627006365</c:v>
                </c:pt>
                <c:pt idx="287">
                  <c:v>0.74623062627006365</c:v>
                </c:pt>
                <c:pt idx="288">
                  <c:v>0.74460130175855699</c:v>
                </c:pt>
                <c:pt idx="289">
                  <c:v>0.74460130175855699</c:v>
                </c:pt>
                <c:pt idx="290">
                  <c:v>0.74297197724705033</c:v>
                </c:pt>
                <c:pt idx="291">
                  <c:v>0.74297197724705033</c:v>
                </c:pt>
                <c:pt idx="292">
                  <c:v>0.74131725123981862</c:v>
                </c:pt>
                <c:pt idx="293">
                  <c:v>0.74131725123981862</c:v>
                </c:pt>
                <c:pt idx="294">
                  <c:v>0.7396625252325868</c:v>
                </c:pt>
                <c:pt idx="295">
                  <c:v>0.7396625252325868</c:v>
                </c:pt>
                <c:pt idx="296">
                  <c:v>0.73800779922535509</c:v>
                </c:pt>
                <c:pt idx="297">
                  <c:v>0.73800779922535509</c:v>
                </c:pt>
                <c:pt idx="298">
                  <c:v>0.7363493547327139</c:v>
                </c:pt>
                <c:pt idx="299">
                  <c:v>0.7363493547327139</c:v>
                </c:pt>
                <c:pt idx="300">
                  <c:v>0.73468340596635029</c:v>
                </c:pt>
                <c:pt idx="301">
                  <c:v>0.73468340596635029</c:v>
                </c:pt>
                <c:pt idx="302">
                  <c:v>0.73301745719998668</c:v>
                </c:pt>
                <c:pt idx="303">
                  <c:v>0.73301745719998668</c:v>
                </c:pt>
                <c:pt idx="304">
                  <c:v>0.73134007171440318</c:v>
                </c:pt>
                <c:pt idx="305">
                  <c:v>0.73134007171440318</c:v>
                </c:pt>
                <c:pt idx="306">
                  <c:v>0.72965495634178934</c:v>
                </c:pt>
                <c:pt idx="307">
                  <c:v>0.72965495634178934</c:v>
                </c:pt>
                <c:pt idx="308">
                  <c:v>0.72796594023914629</c:v>
                </c:pt>
                <c:pt idx="309">
                  <c:v>0.72796594023914629</c:v>
                </c:pt>
                <c:pt idx="310">
                  <c:v>0.72627299619207852</c:v>
                </c:pt>
                <c:pt idx="311">
                  <c:v>0.72627299619207852</c:v>
                </c:pt>
                <c:pt idx="312">
                  <c:v>0.72457609666826528</c:v>
                </c:pt>
                <c:pt idx="313">
                  <c:v>0.72457609666826528</c:v>
                </c:pt>
                <c:pt idx="314">
                  <c:v>0.72287919714445203</c:v>
                </c:pt>
                <c:pt idx="315">
                  <c:v>0.72287919714445203</c:v>
                </c:pt>
                <c:pt idx="316">
                  <c:v>0.72117830491587687</c:v>
                </c:pt>
                <c:pt idx="317">
                  <c:v>0.72117830491587687</c:v>
                </c:pt>
                <c:pt idx="318">
                  <c:v>0.71777652045872642</c:v>
                </c:pt>
                <c:pt idx="319">
                  <c:v>0.71777652045872642</c:v>
                </c:pt>
                <c:pt idx="320">
                  <c:v>0.71607158810609284</c:v>
                </c:pt>
                <c:pt idx="321">
                  <c:v>0.71607158810609284</c:v>
                </c:pt>
                <c:pt idx="322">
                  <c:v>0.71436665575345926</c:v>
                </c:pt>
                <c:pt idx="323">
                  <c:v>0.71436665575345926</c:v>
                </c:pt>
                <c:pt idx="324">
                  <c:v>0.71266172340082568</c:v>
                </c:pt>
                <c:pt idx="325">
                  <c:v>0.71266172340082568</c:v>
                </c:pt>
                <c:pt idx="326">
                  <c:v>0.71095270248139919</c:v>
                </c:pt>
                <c:pt idx="327">
                  <c:v>0.71095270248139919</c:v>
                </c:pt>
                <c:pt idx="328">
                  <c:v>0.70923956343927541</c:v>
                </c:pt>
                <c:pt idx="329">
                  <c:v>0.70923956343927541</c:v>
                </c:pt>
                <c:pt idx="330">
                  <c:v>0.70752227636072995</c:v>
                </c:pt>
                <c:pt idx="331">
                  <c:v>0.70752227636072995</c:v>
                </c:pt>
                <c:pt idx="332">
                  <c:v>0.70580498928218449</c:v>
                </c:pt>
                <c:pt idx="333">
                  <c:v>0.70580498928218449</c:v>
                </c:pt>
                <c:pt idx="334">
                  <c:v>0.70408351369856936</c:v>
                </c:pt>
                <c:pt idx="335">
                  <c:v>0.70408351369856936</c:v>
                </c:pt>
                <c:pt idx="336">
                  <c:v>0.70062364385238474</c:v>
                </c:pt>
                <c:pt idx="337">
                  <c:v>0.70062364385238474</c:v>
                </c:pt>
                <c:pt idx="338">
                  <c:v>0.69888942691215605</c:v>
                </c:pt>
                <c:pt idx="339">
                  <c:v>0.69888942691215605</c:v>
                </c:pt>
                <c:pt idx="340">
                  <c:v>0.69540369410960168</c:v>
                </c:pt>
                <c:pt idx="341">
                  <c:v>0.69540369410960168</c:v>
                </c:pt>
                <c:pt idx="342">
                  <c:v>0.69365644864701481</c:v>
                </c:pt>
                <c:pt idx="343">
                  <c:v>0.69365644864701481</c:v>
                </c:pt>
                <c:pt idx="344">
                  <c:v>0.69190920318442795</c:v>
                </c:pt>
                <c:pt idx="345">
                  <c:v>0.69190920318442795</c:v>
                </c:pt>
                <c:pt idx="346">
                  <c:v>0.69016195772184108</c:v>
                </c:pt>
                <c:pt idx="347">
                  <c:v>0.69016195772184108</c:v>
                </c:pt>
                <c:pt idx="348">
                  <c:v>0.6884147122592541</c:v>
                </c:pt>
                <c:pt idx="349">
                  <c:v>0.6884147122592541</c:v>
                </c:pt>
                <c:pt idx="350">
                  <c:v>0.68665855227900097</c:v>
                </c:pt>
                <c:pt idx="351">
                  <c:v>0.68665855227900097</c:v>
                </c:pt>
                <c:pt idx="352">
                  <c:v>0.6848978893244394</c:v>
                </c:pt>
                <c:pt idx="353">
                  <c:v>0.6848978893244394</c:v>
                </c:pt>
                <c:pt idx="354">
                  <c:v>0.68313268857875786</c:v>
                </c:pt>
                <c:pt idx="355">
                  <c:v>0.68313268857875786</c:v>
                </c:pt>
                <c:pt idx="356">
                  <c:v>0.68136748783307632</c:v>
                </c:pt>
                <c:pt idx="357">
                  <c:v>0.68136748783307632</c:v>
                </c:pt>
                <c:pt idx="358">
                  <c:v>0.67960228708739479</c:v>
                </c:pt>
                <c:pt idx="359">
                  <c:v>0.67960228708739479</c:v>
                </c:pt>
                <c:pt idx="360">
                  <c:v>0.67783248946477137</c:v>
                </c:pt>
                <c:pt idx="361">
                  <c:v>0.67783248946477137</c:v>
                </c:pt>
                <c:pt idx="362">
                  <c:v>0.67605805886407822</c:v>
                </c:pt>
                <c:pt idx="363">
                  <c:v>0.67605805886407822</c:v>
                </c:pt>
                <c:pt idx="364">
                  <c:v>0.67425041699545762</c:v>
                </c:pt>
                <c:pt idx="365">
                  <c:v>0.67425041699545762</c:v>
                </c:pt>
                <c:pt idx="366">
                  <c:v>0.67062541475354653</c:v>
                </c:pt>
                <c:pt idx="367">
                  <c:v>0.67062541475354653</c:v>
                </c:pt>
                <c:pt idx="368">
                  <c:v>0.66881291363259099</c:v>
                </c:pt>
                <c:pt idx="369">
                  <c:v>0.66881291363259099</c:v>
                </c:pt>
                <c:pt idx="370">
                  <c:v>0.66700041251163544</c:v>
                </c:pt>
                <c:pt idx="371">
                  <c:v>0.66700041251163544</c:v>
                </c:pt>
                <c:pt idx="372">
                  <c:v>0.6651879113906799</c:v>
                </c:pt>
                <c:pt idx="373">
                  <c:v>0.6651879113906799</c:v>
                </c:pt>
                <c:pt idx="374">
                  <c:v>0.66332984459908584</c:v>
                </c:pt>
                <c:pt idx="375">
                  <c:v>0.66332984459908584</c:v>
                </c:pt>
                <c:pt idx="376">
                  <c:v>0.66147177780749178</c:v>
                </c:pt>
                <c:pt idx="377">
                  <c:v>0.66147177780749178</c:v>
                </c:pt>
                <c:pt idx="378">
                  <c:v>0.65961371101589772</c:v>
                </c:pt>
                <c:pt idx="379">
                  <c:v>0.65961371101589772</c:v>
                </c:pt>
                <c:pt idx="380">
                  <c:v>0.65775039544805614</c:v>
                </c:pt>
                <c:pt idx="381">
                  <c:v>0.65775039544805614</c:v>
                </c:pt>
                <c:pt idx="382">
                  <c:v>0.65588178637007877</c:v>
                </c:pt>
                <c:pt idx="383">
                  <c:v>0.65588178637007877</c:v>
                </c:pt>
                <c:pt idx="384">
                  <c:v>0.65400783840902132</c:v>
                </c:pt>
                <c:pt idx="385">
                  <c:v>0.65400783840902132</c:v>
                </c:pt>
                <c:pt idx="386">
                  <c:v>0.65213389044796399</c:v>
                </c:pt>
                <c:pt idx="387">
                  <c:v>0.65213389044796399</c:v>
                </c:pt>
                <c:pt idx="388">
                  <c:v>0.65025994248690666</c:v>
                </c:pt>
                <c:pt idx="389">
                  <c:v>0.65025994248690666</c:v>
                </c:pt>
                <c:pt idx="390">
                  <c:v>0.64836965195642149</c:v>
                </c:pt>
                <c:pt idx="391">
                  <c:v>0.64836965195642149</c:v>
                </c:pt>
                <c:pt idx="392">
                  <c:v>0.64646268239184379</c:v>
                </c:pt>
                <c:pt idx="393">
                  <c:v>0.64646268239184379</c:v>
                </c:pt>
                <c:pt idx="394">
                  <c:v>0.64454439550047338</c:v>
                </c:pt>
                <c:pt idx="395">
                  <c:v>0.64454439550047338</c:v>
                </c:pt>
                <c:pt idx="396">
                  <c:v>0.64262038237957642</c:v>
                </c:pt>
                <c:pt idx="397">
                  <c:v>0.64262038237957642</c:v>
                </c:pt>
                <c:pt idx="398">
                  <c:v>0.63872571339545769</c:v>
                </c:pt>
                <c:pt idx="399">
                  <c:v>0.63872571339545769</c:v>
                </c:pt>
                <c:pt idx="400">
                  <c:v>0.63677837890339839</c:v>
                </c:pt>
                <c:pt idx="401">
                  <c:v>0.63677837890339839</c:v>
                </c:pt>
                <c:pt idx="402">
                  <c:v>0.63480080629810831</c:v>
                </c:pt>
                <c:pt idx="403">
                  <c:v>0.63480080629810831</c:v>
                </c:pt>
                <c:pt idx="404">
                  <c:v>0.63281705377842667</c:v>
                </c:pt>
                <c:pt idx="405">
                  <c:v>0.63281705377842667</c:v>
                </c:pt>
                <c:pt idx="406">
                  <c:v>0.63083330125874504</c:v>
                </c:pt>
                <c:pt idx="407">
                  <c:v>0.63083330125874504</c:v>
                </c:pt>
                <c:pt idx="408">
                  <c:v>0.6288495487390634</c:v>
                </c:pt>
                <c:pt idx="409">
                  <c:v>0.6288495487390634</c:v>
                </c:pt>
                <c:pt idx="410">
                  <c:v>0.62685320096528863</c:v>
                </c:pt>
                <c:pt idx="411">
                  <c:v>0.62685320096528863</c:v>
                </c:pt>
                <c:pt idx="412">
                  <c:v>0.62485685319151385</c:v>
                </c:pt>
                <c:pt idx="413">
                  <c:v>0.62485685319151385</c:v>
                </c:pt>
                <c:pt idx="414">
                  <c:v>0.62285410686718212</c:v>
                </c:pt>
                <c:pt idx="415">
                  <c:v>0.62285410686718212</c:v>
                </c:pt>
                <c:pt idx="416">
                  <c:v>0.62083839778346961</c:v>
                </c:pt>
                <c:pt idx="417">
                  <c:v>0.62083839778346961</c:v>
                </c:pt>
                <c:pt idx="418">
                  <c:v>0.61881612287212284</c:v>
                </c:pt>
                <c:pt idx="419">
                  <c:v>0.61881612287212284</c:v>
                </c:pt>
                <c:pt idx="420">
                  <c:v>0.61678054352056977</c:v>
                </c:pt>
                <c:pt idx="421">
                  <c:v>0.61678054352056977</c:v>
                </c:pt>
                <c:pt idx="422">
                  <c:v>0.61473822384003807</c:v>
                </c:pt>
                <c:pt idx="423">
                  <c:v>0.61473822384003807</c:v>
                </c:pt>
                <c:pt idx="424">
                  <c:v>0.61268909642723801</c:v>
                </c:pt>
                <c:pt idx="425">
                  <c:v>0.61268909642723801</c:v>
                </c:pt>
                <c:pt idx="426">
                  <c:v>0.61062617017664123</c:v>
                </c:pt>
                <c:pt idx="427">
                  <c:v>0.61062617017664123</c:v>
                </c:pt>
                <c:pt idx="428">
                  <c:v>0.60854921041413568</c:v>
                </c:pt>
                <c:pt idx="429">
                  <c:v>0.60854921041413568</c:v>
                </c:pt>
                <c:pt idx="430">
                  <c:v>0.60647225065163002</c:v>
                </c:pt>
                <c:pt idx="431">
                  <c:v>0.60647225065163002</c:v>
                </c:pt>
                <c:pt idx="432">
                  <c:v>0.60437373075318146</c:v>
                </c:pt>
                <c:pt idx="433">
                  <c:v>0.60437373075318146</c:v>
                </c:pt>
                <c:pt idx="434">
                  <c:v>0.6022305614951915</c:v>
                </c:pt>
                <c:pt idx="435">
                  <c:v>0.6022305614951915</c:v>
                </c:pt>
                <c:pt idx="436">
                  <c:v>0.60007973806128012</c:v>
                </c:pt>
                <c:pt idx="437">
                  <c:v>0.60007973806128012</c:v>
                </c:pt>
                <c:pt idx="438">
                  <c:v>0.59791338521629356</c:v>
                </c:pt>
                <c:pt idx="439">
                  <c:v>0.59791338521629356</c:v>
                </c:pt>
                <c:pt idx="440">
                  <c:v>0.59358067952632043</c:v>
                </c:pt>
                <c:pt idx="441">
                  <c:v>0.59358067952632043</c:v>
                </c:pt>
                <c:pt idx="442">
                  <c:v>0.59140639132292727</c:v>
                </c:pt>
                <c:pt idx="443">
                  <c:v>0.59140639132292727</c:v>
                </c:pt>
                <c:pt idx="444">
                  <c:v>0.58922407991583159</c:v>
                </c:pt>
                <c:pt idx="445">
                  <c:v>0.58922407991583159</c:v>
                </c:pt>
                <c:pt idx="446">
                  <c:v>0.58702548260271281</c:v>
                </c:pt>
                <c:pt idx="447">
                  <c:v>0.58702548260271281</c:v>
                </c:pt>
                <c:pt idx="448">
                  <c:v>0.58481029210232527</c:v>
                </c:pt>
                <c:pt idx="449">
                  <c:v>0.58481029210232527</c:v>
                </c:pt>
                <c:pt idx="450">
                  <c:v>0.58256102174808555</c:v>
                </c:pt>
                <c:pt idx="451">
                  <c:v>0.58256102174808555</c:v>
                </c:pt>
                <c:pt idx="452">
                  <c:v>0.58027646872162253</c:v>
                </c:pt>
                <c:pt idx="453">
                  <c:v>0.58027646872162253</c:v>
                </c:pt>
                <c:pt idx="454">
                  <c:v>0.5779366442509708</c:v>
                </c:pt>
                <c:pt idx="455">
                  <c:v>0.5779366442509708</c:v>
                </c:pt>
                <c:pt idx="456">
                  <c:v>0.57558730829873106</c:v>
                </c:pt>
                <c:pt idx="457">
                  <c:v>0.57558730829873106</c:v>
                </c:pt>
                <c:pt idx="458">
                  <c:v>0.57323797234649132</c:v>
                </c:pt>
                <c:pt idx="459">
                  <c:v>0.57323797234649132</c:v>
                </c:pt>
                <c:pt idx="460">
                  <c:v>0.57088863639425158</c:v>
                </c:pt>
                <c:pt idx="461">
                  <c:v>0.57088863639425158</c:v>
                </c:pt>
                <c:pt idx="462">
                  <c:v>0.56853930044201184</c:v>
                </c:pt>
                <c:pt idx="463">
                  <c:v>0.56853930044201184</c:v>
                </c:pt>
                <c:pt idx="464">
                  <c:v>0.56618021620781267</c:v>
                </c:pt>
                <c:pt idx="465">
                  <c:v>0.56618021620781267</c:v>
                </c:pt>
                <c:pt idx="466">
                  <c:v>0.5637397842413997</c:v>
                </c:pt>
                <c:pt idx="467">
                  <c:v>0.5637397842413997</c:v>
                </c:pt>
                <c:pt idx="468">
                  <c:v>0.56129935227498673</c:v>
                </c:pt>
                <c:pt idx="469">
                  <c:v>0.56129935227498673</c:v>
                </c:pt>
                <c:pt idx="470">
                  <c:v>0.55884826340042348</c:v>
                </c:pt>
                <c:pt idx="471">
                  <c:v>0.55884826340042348</c:v>
                </c:pt>
                <c:pt idx="472">
                  <c:v>0.55639717452586024</c:v>
                </c:pt>
                <c:pt idx="473">
                  <c:v>0.55639717452586024</c:v>
                </c:pt>
                <c:pt idx="474">
                  <c:v>0.5539021199315739</c:v>
                </c:pt>
                <c:pt idx="475">
                  <c:v>0.5539021199315739</c:v>
                </c:pt>
                <c:pt idx="476">
                  <c:v>0.55136128451904376</c:v>
                </c:pt>
                <c:pt idx="477">
                  <c:v>0.55136128451904376</c:v>
                </c:pt>
                <c:pt idx="478">
                  <c:v>0.54878482991848754</c:v>
                </c:pt>
                <c:pt idx="479">
                  <c:v>0.54878482991848754</c:v>
                </c:pt>
                <c:pt idx="480">
                  <c:v>0.54615906518203539</c:v>
                </c:pt>
                <c:pt idx="481">
                  <c:v>0.54615906518203539</c:v>
                </c:pt>
                <c:pt idx="482">
                  <c:v>0.54353330044558334</c:v>
                </c:pt>
                <c:pt idx="483">
                  <c:v>0.54353330044558334</c:v>
                </c:pt>
                <c:pt idx="484">
                  <c:v>0.54089478927837176</c:v>
                </c:pt>
                <c:pt idx="485">
                  <c:v>0.54089478927837176</c:v>
                </c:pt>
                <c:pt idx="486">
                  <c:v>0.53819031533197992</c:v>
                </c:pt>
                <c:pt idx="487">
                  <c:v>0.53819031533197992</c:v>
                </c:pt>
                <c:pt idx="488">
                  <c:v>0.53548584138558808</c:v>
                </c:pt>
                <c:pt idx="489">
                  <c:v>0.53548584138558808</c:v>
                </c:pt>
                <c:pt idx="490">
                  <c:v>0.53275377076627384</c:v>
                </c:pt>
                <c:pt idx="491">
                  <c:v>0.53275377076627384</c:v>
                </c:pt>
                <c:pt idx="492">
                  <c:v>0.52987402065402378</c:v>
                </c:pt>
                <c:pt idx="493">
                  <c:v>0.52987402065402378</c:v>
                </c:pt>
                <c:pt idx="494">
                  <c:v>0.52688038211925536</c:v>
                </c:pt>
                <c:pt idx="495">
                  <c:v>0.52688038211925536</c:v>
                </c:pt>
                <c:pt idx="496">
                  <c:v>0.52386963707857392</c:v>
                </c:pt>
                <c:pt idx="497">
                  <c:v>0.52386963707857392</c:v>
                </c:pt>
                <c:pt idx="498">
                  <c:v>0.52084148888736825</c:v>
                </c:pt>
                <c:pt idx="499">
                  <c:v>0.52084148888736825</c:v>
                </c:pt>
                <c:pt idx="500">
                  <c:v>0.51774124192970539</c:v>
                </c:pt>
                <c:pt idx="501">
                  <c:v>0.51774124192970539</c:v>
                </c:pt>
                <c:pt idx="502">
                  <c:v>0.51428963365017399</c:v>
                </c:pt>
                <c:pt idx="503">
                  <c:v>0.51428963365017399</c:v>
                </c:pt>
                <c:pt idx="504">
                  <c:v>0.51071817786093665</c:v>
                </c:pt>
                <c:pt idx="505">
                  <c:v>0.51071817786093665</c:v>
                </c:pt>
                <c:pt idx="506">
                  <c:v>0.50707019087621574</c:v>
                </c:pt>
                <c:pt idx="507">
                  <c:v>0.50707019087621574</c:v>
                </c:pt>
                <c:pt idx="508">
                  <c:v>0.50322875003624445</c:v>
                </c:pt>
                <c:pt idx="509">
                  <c:v>0.50322875003624445</c:v>
                </c:pt>
                <c:pt idx="510">
                  <c:v>0.49938730919627311</c:v>
                </c:pt>
                <c:pt idx="511">
                  <c:v>0.49938730919627311</c:v>
                </c:pt>
                <c:pt idx="512">
                  <c:v>0.49164487029400528</c:v>
                </c:pt>
                <c:pt idx="513">
                  <c:v>0.49164487029400528</c:v>
                </c:pt>
                <c:pt idx="514">
                  <c:v>0.48641460571640949</c:v>
                </c:pt>
                <c:pt idx="515">
                  <c:v>0.48641460571640949</c:v>
                </c:pt>
                <c:pt idx="516">
                  <c:v>0.48062395564835703</c:v>
                </c:pt>
                <c:pt idx="517">
                  <c:v>0.48062395564835703</c:v>
                </c:pt>
                <c:pt idx="518">
                  <c:v>0.4747626878965478</c:v>
                </c:pt>
                <c:pt idx="519">
                  <c:v>0.4747626878965478</c:v>
                </c:pt>
                <c:pt idx="520">
                  <c:v>0.46859693870308611</c:v>
                </c:pt>
                <c:pt idx="521">
                  <c:v>0.46859693870308611</c:v>
                </c:pt>
                <c:pt idx="522">
                  <c:v>0.46243118950962442</c:v>
                </c:pt>
                <c:pt idx="523">
                  <c:v>0.46243118950962442</c:v>
                </c:pt>
                <c:pt idx="524">
                  <c:v>0.45563073084036526</c:v>
                </c:pt>
                <c:pt idx="525">
                  <c:v>0.45563073084036526</c:v>
                </c:pt>
                <c:pt idx="526">
                  <c:v>0.44872723491854155</c:v>
                </c:pt>
                <c:pt idx="527">
                  <c:v>0.44872723491854155</c:v>
                </c:pt>
                <c:pt idx="528">
                  <c:v>0.44160458039602501</c:v>
                </c:pt>
                <c:pt idx="529">
                  <c:v>0.44160458039602501</c:v>
                </c:pt>
                <c:pt idx="530">
                  <c:v>0.43436516104527051</c:v>
                </c:pt>
                <c:pt idx="531">
                  <c:v>0.43436516104527051</c:v>
                </c:pt>
                <c:pt idx="532">
                  <c:v>0.427125741694516</c:v>
                </c:pt>
                <c:pt idx="533">
                  <c:v>0.427125741694516</c:v>
                </c:pt>
                <c:pt idx="534">
                  <c:v>0.41875072715148626</c:v>
                </c:pt>
                <c:pt idx="535">
                  <c:v>0.41875072715148626</c:v>
                </c:pt>
                <c:pt idx="536">
                  <c:v>0.40200069806542676</c:v>
                </c:pt>
                <c:pt idx="537">
                  <c:v>0.40200069806542676</c:v>
                </c:pt>
                <c:pt idx="538">
                  <c:v>0.38084276658829902</c:v>
                </c:pt>
                <c:pt idx="539">
                  <c:v>0.38084276658829902</c:v>
                </c:pt>
                <c:pt idx="540">
                  <c:v>0.34275848992946911</c:v>
                </c:pt>
                <c:pt idx="541">
                  <c:v>0.34275848992946911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140-4571-A6BA-538BF258F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758608"/>
        <c:axId val="939045168"/>
      </c:scatterChart>
      <c:valAx>
        <c:axId val="1404758608"/>
        <c:scaling>
          <c:orientation val="minMax"/>
          <c:max val="90"/>
          <c:min val="-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45168"/>
        <c:crossesAt val="-5.000000000000001E-2"/>
        <c:crossBetween val="midCat"/>
        <c:majorUnit val="6"/>
      </c:valAx>
      <c:valAx>
        <c:axId val="939045168"/>
        <c:scaling>
          <c:orientation val="minMax"/>
          <c:max val="1"/>
          <c:min val="-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1.2221789494562835E-2"/>
              <c:y val="0.39484826444887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.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58608"/>
        <c:crossesAt val="-3"/>
        <c:crossBetween val="midCat"/>
        <c:majorUnit val="0.1"/>
      </c:valAx>
      <c:spPr>
        <a:noFill/>
        <a:ln>
          <a:noFill/>
        </a:ln>
        <a:effectLst/>
      </c:spPr>
    </c:plotArea>
    <c:legend>
      <c:legendPos val="l"/>
      <c:legendEntry>
        <c:idx val="1"/>
        <c:delete val="1"/>
      </c:legendEntry>
      <c:layout>
        <c:manualLayout>
          <c:xMode val="edge"/>
          <c:yMode val="edge"/>
          <c:x val="0.1575986445512372"/>
          <c:y val="0.42090051510272408"/>
          <c:w val="0.39592877844305158"/>
          <c:h val="0.243020542372697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0615100769254"/>
          <c:y val="8.8594339600998648E-2"/>
          <c:w val="0.84562529227214356"/>
          <c:h val="0.8200581854978972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Data!$N$5</c:f>
              <c:strCache>
                <c:ptCount val="1"/>
                <c:pt idx="0">
                  <c:v>plot_surv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 Cure'!$M$4:$M$119</c:f>
              <c:numCache>
                <c:formatCode>0.000</c:formatCode>
                <c:ptCount val="116"/>
                <c:pt idx="0">
                  <c:v>0</c:v>
                </c:pt>
                <c:pt idx="1">
                  <c:v>6.0780287474332653</c:v>
                </c:pt>
                <c:pt idx="2">
                  <c:v>6.0780287474332653</c:v>
                </c:pt>
                <c:pt idx="3">
                  <c:v>6.7022587268993838</c:v>
                </c:pt>
                <c:pt idx="4">
                  <c:v>6.7022587268993838</c:v>
                </c:pt>
                <c:pt idx="5">
                  <c:v>6.8993839835728954</c:v>
                </c:pt>
                <c:pt idx="6">
                  <c:v>6.8993839835728954</c:v>
                </c:pt>
                <c:pt idx="7">
                  <c:v>7.6221765913757702</c:v>
                </c:pt>
                <c:pt idx="8">
                  <c:v>7.6221765913757702</c:v>
                </c:pt>
                <c:pt idx="9">
                  <c:v>9.1663244353182751</c:v>
                </c:pt>
                <c:pt idx="10">
                  <c:v>9.1663244353182751</c:v>
                </c:pt>
                <c:pt idx="11">
                  <c:v>9.6919917864476393</c:v>
                </c:pt>
                <c:pt idx="12">
                  <c:v>9.6919917864476393</c:v>
                </c:pt>
                <c:pt idx="13">
                  <c:v>12.681724845995893</c:v>
                </c:pt>
                <c:pt idx="14">
                  <c:v>12.681724845995893</c:v>
                </c:pt>
                <c:pt idx="15">
                  <c:v>13.995893223819301</c:v>
                </c:pt>
                <c:pt idx="16">
                  <c:v>13.995893223819301</c:v>
                </c:pt>
                <c:pt idx="17">
                  <c:v>15.408624229979466</c:v>
                </c:pt>
                <c:pt idx="18">
                  <c:v>15.408624229979466</c:v>
                </c:pt>
                <c:pt idx="19">
                  <c:v>17.37987679671458</c:v>
                </c:pt>
                <c:pt idx="20">
                  <c:v>17.37987679671458</c:v>
                </c:pt>
                <c:pt idx="21">
                  <c:v>20.402464065708418</c:v>
                </c:pt>
                <c:pt idx="22">
                  <c:v>20.402464065708418</c:v>
                </c:pt>
                <c:pt idx="23">
                  <c:v>20.6652977412731</c:v>
                </c:pt>
                <c:pt idx="24">
                  <c:v>20.6652977412731</c:v>
                </c:pt>
                <c:pt idx="25">
                  <c:v>21.650924024640656</c:v>
                </c:pt>
                <c:pt idx="26">
                  <c:v>21.650924024640656</c:v>
                </c:pt>
                <c:pt idx="27">
                  <c:v>21.913757700205338</c:v>
                </c:pt>
                <c:pt idx="28">
                  <c:v>21.913757700205338</c:v>
                </c:pt>
                <c:pt idx="29">
                  <c:v>23.589322381930184</c:v>
                </c:pt>
                <c:pt idx="30">
                  <c:v>23.589322381930184</c:v>
                </c:pt>
                <c:pt idx="31">
                  <c:v>24.706365503080082</c:v>
                </c:pt>
                <c:pt idx="32">
                  <c:v>24.706365503080082</c:v>
                </c:pt>
                <c:pt idx="33">
                  <c:v>25.593429158110883</c:v>
                </c:pt>
                <c:pt idx="34">
                  <c:v>25.593429158110883</c:v>
                </c:pt>
                <c:pt idx="35">
                  <c:v>26.053388090349078</c:v>
                </c:pt>
                <c:pt idx="36">
                  <c:v>26.053388090349078</c:v>
                </c:pt>
                <c:pt idx="37">
                  <c:v>26.84188911704312</c:v>
                </c:pt>
                <c:pt idx="38">
                  <c:v>26.84188911704312</c:v>
                </c:pt>
                <c:pt idx="39">
                  <c:v>27.367556468172484</c:v>
                </c:pt>
                <c:pt idx="40">
                  <c:v>27.367556468172484</c:v>
                </c:pt>
                <c:pt idx="41">
                  <c:v>28.188911704312115</c:v>
                </c:pt>
                <c:pt idx="42">
                  <c:v>28.188911704312115</c:v>
                </c:pt>
                <c:pt idx="43">
                  <c:v>28.550308008213552</c:v>
                </c:pt>
                <c:pt idx="44">
                  <c:v>28.550308008213552</c:v>
                </c:pt>
                <c:pt idx="45">
                  <c:v>28.648870636550306</c:v>
                </c:pt>
                <c:pt idx="46">
                  <c:v>28.648870636550306</c:v>
                </c:pt>
                <c:pt idx="47">
                  <c:v>31.770020533880903</c:v>
                </c:pt>
                <c:pt idx="48">
                  <c:v>31.770020533880903</c:v>
                </c:pt>
                <c:pt idx="49">
                  <c:v>32.098562628336758</c:v>
                </c:pt>
                <c:pt idx="50">
                  <c:v>32.098562628336758</c:v>
                </c:pt>
                <c:pt idx="51">
                  <c:v>32.262833675564679</c:v>
                </c:pt>
                <c:pt idx="52">
                  <c:v>32.262833675564679</c:v>
                </c:pt>
                <c:pt idx="53">
                  <c:v>34.201232032854207</c:v>
                </c:pt>
                <c:pt idx="54">
                  <c:v>34.201232032854207</c:v>
                </c:pt>
                <c:pt idx="55">
                  <c:v>34.661190965092402</c:v>
                </c:pt>
                <c:pt idx="56">
                  <c:v>34.661190965092402</c:v>
                </c:pt>
                <c:pt idx="57">
                  <c:v>34.891170431211499</c:v>
                </c:pt>
                <c:pt idx="58">
                  <c:v>34.891170431211499</c:v>
                </c:pt>
                <c:pt idx="59">
                  <c:v>35.318275154004105</c:v>
                </c:pt>
                <c:pt idx="60">
                  <c:v>35.318275154004105</c:v>
                </c:pt>
                <c:pt idx="61">
                  <c:v>37.979466119096507</c:v>
                </c:pt>
                <c:pt idx="62">
                  <c:v>37.979466119096507</c:v>
                </c:pt>
                <c:pt idx="63">
                  <c:v>40.344969199178642</c:v>
                </c:pt>
                <c:pt idx="64">
                  <c:v>40.344969199178642</c:v>
                </c:pt>
                <c:pt idx="65">
                  <c:v>41.133470225872692</c:v>
                </c:pt>
                <c:pt idx="66">
                  <c:v>41.133470225872692</c:v>
                </c:pt>
                <c:pt idx="67">
                  <c:v>41.757700205338807</c:v>
                </c:pt>
                <c:pt idx="68">
                  <c:v>41.757700205338807</c:v>
                </c:pt>
                <c:pt idx="69">
                  <c:v>43.104722792607802</c:v>
                </c:pt>
                <c:pt idx="70">
                  <c:v>43.104722792607802</c:v>
                </c:pt>
                <c:pt idx="71">
                  <c:v>47.145790554414788</c:v>
                </c:pt>
                <c:pt idx="72">
                  <c:v>47.145790554414788</c:v>
                </c:pt>
                <c:pt idx="73">
                  <c:v>49.478439425051334</c:v>
                </c:pt>
                <c:pt idx="74">
                  <c:v>49.478439425051334</c:v>
                </c:pt>
                <c:pt idx="75">
                  <c:v>49.80698151950719</c:v>
                </c:pt>
                <c:pt idx="76">
                  <c:v>49.80698151950719</c:v>
                </c:pt>
                <c:pt idx="77">
                  <c:v>50.858316221765911</c:v>
                </c:pt>
                <c:pt idx="78">
                  <c:v>50.858316221765911</c:v>
                </c:pt>
                <c:pt idx="79">
                  <c:v>51.252566735112936</c:v>
                </c:pt>
                <c:pt idx="80">
                  <c:v>51.252566735112936</c:v>
                </c:pt>
                <c:pt idx="81">
                  <c:v>52.041067761806978</c:v>
                </c:pt>
                <c:pt idx="82">
                  <c:v>52.041067761806978</c:v>
                </c:pt>
                <c:pt idx="83">
                  <c:v>53.256673511293634</c:v>
                </c:pt>
                <c:pt idx="84">
                  <c:v>53.256673511293634</c:v>
                </c:pt>
                <c:pt idx="85">
                  <c:v>54.767967145790557</c:v>
                </c:pt>
                <c:pt idx="86">
                  <c:v>54.767967145790557</c:v>
                </c:pt>
                <c:pt idx="87">
                  <c:v>55.523613963039011</c:v>
                </c:pt>
                <c:pt idx="88">
                  <c:v>55.523613963039011</c:v>
                </c:pt>
                <c:pt idx="89">
                  <c:v>56.706365503080079</c:v>
                </c:pt>
                <c:pt idx="90">
                  <c:v>56.706365503080079</c:v>
                </c:pt>
                <c:pt idx="91">
                  <c:v>63.507186858316224</c:v>
                </c:pt>
                <c:pt idx="92">
                  <c:v>63.507186858316224</c:v>
                </c:pt>
                <c:pt idx="93">
                  <c:v>67.71252566735113</c:v>
                </c:pt>
                <c:pt idx="94">
                  <c:v>67.71252566735113</c:v>
                </c:pt>
                <c:pt idx="95">
                  <c:v>67.745379876796719</c:v>
                </c:pt>
                <c:pt idx="96">
                  <c:v>67.745379876796719</c:v>
                </c:pt>
                <c:pt idx="97">
                  <c:v>69.092402464065714</c:v>
                </c:pt>
                <c:pt idx="98">
                  <c:v>69.092402464065714</c:v>
                </c:pt>
                <c:pt idx="99">
                  <c:v>69.256673511293641</c:v>
                </c:pt>
                <c:pt idx="100">
                  <c:v>69.256673511293641</c:v>
                </c:pt>
                <c:pt idx="101">
                  <c:v>74.119096509240251</c:v>
                </c:pt>
                <c:pt idx="102">
                  <c:v>74.119096509240251</c:v>
                </c:pt>
                <c:pt idx="103">
                  <c:v>78.455852156057489</c:v>
                </c:pt>
                <c:pt idx="104">
                  <c:v>78.455852156057489</c:v>
                </c:pt>
                <c:pt idx="105">
                  <c:v>81.051334702258728</c:v>
                </c:pt>
                <c:pt idx="106">
                  <c:v>81.051334702258728</c:v>
                </c:pt>
                <c:pt idx="107">
                  <c:v>84.271047227926076</c:v>
                </c:pt>
                <c:pt idx="108">
                  <c:v>84.271047227926076</c:v>
                </c:pt>
                <c:pt idx="109">
                  <c:v>91.400410677618069</c:v>
                </c:pt>
                <c:pt idx="110">
                  <c:v>91.400410677618069</c:v>
                </c:pt>
                <c:pt idx="111">
                  <c:v>99.94250513347022</c:v>
                </c:pt>
                <c:pt idx="112">
                  <c:v>99.94250513347022</c:v>
                </c:pt>
                <c:pt idx="113">
                  <c:v>109.66735112936345</c:v>
                </c:pt>
                <c:pt idx="114">
                  <c:v>109.66735112936345</c:v>
                </c:pt>
                <c:pt idx="115">
                  <c:v>182.83367556468173</c:v>
                </c:pt>
              </c:numCache>
            </c:numRef>
          </c:xVal>
          <c:yVal>
            <c:numRef>
              <c:f>'Data Cure'!$N$4:$N$119</c:f>
              <c:numCache>
                <c:formatCode>0.000</c:formatCode>
                <c:ptCount val="116"/>
                <c:pt idx="0">
                  <c:v>1</c:v>
                </c:pt>
                <c:pt idx="1">
                  <c:v>1</c:v>
                </c:pt>
                <c:pt idx="2">
                  <c:v>0.99502487562189057</c:v>
                </c:pt>
                <c:pt idx="3">
                  <c:v>0.99502487562189057</c:v>
                </c:pt>
                <c:pt idx="4">
                  <c:v>0.99004975124378114</c:v>
                </c:pt>
                <c:pt idx="5">
                  <c:v>0.99004975124378114</c:v>
                </c:pt>
                <c:pt idx="6">
                  <c:v>0.98507462686567171</c:v>
                </c:pt>
                <c:pt idx="7">
                  <c:v>0.98507462686567171</c:v>
                </c:pt>
                <c:pt idx="8">
                  <c:v>0.98009950248756228</c:v>
                </c:pt>
                <c:pt idx="9">
                  <c:v>0.98009950248756228</c:v>
                </c:pt>
                <c:pt idx="10">
                  <c:v>0.97509899482180951</c:v>
                </c:pt>
                <c:pt idx="11">
                  <c:v>0.97509899482180951</c:v>
                </c:pt>
                <c:pt idx="12">
                  <c:v>0.97009848715605662</c:v>
                </c:pt>
                <c:pt idx="13">
                  <c:v>0.97009848715605662</c:v>
                </c:pt>
                <c:pt idx="14">
                  <c:v>0.96507207012415996</c:v>
                </c:pt>
                <c:pt idx="15">
                  <c:v>0.96507207012415996</c:v>
                </c:pt>
                <c:pt idx="16">
                  <c:v>0.96004565309226331</c:v>
                </c:pt>
                <c:pt idx="17">
                  <c:v>0.96004565309226331</c:v>
                </c:pt>
                <c:pt idx="18">
                  <c:v>0.95501923606036665</c:v>
                </c:pt>
                <c:pt idx="19">
                  <c:v>0.95501923606036665</c:v>
                </c:pt>
                <c:pt idx="20">
                  <c:v>0.94996622422935939</c:v>
                </c:pt>
                <c:pt idx="21">
                  <c:v>0.94996622422935939</c:v>
                </c:pt>
                <c:pt idx="22">
                  <c:v>0.94491321239835213</c:v>
                </c:pt>
                <c:pt idx="23">
                  <c:v>0.94491321239835213</c:v>
                </c:pt>
                <c:pt idx="24">
                  <c:v>0.93986020056734487</c:v>
                </c:pt>
                <c:pt idx="25">
                  <c:v>0.93986020056734487</c:v>
                </c:pt>
                <c:pt idx="26">
                  <c:v>0.93480718873633761</c:v>
                </c:pt>
                <c:pt idx="27">
                  <c:v>0.93480718873633761</c:v>
                </c:pt>
                <c:pt idx="28">
                  <c:v>0.92975417690533046</c:v>
                </c:pt>
                <c:pt idx="29">
                  <c:v>0.92975417690533046</c:v>
                </c:pt>
                <c:pt idx="30">
                  <c:v>0.92470116507432321</c:v>
                </c:pt>
                <c:pt idx="31">
                  <c:v>0.92470116507432321</c:v>
                </c:pt>
                <c:pt idx="32">
                  <c:v>0.91964815324331595</c:v>
                </c:pt>
                <c:pt idx="33">
                  <c:v>0.91964815324331595</c:v>
                </c:pt>
                <c:pt idx="34">
                  <c:v>0.91459514141230869</c:v>
                </c:pt>
                <c:pt idx="35">
                  <c:v>0.91459514141230869</c:v>
                </c:pt>
                <c:pt idx="36">
                  <c:v>0.90954212958130143</c:v>
                </c:pt>
                <c:pt idx="37">
                  <c:v>0.90954212958130143</c:v>
                </c:pt>
                <c:pt idx="38">
                  <c:v>0.90448911775029417</c:v>
                </c:pt>
                <c:pt idx="39">
                  <c:v>0.90448911775029417</c:v>
                </c:pt>
                <c:pt idx="40">
                  <c:v>0.8994077182123712</c:v>
                </c:pt>
                <c:pt idx="41">
                  <c:v>0.8994077182123712</c:v>
                </c:pt>
                <c:pt idx="42">
                  <c:v>0.89432631867444823</c:v>
                </c:pt>
                <c:pt idx="43">
                  <c:v>0.89432631867444823</c:v>
                </c:pt>
                <c:pt idx="44">
                  <c:v>0.88924491913652515</c:v>
                </c:pt>
                <c:pt idx="45">
                  <c:v>0.88924491913652515</c:v>
                </c:pt>
                <c:pt idx="46">
                  <c:v>0.88416351959860218</c:v>
                </c:pt>
                <c:pt idx="47">
                  <c:v>0.88416351959860218</c:v>
                </c:pt>
                <c:pt idx="48">
                  <c:v>0.8790821200606791</c:v>
                </c:pt>
                <c:pt idx="49">
                  <c:v>0.8790821200606791</c:v>
                </c:pt>
                <c:pt idx="50">
                  <c:v>0.87400072052275601</c:v>
                </c:pt>
                <c:pt idx="51">
                  <c:v>0.87400072052275601</c:v>
                </c:pt>
                <c:pt idx="52">
                  <c:v>0.86891932098483304</c:v>
                </c:pt>
                <c:pt idx="53">
                  <c:v>0.86891932098483304</c:v>
                </c:pt>
                <c:pt idx="54">
                  <c:v>0.86383792144690996</c:v>
                </c:pt>
                <c:pt idx="55">
                  <c:v>0.86383792144690996</c:v>
                </c:pt>
                <c:pt idx="56">
                  <c:v>0.85875652190898699</c:v>
                </c:pt>
                <c:pt idx="57">
                  <c:v>0.85875652190898699</c:v>
                </c:pt>
                <c:pt idx="58">
                  <c:v>0.85367512237106391</c:v>
                </c:pt>
                <c:pt idx="59">
                  <c:v>0.85367512237106391</c:v>
                </c:pt>
                <c:pt idx="60">
                  <c:v>0.84859372283314094</c:v>
                </c:pt>
                <c:pt idx="61">
                  <c:v>0.84859372283314094</c:v>
                </c:pt>
                <c:pt idx="62">
                  <c:v>0.84351232329521786</c:v>
                </c:pt>
                <c:pt idx="63">
                  <c:v>0.84351232329521786</c:v>
                </c:pt>
                <c:pt idx="64">
                  <c:v>0.83843092375729489</c:v>
                </c:pt>
                <c:pt idx="65">
                  <c:v>0.83843092375729489</c:v>
                </c:pt>
                <c:pt idx="66">
                  <c:v>0.83334952421937181</c:v>
                </c:pt>
                <c:pt idx="67">
                  <c:v>0.83334952421937181</c:v>
                </c:pt>
                <c:pt idx="68">
                  <c:v>0.82826812468144884</c:v>
                </c:pt>
                <c:pt idx="69">
                  <c:v>0.82826812468144884</c:v>
                </c:pt>
                <c:pt idx="70">
                  <c:v>0.82318672514352587</c:v>
                </c:pt>
                <c:pt idx="71">
                  <c:v>0.82318672514352587</c:v>
                </c:pt>
                <c:pt idx="72">
                  <c:v>0.81807376411778965</c:v>
                </c:pt>
                <c:pt idx="73">
                  <c:v>0.81807376411778965</c:v>
                </c:pt>
                <c:pt idx="74">
                  <c:v>0.81292864610447024</c:v>
                </c:pt>
                <c:pt idx="75">
                  <c:v>0.81292864610447024</c:v>
                </c:pt>
                <c:pt idx="76">
                  <c:v>0.80768394516186071</c:v>
                </c:pt>
                <c:pt idx="77">
                  <c:v>0.80768394516186071</c:v>
                </c:pt>
                <c:pt idx="78">
                  <c:v>0.80237023499632221</c:v>
                </c:pt>
                <c:pt idx="79">
                  <c:v>0.80237023499632221</c:v>
                </c:pt>
                <c:pt idx="80">
                  <c:v>0.79702110009634675</c:v>
                </c:pt>
                <c:pt idx="81">
                  <c:v>0.79702110009634675</c:v>
                </c:pt>
                <c:pt idx="82">
                  <c:v>0.79163582239299302</c:v>
                </c:pt>
                <c:pt idx="83">
                  <c:v>0.79163582239299302</c:v>
                </c:pt>
                <c:pt idx="84">
                  <c:v>0.78621365922591768</c:v>
                </c:pt>
                <c:pt idx="85">
                  <c:v>0.78621365922591768</c:v>
                </c:pt>
                <c:pt idx="86">
                  <c:v>0.78047487339215182</c:v>
                </c:pt>
                <c:pt idx="87">
                  <c:v>0.78047487339215182</c:v>
                </c:pt>
                <c:pt idx="88">
                  <c:v>0.774650434038479</c:v>
                </c:pt>
                <c:pt idx="89">
                  <c:v>0.774650434038479</c:v>
                </c:pt>
                <c:pt idx="90">
                  <c:v>0.76873707194658225</c:v>
                </c:pt>
                <c:pt idx="91">
                  <c:v>0.76873707194658225</c:v>
                </c:pt>
                <c:pt idx="92">
                  <c:v>0.76174855311070422</c:v>
                </c:pt>
                <c:pt idx="93">
                  <c:v>0.76174855311070422</c:v>
                </c:pt>
                <c:pt idx="94">
                  <c:v>0.75373014728848631</c:v>
                </c:pt>
                <c:pt idx="95">
                  <c:v>0.75373014728848631</c:v>
                </c:pt>
                <c:pt idx="96">
                  <c:v>0.7457117414662684</c:v>
                </c:pt>
                <c:pt idx="97">
                  <c:v>0.7457117414662684</c:v>
                </c:pt>
                <c:pt idx="98">
                  <c:v>0.73742605544997653</c:v>
                </c:pt>
                <c:pt idx="99">
                  <c:v>0.73742605544997653</c:v>
                </c:pt>
                <c:pt idx="100">
                  <c:v>0.72904621391077229</c:v>
                </c:pt>
                <c:pt idx="101">
                  <c:v>0.72904621391077229</c:v>
                </c:pt>
                <c:pt idx="102">
                  <c:v>0.71993313623688771</c:v>
                </c:pt>
                <c:pt idx="103">
                  <c:v>0.71993313623688771</c:v>
                </c:pt>
                <c:pt idx="104">
                  <c:v>0.71033402775372922</c:v>
                </c:pt>
                <c:pt idx="105">
                  <c:v>0.71033402775372922</c:v>
                </c:pt>
                <c:pt idx="106">
                  <c:v>0.70003933169932742</c:v>
                </c:pt>
                <c:pt idx="107">
                  <c:v>0.70003933169932742</c:v>
                </c:pt>
                <c:pt idx="108">
                  <c:v>0.68892759627552858</c:v>
                </c:pt>
                <c:pt idx="109">
                  <c:v>0.68892759627552858</c:v>
                </c:pt>
                <c:pt idx="110">
                  <c:v>0.6768411472180631</c:v>
                </c:pt>
                <c:pt idx="111">
                  <c:v>0.6768411472180631</c:v>
                </c:pt>
                <c:pt idx="112">
                  <c:v>0.66382497131002338</c:v>
                </c:pt>
                <c:pt idx="113">
                  <c:v>0.66382497131002338</c:v>
                </c:pt>
                <c:pt idx="114">
                  <c:v>0.64485854355830841</c:v>
                </c:pt>
                <c:pt idx="115">
                  <c:v>0.64485854355830841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0-417F-9B0E-0F79D104F8FD}"/>
            </c:ext>
          </c:extLst>
        </c:ser>
        <c:ser>
          <c:idx val="1"/>
          <c:order val="1"/>
          <c:tx>
            <c:v>At Risk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974045-0611-4C3A-95B1-177372C17A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70-417F-9B0E-0F79D104F8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204752-982A-414B-B4B3-7A1C9C5563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70-417F-9B0E-0F79D104F8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B20192-6DAA-465D-BFC9-ABB7A85BB9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70-417F-9B0E-0F79D104F8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EECF5A-0F07-47A5-98F5-4C4BF59339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70-417F-9B0E-0F79D104F8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910CF1-B41D-48A3-8E2F-C0EF83910E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70-417F-9B0E-0F79D104F8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FB5A02-9E35-480B-ACAF-B849EF9AB0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70-417F-9B0E-0F79D104F8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C8BFFE-D959-499B-81E0-E312CCEC7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70-417F-9B0E-0F79D104F8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F1DA51-328A-4D99-8257-0E0ABD3437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70-417F-9B0E-0F79D104F8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9E28BE-9617-4BAA-B343-621E7B5707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70-417F-9B0E-0F79D104F8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E7671F-E351-4513-95C8-2E57054A7F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70-417F-9B0E-0F79D104F8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CBF262-555C-46BF-B049-407BBDD778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70-417F-9B0E-0F79D104F8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6B3CE9-F4F2-45BC-BE33-F50F6102B4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70-417F-9B0E-0F79D104F8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4230FA-0F7C-4919-A82E-F081C13A87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70-417F-9B0E-0F79D104F8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E6E661-190F-41CE-9FDB-C5AD9DF742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70-417F-9B0E-0F79D104F8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349F55-FA68-4BFB-9F3D-3D310FC221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70-417F-9B0E-0F79D104F8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85DAEF-7D86-4892-96DB-346A431259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70-417F-9B0E-0F79D104F8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'Data Cure'!$P$4:$P$19</c:f>
              <c:numCache>
                <c:formatCode>General</c:formatCode>
                <c:ptCount val="16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36</c:v>
                </c:pt>
                <c:pt idx="4">
                  <c:v>48</c:v>
                </c:pt>
                <c:pt idx="5">
                  <c:v>60</c:v>
                </c:pt>
                <c:pt idx="6">
                  <c:v>72</c:v>
                </c:pt>
                <c:pt idx="7">
                  <c:v>84</c:v>
                </c:pt>
                <c:pt idx="8">
                  <c:v>96</c:v>
                </c:pt>
                <c:pt idx="9">
                  <c:v>108</c:v>
                </c:pt>
                <c:pt idx="10">
                  <c:v>120</c:v>
                </c:pt>
                <c:pt idx="11">
                  <c:v>132</c:v>
                </c:pt>
                <c:pt idx="12">
                  <c:v>144</c:v>
                </c:pt>
                <c:pt idx="13">
                  <c:v>156</c:v>
                </c:pt>
                <c:pt idx="14">
                  <c:v>168</c:v>
                </c:pt>
                <c:pt idx="15">
                  <c:v>180</c:v>
                </c:pt>
              </c:numCache>
            </c:numRef>
          </c:xVal>
          <c:yVal>
            <c:numRef>
              <c:f>'Data Cure'!$R$4:$R$19</c:f>
              <c:numCache>
                <c:formatCode>General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'Data Cure'!$Q$4:$Q$19</c15:f>
                <c15:dlblRangeCache>
                  <c:ptCount val="16"/>
                  <c:pt idx="0">
                    <c:v>205</c:v>
                  </c:pt>
                  <c:pt idx="1">
                    <c:v>193</c:v>
                  </c:pt>
                  <c:pt idx="2">
                    <c:v>183</c:v>
                  </c:pt>
                  <c:pt idx="3">
                    <c:v>167</c:v>
                  </c:pt>
                  <c:pt idx="4">
                    <c:v>160</c:v>
                  </c:pt>
                  <c:pt idx="5">
                    <c:v>122</c:v>
                  </c:pt>
                  <c:pt idx="6">
                    <c:v>83</c:v>
                  </c:pt>
                  <c:pt idx="7">
                    <c:v>64</c:v>
                  </c:pt>
                  <c:pt idx="8">
                    <c:v>55</c:v>
                  </c:pt>
                  <c:pt idx="9">
                    <c:v>38</c:v>
                  </c:pt>
                  <c:pt idx="10">
                    <c:v>23</c:v>
                  </c:pt>
                  <c:pt idx="11">
                    <c:v>12</c:v>
                  </c:pt>
                  <c:pt idx="12">
                    <c:v>7</c:v>
                  </c:pt>
                  <c:pt idx="13">
                    <c:v>2</c:v>
                  </c:pt>
                  <c:pt idx="14">
                    <c:v>1</c:v>
                  </c:pt>
                  <c:pt idx="15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7670-417F-9B0E-0F79D104F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758608"/>
        <c:axId val="939045168"/>
      </c:scatterChart>
      <c:valAx>
        <c:axId val="1404758608"/>
        <c:scaling>
          <c:orientation val="minMax"/>
          <c:max val="186"/>
          <c:min val="-1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45168"/>
        <c:crossesAt val="-5.000000000000001E-2"/>
        <c:crossBetween val="midCat"/>
        <c:majorUnit val="12"/>
      </c:valAx>
      <c:valAx>
        <c:axId val="939045168"/>
        <c:scaling>
          <c:orientation val="minMax"/>
          <c:max val="1"/>
          <c:min val="-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1.2221789494562835E-2"/>
              <c:y val="0.39484826444887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.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58608"/>
        <c:crossesAt val="-6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2610399820370305"/>
          <c:y val="0.79445468350121939"/>
          <c:w val="6.9772599891598799E-2"/>
          <c:h val="4.46969761749187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Survival</a:t>
            </a:r>
          </a:p>
        </c:rich>
      </c:tx>
      <c:layout>
        <c:manualLayout>
          <c:xMode val="edge"/>
          <c:yMode val="edge"/>
          <c:x val="0.47145154719615073"/>
          <c:y val="1.53744898877420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8835333318296"/>
          <c:y val="9.3719218233418652E-2"/>
          <c:w val="0.84562529227214356"/>
          <c:h val="0.82005818549789722"/>
        </c:manualLayout>
      </c:layout>
      <c:scatterChart>
        <c:scatterStyle val="lineMarker"/>
        <c:varyColors val="0"/>
        <c:ser>
          <c:idx val="0"/>
          <c:order val="0"/>
          <c:tx>
            <c:strRef>
              <c:f>'Cure Plot'!$B$16</c:f>
              <c:strCache>
                <c:ptCount val="1"/>
                <c:pt idx="0">
                  <c:v>exp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Plot'!$B$17:$B$47</c:f>
              <c:numCache>
                <c:formatCode>0.00000</c:formatCode>
                <c:ptCount val="31"/>
                <c:pt idx="0">
                  <c:v>1</c:v>
                </c:pt>
                <c:pt idx="1">
                  <c:v>0.97267535692120399</c:v>
                </c:pt>
                <c:pt idx="2">
                  <c:v>0.9466432525397156</c:v>
                </c:pt>
                <c:pt idx="3">
                  <c:v>0.9218425458452304</c:v>
                </c:pt>
                <c:pt idx="4">
                  <c:v>0.89821498798312904</c:v>
                </c:pt>
                <c:pt idx="5">
                  <c:v>0.87570508544671932</c:v>
                </c:pt>
                <c:pt idx="6">
                  <c:v>0.85425996974090157</c:v>
                </c:pt>
                <c:pt idx="7">
                  <c:v>0.83382927321113942</c:v>
                </c:pt>
                <c:pt idx="8">
                  <c:v>0.81436501074609724</c:v>
                </c:pt>
                <c:pt idx="9">
                  <c:v>0.7958214670761028</c:v>
                </c:pt>
                <c:pt idx="10">
                  <c:v>0.77815508940273492</c:v>
                </c:pt>
                <c:pt idx="11">
                  <c:v>0.76132438510735878</c:v>
                </c:pt>
                <c:pt idx="12">
                  <c:v>0.74528982429835788</c:v>
                </c:pt>
                <c:pt idx="13">
                  <c:v>0.73001374696817878</c:v>
                </c:pt>
                <c:pt idx="14">
                  <c:v>0.71546027454212868</c:v>
                </c:pt>
                <c:pt idx="15">
                  <c:v>0.70159522561118604</c:v>
                </c:pt>
                <c:pt idx="16">
                  <c:v>0.68838603565090317</c:v>
                </c:pt>
                <c:pt idx="17">
                  <c:v>0.67580168053785028</c:v>
                </c:pt>
                <c:pt idx="18">
                  <c:v>0.66381260368396333</c:v>
                </c:pt>
                <c:pt idx="19">
                  <c:v>0.65239064661766</c:v>
                </c:pt>
                <c:pt idx="20">
                  <c:v>0.64150898284867841</c:v>
                </c:pt>
                <c:pt idx="21">
                  <c:v>0.63114205486131103</c:v>
                </c:pt>
                <c:pt idx="22">
                  <c:v>0.62126551408805053</c:v>
                </c:pt>
                <c:pt idx="23">
                  <c:v>0.61185616372266327</c:v>
                </c:pt>
                <c:pt idx="24">
                  <c:v>0.60289190423837979</c:v>
                </c:pt>
                <c:pt idx="25">
                  <c:v>0.59435168148323958</c:v>
                </c:pt>
                <c:pt idx="26">
                  <c:v>0.58621543723068459</c:v>
                </c:pt>
                <c:pt idx="27">
                  <c:v>0.57846406206925904</c:v>
                </c:pt>
                <c:pt idx="28">
                  <c:v>0.57107935052077063</c:v>
                </c:pt>
                <c:pt idx="29">
                  <c:v>0.56404395828149878</c:v>
                </c:pt>
                <c:pt idx="30">
                  <c:v>0.55734136148602376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2955-43AB-B5D8-68F950EF49AF}"/>
            </c:ext>
          </c:extLst>
        </c:ser>
        <c:ser>
          <c:idx val="1"/>
          <c:order val="1"/>
          <c:tx>
            <c:strRef>
              <c:f>'Cure Plot'!$C$16</c:f>
              <c:strCache>
                <c:ptCount val="1"/>
                <c:pt idx="0">
                  <c:v>weibull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Plot'!$C$17:$C$47</c:f>
              <c:numCache>
                <c:formatCode>0.00000</c:formatCode>
                <c:ptCount val="31"/>
                <c:pt idx="0">
                  <c:v>1</c:v>
                </c:pt>
                <c:pt idx="1">
                  <c:v>0.99068254842763914</c:v>
                </c:pt>
                <c:pt idx="2">
                  <c:v>0.9724514898672838</c:v>
                </c:pt>
                <c:pt idx="3">
                  <c:v>0.94909661809878831</c:v>
                </c:pt>
                <c:pt idx="4">
                  <c:v>0.92269186900842814</c:v>
                </c:pt>
                <c:pt idx="5">
                  <c:v>0.89477859900612933</c:v>
                </c:pt>
                <c:pt idx="6">
                  <c:v>0.86655690182935807</c:v>
                </c:pt>
                <c:pt idx="7">
                  <c:v>0.83895332851278115</c:v>
                </c:pt>
                <c:pt idx="8">
                  <c:v>0.81265895764462859</c:v>
                </c:pt>
                <c:pt idx="9">
                  <c:v>0.78816005472113648</c:v>
                </c:pt>
                <c:pt idx="10">
                  <c:v>0.76576732521498814</c:v>
                </c:pt>
                <c:pt idx="11">
                  <c:v>0.74564489373613452</c:v>
                </c:pt>
                <c:pt idx="12">
                  <c:v>0.72783856468512009</c:v>
                </c:pt>
                <c:pt idx="13">
                  <c:v>0.71230251057200988</c:v>
                </c:pt>
                <c:pt idx="14">
                  <c:v>0.69892358112870856</c:v>
                </c:pt>
                <c:pt idx="15">
                  <c:v>0.68754264569763401</c:v>
                </c:pt>
                <c:pt idx="16">
                  <c:v>0.67797264514583255</c:v>
                </c:pt>
                <c:pt idx="17">
                  <c:v>0.67001327665787414</c:v>
                </c:pt>
                <c:pt idx="18">
                  <c:v>0.66346243725656595</c:v>
                </c:pt>
                <c:pt idx="19">
                  <c:v>0.65812469997857381</c:v>
                </c:pt>
                <c:pt idx="20">
                  <c:v>0.65381719084591383</c:v>
                </c:pt>
                <c:pt idx="21">
                  <c:v>0.65037328142951101</c:v>
                </c:pt>
                <c:pt idx="22">
                  <c:v>0.64764451998159589</c:v>
                </c:pt>
                <c:pt idx="23">
                  <c:v>0.6455012037124358</c:v>
                </c:pt>
                <c:pt idx="24">
                  <c:v>0.6438319552356907</c:v>
                </c:pt>
                <c:pt idx="25">
                  <c:v>0.64254261572540317</c:v>
                </c:pt>
                <c:pt idx="26">
                  <c:v>0.64155471255897056</c:v>
                </c:pt>
                <c:pt idx="27">
                  <c:v>0.64080370514249008</c:v>
                </c:pt>
                <c:pt idx="28">
                  <c:v>0.64023716264009756</c:v>
                </c:pt>
                <c:pt idx="29">
                  <c:v>0.63981298351457516</c:v>
                </c:pt>
                <c:pt idx="30">
                  <c:v>0.63949773009769495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955-43AB-B5D8-68F950EF49AF}"/>
            </c:ext>
          </c:extLst>
        </c:ser>
        <c:ser>
          <c:idx val="2"/>
          <c:order val="2"/>
          <c:tx>
            <c:strRef>
              <c:f>'Cure Plot'!$D$16</c:f>
              <c:strCache>
                <c:ptCount val="1"/>
                <c:pt idx="0">
                  <c:v>weibullPH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Plot'!$D$17:$D$47</c:f>
              <c:numCache>
                <c:formatCode>0.00000</c:formatCode>
                <c:ptCount val="31"/>
                <c:pt idx="0">
                  <c:v>1</c:v>
                </c:pt>
                <c:pt idx="1">
                  <c:v>0.99068204344951249</c:v>
                </c:pt>
                <c:pt idx="2">
                  <c:v>0.97245052297356949</c:v>
                </c:pt>
                <c:pt idx="3">
                  <c:v>0.9490954226102839</c:v>
                </c:pt>
                <c:pt idx="4">
                  <c:v>0.92269070438613487</c:v>
                </c:pt>
                <c:pt idx="5">
                  <c:v>0.8947777042602113</c:v>
                </c:pt>
                <c:pt idx="6">
                  <c:v>0.8665564734736001</c:v>
                </c:pt>
                <c:pt idx="7">
                  <c:v>0.83895351121923445</c:v>
                </c:pt>
                <c:pt idx="8">
                  <c:v>0.81265984300058713</c:v>
                </c:pt>
                <c:pt idx="9">
                  <c:v>0.78816168526837493</c:v>
                </c:pt>
                <c:pt idx="10">
                  <c:v>0.76576970167794789</c:v>
                </c:pt>
                <c:pt idx="11">
                  <c:v>0.7456479838165927</c:v>
                </c:pt>
                <c:pt idx="12">
                  <c:v>0.72784231219634954</c:v>
                </c:pt>
                <c:pt idx="13">
                  <c:v>0.71230684404075273</c:v>
                </c:pt>
                <c:pt idx="14">
                  <c:v>0.69892842130644561</c:v>
                </c:pt>
                <c:pt idx="15">
                  <c:v>0.68754791168528251</c:v>
                </c:pt>
                <c:pt idx="16">
                  <c:v>0.67797825904271791</c:v>
                </c:pt>
                <c:pt idx="17">
                  <c:v>0.67001916679629447</c:v>
                </c:pt>
                <c:pt idx="18">
                  <c:v>0.66346854018178414</c:v>
                </c:pt>
                <c:pt idx="19">
                  <c:v>0.65813096138815597</c:v>
                </c:pt>
                <c:pt idx="20">
                  <c:v>0.6538235657211513</c:v>
                </c:pt>
                <c:pt idx="21">
                  <c:v>0.65037973358474321</c:v>
                </c:pt>
                <c:pt idx="22">
                  <c:v>0.64765102123344676</c:v>
                </c:pt>
                <c:pt idx="23">
                  <c:v>0.64550773283783158</c:v>
                </c:pt>
                <c:pt idx="24">
                  <c:v>0.64383849685100958</c:v>
                </c:pt>
                <c:pt idx="25">
                  <c:v>0.64254915918351063</c:v>
                </c:pt>
                <c:pt idx="26">
                  <c:v>0.64156125092900673</c:v>
                </c:pt>
                <c:pt idx="27">
                  <c:v>0.64081023431062056</c:v>
                </c:pt>
                <c:pt idx="28">
                  <c:v>0.64024368054853675</c:v>
                </c:pt>
                <c:pt idx="29">
                  <c:v>0.63981948954086953</c:v>
                </c:pt>
                <c:pt idx="30">
                  <c:v>0.63950422456591116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955-43AB-B5D8-68F950EF49AF}"/>
            </c:ext>
          </c:extLst>
        </c:ser>
        <c:ser>
          <c:idx val="3"/>
          <c:order val="3"/>
          <c:tx>
            <c:strRef>
              <c:f>'Cure Plot'!$E$16</c:f>
              <c:strCache>
                <c:ptCount val="1"/>
                <c:pt idx="0">
                  <c:v>gompertz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Plot'!$E$17:$E$47</c:f>
              <c:numCache>
                <c:formatCode>0.00000</c:formatCode>
                <c:ptCount val="31"/>
                <c:pt idx="0">
                  <c:v>1</c:v>
                </c:pt>
                <c:pt idx="1">
                  <c:v>0.98087367774552625</c:v>
                </c:pt>
                <c:pt idx="2">
                  <c:v>0.96047949868664118</c:v>
                </c:pt>
                <c:pt idx="3">
                  <c:v>0.93890097488583224</c:v>
                </c:pt>
                <c:pt idx="4">
                  <c:v>0.91626818267144017</c:v>
                </c:pt>
                <c:pt idx="5">
                  <c:v>0.89276329892114703</c:v>
                </c:pt>
                <c:pt idx="6">
                  <c:v>0.86862429612549041</c:v>
                </c:pt>
                <c:pt idx="7">
                  <c:v>0.84414572698981694</c:v>
                </c:pt>
                <c:pt idx="8">
                  <c:v>0.81967541718504899</c:v>
                </c:pt>
                <c:pt idx="9">
                  <c:v>0.79560591381975121</c:v>
                </c:pt>
                <c:pt idx="10">
                  <c:v>0.77235978866737487</c:v>
                </c:pt>
                <c:pt idx="11">
                  <c:v>0.75036844794196433</c:v>
                </c:pt>
                <c:pt idx="12">
                  <c:v>0.73004500259762906</c:v>
                </c:pt>
                <c:pt idx="13">
                  <c:v>0.71175298149165411</c:v>
                </c:pt>
                <c:pt idx="14">
                  <c:v>0.69577408341367952</c:v>
                </c:pt>
                <c:pt idx="15">
                  <c:v>0.68227947023168989</c:v>
                </c:pt>
                <c:pt idx="16">
                  <c:v>0.67130986486395305</c:v>
                </c:pt>
                <c:pt idx="17">
                  <c:v>0.6627694349829385</c:v>
                </c:pt>
                <c:pt idx="18">
                  <c:v>0.65643673255011903</c:v>
                </c:pt>
                <c:pt idx="19">
                  <c:v>0.65199280084648548</c:v>
                </c:pt>
                <c:pt idx="20">
                  <c:v>0.64906252114833485</c:v>
                </c:pt>
                <c:pt idx="21">
                  <c:v>0.64726153561654121</c:v>
                </c:pt>
                <c:pt idx="22">
                  <c:v>0.64623914115462833</c:v>
                </c:pt>
                <c:pt idx="23">
                  <c:v>0.6457085289911032</c:v>
                </c:pt>
                <c:pt idx="24">
                  <c:v>0.64545966464496207</c:v>
                </c:pt>
                <c:pt idx="25">
                  <c:v>0.64535554946701579</c:v>
                </c:pt>
                <c:pt idx="26">
                  <c:v>0.64531726218134688</c:v>
                </c:pt>
                <c:pt idx="27">
                  <c:v>0.64530508901555417</c:v>
                </c:pt>
                <c:pt idx="28">
                  <c:v>0.64530180445689278</c:v>
                </c:pt>
                <c:pt idx="29">
                  <c:v>0.6453010679510498</c:v>
                </c:pt>
                <c:pt idx="30">
                  <c:v>0.64530093390296128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955-43AB-B5D8-68F950EF49AF}"/>
            </c:ext>
          </c:extLst>
        </c:ser>
        <c:ser>
          <c:idx val="4"/>
          <c:order val="4"/>
          <c:tx>
            <c:strRef>
              <c:f>'Cure Plot'!$F$16</c:f>
              <c:strCache>
                <c:ptCount val="1"/>
                <c:pt idx="0">
                  <c:v>gamma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Plot'!$F$17:$F$47</c:f>
              <c:numCache>
                <c:formatCode>0.00000</c:formatCode>
                <c:ptCount val="31"/>
                <c:pt idx="0">
                  <c:v>1</c:v>
                </c:pt>
                <c:pt idx="1">
                  <c:v>0.99260013781371315</c:v>
                </c:pt>
                <c:pt idx="2">
                  <c:v>0.97421547757980687</c:v>
                </c:pt>
                <c:pt idx="3">
                  <c:v>0.94934513735032189</c:v>
                </c:pt>
                <c:pt idx="4">
                  <c:v>0.92116786198718081</c:v>
                </c:pt>
                <c:pt idx="5">
                  <c:v>0.8918798937070278</c:v>
                </c:pt>
                <c:pt idx="6">
                  <c:v>0.86295463858275612</c:v>
                </c:pt>
                <c:pt idx="7">
                  <c:v>0.83533931269526085</c:v>
                </c:pt>
                <c:pt idx="8">
                  <c:v>0.80960284005907213</c:v>
                </c:pt>
                <c:pt idx="9">
                  <c:v>0.78604637570410008</c:v>
                </c:pt>
                <c:pt idx="10">
                  <c:v>0.76478532273128885</c:v>
                </c:pt>
                <c:pt idx="11">
                  <c:v>0.74580970581336448</c:v>
                </c:pt>
                <c:pt idx="12">
                  <c:v>0.72902818717305817</c:v>
                </c:pt>
                <c:pt idx="13">
                  <c:v>0.71429978208545331</c:v>
                </c:pt>
                <c:pt idx="14">
                  <c:v>0.70145637706761743</c:v>
                </c:pt>
                <c:pt idx="15">
                  <c:v>0.69031841594670729</c:v>
                </c:pt>
                <c:pt idx="16">
                  <c:v>0.68070554967174324</c:v>
                </c:pt>
                <c:pt idx="17">
                  <c:v>0.67244360771147893</c:v>
                </c:pt>
                <c:pt idx="18">
                  <c:v>0.66536891282461352</c:v>
                </c:pt>
                <c:pt idx="19">
                  <c:v>0.65933070393384496</c:v>
                </c:pt>
                <c:pt idx="20">
                  <c:v>0.65419223585124753</c:v>
                </c:pt>
                <c:pt idx="21">
                  <c:v>0.6498309757194547</c:v>
                </c:pt>
                <c:pt idx="22">
                  <c:v>0.64613820338878503</c:v>
                </c:pt>
                <c:pt idx="23">
                  <c:v>0.64301823811470871</c:v>
                </c:pt>
                <c:pt idx="24">
                  <c:v>0.6403874504031859</c:v>
                </c:pt>
                <c:pt idx="25">
                  <c:v>0.63817317050582978</c:v>
                </c:pt>
                <c:pt idx="26">
                  <c:v>0.63631257007904629</c:v>
                </c:pt>
                <c:pt idx="27">
                  <c:v>0.63475156787493725</c:v>
                </c:pt>
                <c:pt idx="28">
                  <c:v>0.63344379172666188</c:v>
                </c:pt>
                <c:pt idx="29">
                  <c:v>0.63234961576632676</c:v>
                </c:pt>
                <c:pt idx="30">
                  <c:v>0.63143528242543601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955-43AB-B5D8-68F950EF49AF}"/>
            </c:ext>
          </c:extLst>
        </c:ser>
        <c:ser>
          <c:idx val="5"/>
          <c:order val="5"/>
          <c:tx>
            <c:strRef>
              <c:f>'Cure Plot'!$G$16</c:f>
              <c:strCache>
                <c:ptCount val="1"/>
                <c:pt idx="0">
                  <c:v>llogis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Plot'!$G$17:$G$47</c:f>
              <c:numCache>
                <c:formatCode>0.00000</c:formatCode>
                <c:ptCount val="31"/>
                <c:pt idx="0">
                  <c:v>1</c:v>
                </c:pt>
                <c:pt idx="1">
                  <c:v>0.99248106399290104</c:v>
                </c:pt>
                <c:pt idx="2">
                  <c:v>0.97429671877301038</c:v>
                </c:pt>
                <c:pt idx="3">
                  <c:v>0.94925380825710104</c:v>
                </c:pt>
                <c:pt idx="4">
                  <c:v>0.92052446871468196</c:v>
                </c:pt>
                <c:pt idx="5">
                  <c:v>0.89062592704812205</c:v>
                </c:pt>
                <c:pt idx="6">
                  <c:v>0.86132736092228723</c:v>
                </c:pt>
                <c:pt idx="7">
                  <c:v>0.83371976359136779</c:v>
                </c:pt>
                <c:pt idx="8">
                  <c:v>0.8083699691797307</c:v>
                </c:pt>
                <c:pt idx="9">
                  <c:v>0.78548447101254637</c:v>
                </c:pt>
                <c:pt idx="10">
                  <c:v>0.7650455295976436</c:v>
                </c:pt>
                <c:pt idx="11">
                  <c:v>0.74690987851813817</c:v>
                </c:pt>
                <c:pt idx="12">
                  <c:v>0.73087403231704773</c:v>
                </c:pt>
                <c:pt idx="13">
                  <c:v>0.71671443456337769</c:v>
                </c:pt>
                <c:pt idx="14">
                  <c:v>0.70421040801098456</c:v>
                </c:pt>
                <c:pt idx="15">
                  <c:v>0.69315610193546662</c:v>
                </c:pt>
                <c:pt idx="16">
                  <c:v>0.68336576367460622</c:v>
                </c:pt>
                <c:pt idx="17">
                  <c:v>0.67467516384155901</c:v>
                </c:pt>
                <c:pt idx="18">
                  <c:v>0.66694094148573635</c:v>
                </c:pt>
                <c:pt idx="19">
                  <c:v>0.66003893058890228</c:v>
                </c:pt>
                <c:pt idx="20">
                  <c:v>0.65386208220265885</c:v>
                </c:pt>
                <c:pt idx="21">
                  <c:v>0.64831832202123529</c:v>
                </c:pt>
                <c:pt idx="22">
                  <c:v>0.64332851920115008</c:v>
                </c:pt>
                <c:pt idx="23">
                  <c:v>0.63882464696239283</c:v>
                </c:pt>
                <c:pt idx="24">
                  <c:v>0.63474816197368034</c:v>
                </c:pt>
                <c:pt idx="25">
                  <c:v>0.63104860085322956</c:v>
                </c:pt>
                <c:pt idx="26">
                  <c:v>0.62768237794654635</c:v>
                </c:pt>
                <c:pt idx="27">
                  <c:v>0.62461176261888007</c:v>
                </c:pt>
                <c:pt idx="28">
                  <c:v>0.6218040129006821</c:v>
                </c:pt>
                <c:pt idx="29">
                  <c:v>0.61923064327009758</c:v>
                </c:pt>
                <c:pt idx="30">
                  <c:v>0.61686680639554548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955-43AB-B5D8-68F950EF49AF}"/>
            </c:ext>
          </c:extLst>
        </c:ser>
        <c:ser>
          <c:idx val="6"/>
          <c:order val="6"/>
          <c:tx>
            <c:strRef>
              <c:f>'Cure Plot'!$H$16</c:f>
              <c:strCache>
                <c:ptCount val="1"/>
                <c:pt idx="0">
                  <c:v>lnorm</c:v>
                </c:pt>
              </c:strCache>
            </c:strRef>
          </c:tx>
          <c:spPr>
            <a:ln w="12700" cap="rnd">
              <a:solidFill>
                <a:srgbClr val="FF0066"/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Plot'!$H$17:$H$47</c:f>
              <c:numCache>
                <c:formatCode>0.00000</c:formatCode>
                <c:ptCount val="31"/>
                <c:pt idx="0">
                  <c:v>1</c:v>
                </c:pt>
                <c:pt idx="1">
                  <c:v>0.99487495557686989</c:v>
                </c:pt>
                <c:pt idx="2">
                  <c:v>0.97436638330445413</c:v>
                </c:pt>
                <c:pt idx="3">
                  <c:v>0.94581702951578261</c:v>
                </c:pt>
                <c:pt idx="4">
                  <c:v>0.91515130184193283</c:v>
                </c:pt>
                <c:pt idx="5">
                  <c:v>0.88516230552554198</c:v>
                </c:pt>
                <c:pt idx="6">
                  <c:v>0.85703318267244788</c:v>
                </c:pt>
                <c:pt idx="7">
                  <c:v>0.83118224847485589</c:v>
                </c:pt>
                <c:pt idx="8">
                  <c:v>0.80766933119189388</c:v>
                </c:pt>
                <c:pt idx="9">
                  <c:v>0.78639106868072484</c:v>
                </c:pt>
                <c:pt idx="10">
                  <c:v>0.76717614479836826</c:v>
                </c:pt>
                <c:pt idx="11">
                  <c:v>0.74983200722840093</c:v>
                </c:pt>
                <c:pt idx="12">
                  <c:v>0.73416747017796224</c:v>
                </c:pt>
                <c:pt idx="13">
                  <c:v>0.72000311052365296</c:v>
                </c:pt>
                <c:pt idx="14">
                  <c:v>0.70717543677770678</c:v>
                </c:pt>
                <c:pt idx="15">
                  <c:v>0.69553790347823929</c:v>
                </c:pt>
                <c:pt idx="16">
                  <c:v>0.68496037570178414</c:v>
                </c:pt>
                <c:pt idx="17">
                  <c:v>0.67532788830667145</c:v>
                </c:pt>
                <c:pt idx="18">
                  <c:v>0.66653914306190698</c:v>
                </c:pt>
                <c:pt idx="19">
                  <c:v>0.65850497177948142</c:v>
                </c:pt>
                <c:pt idx="20">
                  <c:v>0.65114687752013078</c:v>
                </c:pt>
                <c:pt idx="21">
                  <c:v>0.64439570335876795</c:v>
                </c:pt>
                <c:pt idx="22">
                  <c:v>0.63819044484728371</c:v>
                </c:pt>
                <c:pt idx="23">
                  <c:v>0.63247720506562266</c:v>
                </c:pt>
                <c:pt idx="24">
                  <c:v>0.62720828278167351</c:v>
                </c:pt>
                <c:pt idx="25">
                  <c:v>0.62234138072746026</c:v>
                </c:pt>
                <c:pt idx="26">
                  <c:v>0.61783892009220076</c:v>
                </c:pt>
                <c:pt idx="27">
                  <c:v>0.61366744776853122</c:v>
                </c:pt>
                <c:pt idx="28">
                  <c:v>0.60979712396049623</c:v>
                </c:pt>
                <c:pt idx="29">
                  <c:v>0.60620127908132815</c:v>
                </c:pt>
                <c:pt idx="30">
                  <c:v>0.60285603022651335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955-43AB-B5D8-68F950EF49AF}"/>
            </c:ext>
          </c:extLst>
        </c:ser>
        <c:ser>
          <c:idx val="7"/>
          <c:order val="7"/>
          <c:tx>
            <c:strRef>
              <c:f>'Cure Plot'!$I$16</c:f>
              <c:strCache>
                <c:ptCount val="1"/>
                <c:pt idx="0">
                  <c:v>gengamma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Plot'!$I$17:$I$47</c:f>
              <c:numCache>
                <c:formatCode>0.00000</c:formatCode>
                <c:ptCount val="31"/>
                <c:pt idx="0">
                  <c:v>1</c:v>
                </c:pt>
                <c:pt idx="1">
                  <c:v>0.99406670034537059</c:v>
                </c:pt>
                <c:pt idx="2">
                  <c:v>0.97460786127895427</c:v>
                </c:pt>
                <c:pt idx="3">
                  <c:v>0.9475638557097219</c:v>
                </c:pt>
                <c:pt idx="4">
                  <c:v>0.91769066334950511</c:v>
                </c:pt>
                <c:pt idx="5">
                  <c:v>0.88768973726034672</c:v>
                </c:pt>
                <c:pt idx="6">
                  <c:v>0.85898338820421904</c:v>
                </c:pt>
                <c:pt idx="7">
                  <c:v>0.83225895952289963</c:v>
                </c:pt>
                <c:pt idx="8">
                  <c:v>0.80778925672568691</c:v>
                </c:pt>
                <c:pt idx="9">
                  <c:v>0.7856168500157007</c:v>
                </c:pt>
                <c:pt idx="10">
                  <c:v>0.76566023187815524</c:v>
                </c:pt>
                <c:pt idx="11">
                  <c:v>0.74777519201294562</c:v>
                </c:pt>
                <c:pt idx="12">
                  <c:v>0.73179026130713543</c:v>
                </c:pt>
                <c:pt idx="13">
                  <c:v>0.71752696796481474</c:v>
                </c:pt>
                <c:pt idx="14">
                  <c:v>0.70481111948760311</c:v>
                </c:pt>
                <c:pt idx="15">
                  <c:v>0.69347875906581569</c:v>
                </c:pt>
                <c:pt idx="16">
                  <c:v>0.6833789671052275</c:v>
                </c:pt>
                <c:pt idx="17">
                  <c:v>0.67437481268156507</c:v>
                </c:pt>
                <c:pt idx="18">
                  <c:v>0.6663432445164682</c:v>
                </c:pt>
                <c:pt idx="19">
                  <c:v>0.65917440051074938</c:v>
                </c:pt>
                <c:pt idx="20">
                  <c:v>0.65277062567987942</c:v>
                </c:pt>
                <c:pt idx="21">
                  <c:v>0.64704537217597458</c:v>
                </c:pt>
                <c:pt idx="22">
                  <c:v>0.64192208341746326</c:v>
                </c:pt>
                <c:pt idx="23">
                  <c:v>0.63733312008194676</c:v>
                </c:pt>
                <c:pt idx="24">
                  <c:v>0.6332187584611837</c:v>
                </c:pt>
                <c:pt idx="25">
                  <c:v>0.62952627504353109</c:v>
                </c:pt>
                <c:pt idx="26">
                  <c:v>0.62620912121285188</c:v>
                </c:pt>
                <c:pt idx="27">
                  <c:v>0.62322618615031855</c:v>
                </c:pt>
                <c:pt idx="28">
                  <c:v>0.6205411428311558</c:v>
                </c:pt>
                <c:pt idx="29">
                  <c:v>0.61812187043063416</c:v>
                </c:pt>
                <c:pt idx="30">
                  <c:v>0.61593994586303014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955-43AB-B5D8-68F950EF49AF}"/>
            </c:ext>
          </c:extLst>
        </c:ser>
        <c:ser>
          <c:idx val="8"/>
          <c:order val="8"/>
          <c:tx>
            <c:strRef>
              <c:f>'Cure Plot'!$J$16</c:f>
              <c:strCache>
                <c:ptCount val="1"/>
                <c:pt idx="0">
                  <c:v>gengamma_orig</c:v>
                </c:pt>
              </c:strCache>
            </c:strRef>
          </c:tx>
          <c:spPr>
            <a:ln w="12700" cap="rnd">
              <a:solidFill>
                <a:srgbClr val="CC0066"/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Plot'!$J$17:$J$47</c:f>
              <c:numCache>
                <c:formatCode>0.00000</c:formatCode>
                <c:ptCount val="31"/>
                <c:pt idx="0">
                  <c:v>1</c:v>
                </c:pt>
                <c:pt idx="1">
                  <c:v>0.99377411262733251</c:v>
                </c:pt>
                <c:pt idx="2">
                  <c:v>0.97455774954926733</c:v>
                </c:pt>
                <c:pt idx="3">
                  <c:v>0.94796067270314055</c:v>
                </c:pt>
                <c:pt idx="4">
                  <c:v>0.91839173157909026</c:v>
                </c:pt>
                <c:pt idx="5">
                  <c:v>0.88847283987232273</c:v>
                </c:pt>
                <c:pt idx="6">
                  <c:v>0.85966216010998708</c:v>
                </c:pt>
                <c:pt idx="7">
                  <c:v>0.8327139066352125</c:v>
                </c:pt>
                <c:pt idx="8">
                  <c:v>0.80796459587850145</c:v>
                </c:pt>
                <c:pt idx="9">
                  <c:v>0.78550652137525856</c:v>
                </c:pt>
                <c:pt idx="10">
                  <c:v>0.76529266928699602</c:v>
                </c:pt>
                <c:pt idx="11">
                  <c:v>0.74720026837386544</c:v>
                </c:pt>
                <c:pt idx="12">
                  <c:v>0.73106923015467773</c:v>
                </c:pt>
                <c:pt idx="13">
                  <c:v>0.71672521816670109</c:v>
                </c:pt>
                <c:pt idx="14">
                  <c:v>0.70399324206110947</c:v>
                </c:pt>
                <c:pt idx="15">
                  <c:v>0.69270538824898875</c:v>
                </c:pt>
                <c:pt idx="16">
                  <c:v>0.68270492378177416</c:v>
                </c:pt>
                <c:pt idx="17">
                  <c:v>0.67384817090942928</c:v>
                </c:pt>
                <c:pt idx="18">
                  <c:v>0.66600503089524532</c:v>
                </c:pt>
                <c:pt idx="19">
                  <c:v>0.65905871122171145</c:v>
                </c:pt>
                <c:pt idx="20">
                  <c:v>0.65290500551933639</c:v>
                </c:pt>
                <c:pt idx="21">
                  <c:v>0.64745134531400206</c:v>
                </c:pt>
                <c:pt idx="22">
                  <c:v>0.64261575944516602</c:v>
                </c:pt>
                <c:pt idx="23">
                  <c:v>0.63832582366559643</c:v>
                </c:pt>
                <c:pt idx="24">
                  <c:v>0.63451764876770356</c:v>
                </c:pt>
                <c:pt idx="25">
                  <c:v>0.63113493378918006</c:v>
                </c:pt>
                <c:pt idx="26">
                  <c:v>0.62812809707595751</c:v>
                </c:pt>
                <c:pt idx="27">
                  <c:v>0.6254534894117969</c:v>
                </c:pt>
                <c:pt idx="28">
                  <c:v>0.62307268823482609</c:v>
                </c:pt>
                <c:pt idx="29">
                  <c:v>0.6209518689586232</c:v>
                </c:pt>
                <c:pt idx="30">
                  <c:v>0.6190612478173233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955-43AB-B5D8-68F950EF49AF}"/>
            </c:ext>
          </c:extLst>
        </c:ser>
        <c:ser>
          <c:idx val="9"/>
          <c:order val="9"/>
          <c:tx>
            <c:strRef>
              <c:f>'Cure Plot'!$K$16</c:f>
              <c:strCache>
                <c:ptCount val="1"/>
                <c:pt idx="0">
                  <c:v>genf</c:v>
                </c:pt>
              </c:strCache>
            </c:strRef>
          </c:tx>
          <c:spPr>
            <a:ln w="12700" cap="rnd">
              <a:solidFill>
                <a:srgbClr val="0066FF"/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Plot'!$K$17:$K$47</c:f>
              <c:numCache>
                <c:formatCode>0.00000</c:formatCode>
                <c:ptCount val="31"/>
                <c:pt idx="0">
                  <c:v>1</c:v>
                </c:pt>
                <c:pt idx="1">
                  <c:v>0.9940679327217834</c:v>
                </c:pt>
                <c:pt idx="2">
                  <c:v>0.97460776888889122</c:v>
                </c:pt>
                <c:pt idx="3">
                  <c:v>0.94756143467186926</c:v>
                </c:pt>
                <c:pt idx="4">
                  <c:v>0.91768734327881329</c:v>
                </c:pt>
                <c:pt idx="5">
                  <c:v>0.88768755201418659</c:v>
                </c:pt>
                <c:pt idx="6">
                  <c:v>0.85898401530311097</c:v>
                </c:pt>
                <c:pt idx="7">
                  <c:v>0.83226342102086348</c:v>
                </c:pt>
                <c:pt idx="8">
                  <c:v>0.80779793068176264</c:v>
                </c:pt>
                <c:pt idx="9">
                  <c:v>0.78562959593432258</c:v>
                </c:pt>
                <c:pt idx="10">
                  <c:v>0.76567653878824404</c:v>
                </c:pt>
                <c:pt idx="11">
                  <c:v>0.74779431207526004</c:v>
                </c:pt>
                <c:pt idx="12">
                  <c:v>0.73181131723718607</c:v>
                </c:pt>
                <c:pt idx="13">
                  <c:v>0.71754903356875321</c:v>
                </c:pt>
                <c:pt idx="14">
                  <c:v>0.70483327680459418</c:v>
                </c:pt>
                <c:pt idx="15">
                  <c:v>0.69350013672225719</c:v>
                </c:pt>
                <c:pt idx="16">
                  <c:v>0.68339876429540447</c:v>
                </c:pt>
                <c:pt idx="17">
                  <c:v>0.67439231253934928</c:v>
                </c:pt>
                <c:pt idx="18">
                  <c:v>0.66635781989429077</c:v>
                </c:pt>
                <c:pt idx="19">
                  <c:v>0.65918551449533125</c:v>
                </c:pt>
                <c:pt idx="20">
                  <c:v>0.65277782859607902</c:v>
                </c:pt>
                <c:pt idx="21">
                  <c:v>0.64704829636871841</c:v>
                </c:pt>
                <c:pt idx="22">
                  <c:v>0.64192043674363575</c:v>
                </c:pt>
                <c:pt idx="23">
                  <c:v>0.63732667877224236</c:v>
                </c:pt>
                <c:pt idx="24">
                  <c:v>0.63320735980910914</c:v>
                </c:pt>
                <c:pt idx="25">
                  <c:v>0.6295098102286375</c:v>
                </c:pt>
                <c:pt idx="26">
                  <c:v>0.62618752845662717</c:v>
                </c:pt>
                <c:pt idx="27">
                  <c:v>0.62319944432444441</c:v>
                </c:pt>
                <c:pt idx="28">
                  <c:v>0.62050926558249264</c:v>
                </c:pt>
                <c:pt idx="29">
                  <c:v>0.61808490084849355</c:v>
                </c:pt>
                <c:pt idx="30">
                  <c:v>0.61589795168803529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955-43AB-B5D8-68F950EF49AF}"/>
            </c:ext>
          </c:extLst>
        </c:ser>
        <c:ser>
          <c:idx val="10"/>
          <c:order val="10"/>
          <c:tx>
            <c:strRef>
              <c:f>'Cure Plot'!$L$16</c:f>
              <c:strCache>
                <c:ptCount val="1"/>
                <c:pt idx="0">
                  <c:v>genf_orig</c:v>
                </c:pt>
              </c:strCache>
            </c:strRef>
          </c:tx>
          <c:spPr>
            <a:ln w="127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'Cure Plot'!$A$17:$A$47</c:f>
              <c:numCache>
                <c:formatCode>General</c:formatCode>
                <c:ptCount val="31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</c:numCache>
            </c:numRef>
          </c:xVal>
          <c:yVal>
            <c:numRef>
              <c:f>'Cure Plot'!$L$17:$L$47</c:f>
              <c:numCache>
                <c:formatCode>0.00000</c:formatCode>
                <c:ptCount val="31"/>
                <c:pt idx="0">
                  <c:v>1</c:v>
                </c:pt>
                <c:pt idx="1">
                  <c:v>0.99420754366719855</c:v>
                </c:pt>
                <c:pt idx="2">
                  <c:v>0.97462233412755861</c:v>
                </c:pt>
                <c:pt idx="3">
                  <c:v>0.94734175003254251</c:v>
                </c:pt>
                <c:pt idx="4">
                  <c:v>0.91730927301078002</c:v>
                </c:pt>
                <c:pt idx="5">
                  <c:v>0.88726909313852242</c:v>
                </c:pt>
                <c:pt idx="6">
                  <c:v>0.85862362930205616</c:v>
                </c:pt>
                <c:pt idx="7">
                  <c:v>0.83202394573369765</c:v>
                </c:pt>
                <c:pt idx="8">
                  <c:v>0.80770857921635397</c:v>
                </c:pt>
                <c:pt idx="9">
                  <c:v>0.78569347083741115</c:v>
                </c:pt>
                <c:pt idx="10">
                  <c:v>0.76587864304706088</c:v>
                </c:pt>
                <c:pt idx="11">
                  <c:v>0.74810833893762241</c:v>
                </c:pt>
                <c:pt idx="12">
                  <c:v>0.73220484773473182</c:v>
                </c:pt>
                <c:pt idx="13">
                  <c:v>0.71798727101577053</c:v>
                </c:pt>
                <c:pt idx="14">
                  <c:v>0.70528159437179827</c:v>
                </c:pt>
                <c:pt idx="15">
                  <c:v>0.69392572175410439</c:v>
                </c:pt>
                <c:pt idx="16">
                  <c:v>0.68377160274634186</c:v>
                </c:pt>
                <c:pt idx="17">
                  <c:v>0.67468570630039015</c:v>
                </c:pt>
                <c:pt idx="18">
                  <c:v>0.6665485830799357</c:v>
                </c:pt>
                <c:pt idx="19">
                  <c:v>0.65925395624417837</c:v>
                </c:pt>
                <c:pt idx="20">
                  <c:v>0.6527075999075207</c:v>
                </c:pt>
                <c:pt idx="21">
                  <c:v>0.64682615583372038</c:v>
                </c:pt>
                <c:pt idx="22">
                  <c:v>0.64153597328343159</c:v>
                </c:pt>
                <c:pt idx="23">
                  <c:v>0.63677201731703914</c:v>
                </c:pt>
                <c:pt idx="24">
                  <c:v>0.63247686709615403</c:v>
                </c:pt>
                <c:pt idx="25">
                  <c:v>0.62859981168287526</c:v>
                </c:pt>
                <c:pt idx="26">
                  <c:v>0.62509604275394559</c:v>
                </c:pt>
                <c:pt idx="27">
                  <c:v>0.62192593921786099</c:v>
                </c:pt>
                <c:pt idx="28">
                  <c:v>0.61905443651682757</c:v>
                </c:pt>
                <c:pt idx="29">
                  <c:v>0.61645047252340213</c:v>
                </c:pt>
                <c:pt idx="30">
                  <c:v>0.61408650185101543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955-43AB-B5D8-68F950EF49AF}"/>
            </c:ext>
          </c:extLst>
        </c:ser>
        <c:ser>
          <c:idx val="11"/>
          <c:order val="11"/>
          <c:tx>
            <c:v>KM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'Cure Plot'!$N$17:$N$132</c:f>
              <c:numCache>
                <c:formatCode>0.000</c:formatCode>
                <c:ptCount val="116"/>
                <c:pt idx="0">
                  <c:v>0</c:v>
                </c:pt>
                <c:pt idx="1">
                  <c:v>6.0780287474332653</c:v>
                </c:pt>
                <c:pt idx="2">
                  <c:v>6.0780287474332653</c:v>
                </c:pt>
                <c:pt idx="3">
                  <c:v>6.7022587268993838</c:v>
                </c:pt>
                <c:pt idx="4">
                  <c:v>6.7022587268993838</c:v>
                </c:pt>
                <c:pt idx="5">
                  <c:v>6.8993839835728954</c:v>
                </c:pt>
                <c:pt idx="6">
                  <c:v>6.8993839835728954</c:v>
                </c:pt>
                <c:pt idx="7">
                  <c:v>7.6221765913757702</c:v>
                </c:pt>
                <c:pt idx="8">
                  <c:v>7.6221765913757702</c:v>
                </c:pt>
                <c:pt idx="9">
                  <c:v>9.1663244353182751</c:v>
                </c:pt>
                <c:pt idx="10">
                  <c:v>9.1663244353182751</c:v>
                </c:pt>
                <c:pt idx="11">
                  <c:v>9.6919917864476393</c:v>
                </c:pt>
                <c:pt idx="12">
                  <c:v>9.6919917864476393</c:v>
                </c:pt>
                <c:pt idx="13">
                  <c:v>12.681724845995893</c:v>
                </c:pt>
                <c:pt idx="14">
                  <c:v>12.681724845995893</c:v>
                </c:pt>
                <c:pt idx="15">
                  <c:v>13.995893223819301</c:v>
                </c:pt>
                <c:pt idx="16">
                  <c:v>13.995893223819301</c:v>
                </c:pt>
                <c:pt idx="17">
                  <c:v>15.408624229979466</c:v>
                </c:pt>
                <c:pt idx="18">
                  <c:v>15.408624229979466</c:v>
                </c:pt>
                <c:pt idx="19">
                  <c:v>17.37987679671458</c:v>
                </c:pt>
                <c:pt idx="20">
                  <c:v>17.37987679671458</c:v>
                </c:pt>
                <c:pt idx="21">
                  <c:v>20.402464065708418</c:v>
                </c:pt>
                <c:pt idx="22">
                  <c:v>20.402464065708418</c:v>
                </c:pt>
                <c:pt idx="23">
                  <c:v>20.6652977412731</c:v>
                </c:pt>
                <c:pt idx="24">
                  <c:v>20.6652977412731</c:v>
                </c:pt>
                <c:pt idx="25">
                  <c:v>21.650924024640656</c:v>
                </c:pt>
                <c:pt idx="26">
                  <c:v>21.650924024640656</c:v>
                </c:pt>
                <c:pt idx="27">
                  <c:v>21.913757700205338</c:v>
                </c:pt>
                <c:pt idx="28">
                  <c:v>21.913757700205338</c:v>
                </c:pt>
                <c:pt idx="29">
                  <c:v>23.589322381930184</c:v>
                </c:pt>
                <c:pt idx="30">
                  <c:v>23.589322381930184</c:v>
                </c:pt>
                <c:pt idx="31">
                  <c:v>24.706365503080082</c:v>
                </c:pt>
                <c:pt idx="32">
                  <c:v>24.706365503080082</c:v>
                </c:pt>
                <c:pt idx="33">
                  <c:v>25.593429158110883</c:v>
                </c:pt>
                <c:pt idx="34">
                  <c:v>25.593429158110883</c:v>
                </c:pt>
                <c:pt idx="35">
                  <c:v>26.053388090349078</c:v>
                </c:pt>
                <c:pt idx="36">
                  <c:v>26.053388090349078</c:v>
                </c:pt>
                <c:pt idx="37">
                  <c:v>26.84188911704312</c:v>
                </c:pt>
                <c:pt idx="38">
                  <c:v>26.84188911704312</c:v>
                </c:pt>
                <c:pt idx="39">
                  <c:v>27.367556468172484</c:v>
                </c:pt>
                <c:pt idx="40">
                  <c:v>27.367556468172484</c:v>
                </c:pt>
                <c:pt idx="41">
                  <c:v>28.188911704312115</c:v>
                </c:pt>
                <c:pt idx="42">
                  <c:v>28.188911704312115</c:v>
                </c:pt>
                <c:pt idx="43">
                  <c:v>28.550308008213552</c:v>
                </c:pt>
                <c:pt idx="44">
                  <c:v>28.550308008213552</c:v>
                </c:pt>
                <c:pt idx="45">
                  <c:v>28.648870636550306</c:v>
                </c:pt>
                <c:pt idx="46">
                  <c:v>28.648870636550306</c:v>
                </c:pt>
                <c:pt idx="47">
                  <c:v>31.770020533880903</c:v>
                </c:pt>
                <c:pt idx="48">
                  <c:v>31.770020533880903</c:v>
                </c:pt>
                <c:pt idx="49">
                  <c:v>32.098562628336758</c:v>
                </c:pt>
                <c:pt idx="50">
                  <c:v>32.098562628336758</c:v>
                </c:pt>
                <c:pt idx="51">
                  <c:v>32.262833675564679</c:v>
                </c:pt>
                <c:pt idx="52">
                  <c:v>32.262833675564679</c:v>
                </c:pt>
                <c:pt idx="53">
                  <c:v>34.201232032854207</c:v>
                </c:pt>
                <c:pt idx="54">
                  <c:v>34.201232032854207</c:v>
                </c:pt>
                <c:pt idx="55">
                  <c:v>34.661190965092402</c:v>
                </c:pt>
                <c:pt idx="56">
                  <c:v>34.661190965092402</c:v>
                </c:pt>
                <c:pt idx="57">
                  <c:v>34.891170431211499</c:v>
                </c:pt>
                <c:pt idx="58">
                  <c:v>34.891170431211499</c:v>
                </c:pt>
                <c:pt idx="59">
                  <c:v>35.318275154004105</c:v>
                </c:pt>
                <c:pt idx="60">
                  <c:v>35.318275154004105</c:v>
                </c:pt>
                <c:pt idx="61">
                  <c:v>37.979466119096507</c:v>
                </c:pt>
                <c:pt idx="62">
                  <c:v>37.979466119096507</c:v>
                </c:pt>
                <c:pt idx="63">
                  <c:v>40.344969199178642</c:v>
                </c:pt>
                <c:pt idx="64">
                  <c:v>40.344969199178642</c:v>
                </c:pt>
                <c:pt idx="65">
                  <c:v>41.133470225872692</c:v>
                </c:pt>
                <c:pt idx="66">
                  <c:v>41.133470225872692</c:v>
                </c:pt>
                <c:pt idx="67">
                  <c:v>41.757700205338807</c:v>
                </c:pt>
                <c:pt idx="68">
                  <c:v>41.757700205338807</c:v>
                </c:pt>
                <c:pt idx="69">
                  <c:v>43.104722792607802</c:v>
                </c:pt>
                <c:pt idx="70">
                  <c:v>43.104722792607802</c:v>
                </c:pt>
                <c:pt idx="71">
                  <c:v>47.145790554414788</c:v>
                </c:pt>
                <c:pt idx="72">
                  <c:v>47.145790554414788</c:v>
                </c:pt>
                <c:pt idx="73">
                  <c:v>49.478439425051334</c:v>
                </c:pt>
                <c:pt idx="74">
                  <c:v>49.478439425051334</c:v>
                </c:pt>
                <c:pt idx="75">
                  <c:v>49.80698151950719</c:v>
                </c:pt>
                <c:pt idx="76">
                  <c:v>49.80698151950719</c:v>
                </c:pt>
                <c:pt idx="77">
                  <c:v>50.858316221765911</c:v>
                </c:pt>
                <c:pt idx="78">
                  <c:v>50.858316221765911</c:v>
                </c:pt>
                <c:pt idx="79">
                  <c:v>51.252566735112936</c:v>
                </c:pt>
                <c:pt idx="80">
                  <c:v>51.252566735112936</c:v>
                </c:pt>
                <c:pt idx="81">
                  <c:v>52.041067761806978</c:v>
                </c:pt>
                <c:pt idx="82">
                  <c:v>52.041067761806978</c:v>
                </c:pt>
                <c:pt idx="83">
                  <c:v>53.256673511293634</c:v>
                </c:pt>
                <c:pt idx="84">
                  <c:v>53.256673511293634</c:v>
                </c:pt>
                <c:pt idx="85">
                  <c:v>54.767967145790557</c:v>
                </c:pt>
                <c:pt idx="86">
                  <c:v>54.767967145790557</c:v>
                </c:pt>
                <c:pt idx="87">
                  <c:v>55.523613963039011</c:v>
                </c:pt>
                <c:pt idx="88">
                  <c:v>55.523613963039011</c:v>
                </c:pt>
                <c:pt idx="89">
                  <c:v>56.706365503080079</c:v>
                </c:pt>
                <c:pt idx="90">
                  <c:v>56.706365503080079</c:v>
                </c:pt>
                <c:pt idx="91">
                  <c:v>63.507186858316224</c:v>
                </c:pt>
                <c:pt idx="92">
                  <c:v>63.507186858316224</c:v>
                </c:pt>
                <c:pt idx="93">
                  <c:v>67.71252566735113</c:v>
                </c:pt>
                <c:pt idx="94">
                  <c:v>67.71252566735113</c:v>
                </c:pt>
                <c:pt idx="95">
                  <c:v>67.745379876796719</c:v>
                </c:pt>
                <c:pt idx="96">
                  <c:v>67.745379876796719</c:v>
                </c:pt>
                <c:pt idx="97">
                  <c:v>69.092402464065714</c:v>
                </c:pt>
                <c:pt idx="98">
                  <c:v>69.092402464065714</c:v>
                </c:pt>
                <c:pt idx="99">
                  <c:v>69.256673511293641</c:v>
                </c:pt>
                <c:pt idx="100">
                  <c:v>69.256673511293641</c:v>
                </c:pt>
                <c:pt idx="101">
                  <c:v>74.119096509240251</c:v>
                </c:pt>
                <c:pt idx="102">
                  <c:v>74.119096509240251</c:v>
                </c:pt>
                <c:pt idx="103">
                  <c:v>78.455852156057489</c:v>
                </c:pt>
                <c:pt idx="104">
                  <c:v>78.455852156057489</c:v>
                </c:pt>
                <c:pt idx="105">
                  <c:v>81.051334702258728</c:v>
                </c:pt>
                <c:pt idx="106">
                  <c:v>81.051334702258728</c:v>
                </c:pt>
                <c:pt idx="107">
                  <c:v>84.271047227926076</c:v>
                </c:pt>
                <c:pt idx="108">
                  <c:v>84.271047227926076</c:v>
                </c:pt>
                <c:pt idx="109">
                  <c:v>91.400410677618069</c:v>
                </c:pt>
                <c:pt idx="110">
                  <c:v>91.400410677618069</c:v>
                </c:pt>
                <c:pt idx="111">
                  <c:v>99.94250513347022</c:v>
                </c:pt>
                <c:pt idx="112">
                  <c:v>99.94250513347022</c:v>
                </c:pt>
                <c:pt idx="113">
                  <c:v>109.66735112936345</c:v>
                </c:pt>
                <c:pt idx="114">
                  <c:v>109.66735112936345</c:v>
                </c:pt>
                <c:pt idx="115">
                  <c:v>182.83367556468173</c:v>
                </c:pt>
              </c:numCache>
            </c:numRef>
          </c:xVal>
          <c:yVal>
            <c:numRef>
              <c:f>'Cure Plot'!$O$17:$O$132</c:f>
              <c:numCache>
                <c:formatCode>0.000</c:formatCode>
                <c:ptCount val="116"/>
                <c:pt idx="0">
                  <c:v>1</c:v>
                </c:pt>
                <c:pt idx="1">
                  <c:v>1</c:v>
                </c:pt>
                <c:pt idx="2">
                  <c:v>0.99502487562189057</c:v>
                </c:pt>
                <c:pt idx="3">
                  <c:v>0.99502487562189057</c:v>
                </c:pt>
                <c:pt idx="4">
                  <c:v>0.99004975124378114</c:v>
                </c:pt>
                <c:pt idx="5">
                  <c:v>0.99004975124378114</c:v>
                </c:pt>
                <c:pt idx="6">
                  <c:v>0.98507462686567171</c:v>
                </c:pt>
                <c:pt idx="7">
                  <c:v>0.98507462686567171</c:v>
                </c:pt>
                <c:pt idx="8">
                  <c:v>0.98009950248756228</c:v>
                </c:pt>
                <c:pt idx="9">
                  <c:v>0.98009950248756228</c:v>
                </c:pt>
                <c:pt idx="10">
                  <c:v>0.97509899482180951</c:v>
                </c:pt>
                <c:pt idx="11">
                  <c:v>0.97509899482180951</c:v>
                </c:pt>
                <c:pt idx="12">
                  <c:v>0.97009848715605662</c:v>
                </c:pt>
                <c:pt idx="13">
                  <c:v>0.97009848715605662</c:v>
                </c:pt>
                <c:pt idx="14">
                  <c:v>0.96507207012415996</c:v>
                </c:pt>
                <c:pt idx="15">
                  <c:v>0.96507207012415996</c:v>
                </c:pt>
                <c:pt idx="16">
                  <c:v>0.96004565309226331</c:v>
                </c:pt>
                <c:pt idx="17">
                  <c:v>0.96004565309226331</c:v>
                </c:pt>
                <c:pt idx="18">
                  <c:v>0.95501923606036665</c:v>
                </c:pt>
                <c:pt idx="19">
                  <c:v>0.95501923606036665</c:v>
                </c:pt>
                <c:pt idx="20">
                  <c:v>0.94996622422935939</c:v>
                </c:pt>
                <c:pt idx="21">
                  <c:v>0.94996622422935939</c:v>
                </c:pt>
                <c:pt idx="22">
                  <c:v>0.94491321239835213</c:v>
                </c:pt>
                <c:pt idx="23">
                  <c:v>0.94491321239835213</c:v>
                </c:pt>
                <c:pt idx="24">
                  <c:v>0.93986020056734487</c:v>
                </c:pt>
                <c:pt idx="25">
                  <c:v>0.93986020056734487</c:v>
                </c:pt>
                <c:pt idx="26">
                  <c:v>0.93480718873633761</c:v>
                </c:pt>
                <c:pt idx="27">
                  <c:v>0.93480718873633761</c:v>
                </c:pt>
                <c:pt idx="28">
                  <c:v>0.92975417690533046</c:v>
                </c:pt>
                <c:pt idx="29">
                  <c:v>0.92975417690533046</c:v>
                </c:pt>
                <c:pt idx="30">
                  <c:v>0.92470116507432321</c:v>
                </c:pt>
                <c:pt idx="31">
                  <c:v>0.92470116507432321</c:v>
                </c:pt>
                <c:pt idx="32">
                  <c:v>0.91964815324331595</c:v>
                </c:pt>
                <c:pt idx="33">
                  <c:v>0.91964815324331595</c:v>
                </c:pt>
                <c:pt idx="34">
                  <c:v>0.91459514141230869</c:v>
                </c:pt>
                <c:pt idx="35">
                  <c:v>0.91459514141230869</c:v>
                </c:pt>
                <c:pt idx="36">
                  <c:v>0.90954212958130143</c:v>
                </c:pt>
                <c:pt idx="37">
                  <c:v>0.90954212958130143</c:v>
                </c:pt>
                <c:pt idx="38">
                  <c:v>0.90448911775029417</c:v>
                </c:pt>
                <c:pt idx="39">
                  <c:v>0.90448911775029417</c:v>
                </c:pt>
                <c:pt idx="40">
                  <c:v>0.8994077182123712</c:v>
                </c:pt>
                <c:pt idx="41">
                  <c:v>0.8994077182123712</c:v>
                </c:pt>
                <c:pt idx="42">
                  <c:v>0.89432631867444823</c:v>
                </c:pt>
                <c:pt idx="43">
                  <c:v>0.89432631867444823</c:v>
                </c:pt>
                <c:pt idx="44">
                  <c:v>0.88924491913652515</c:v>
                </c:pt>
                <c:pt idx="45">
                  <c:v>0.88924491913652515</c:v>
                </c:pt>
                <c:pt idx="46">
                  <c:v>0.88416351959860218</c:v>
                </c:pt>
                <c:pt idx="47">
                  <c:v>0.88416351959860218</c:v>
                </c:pt>
                <c:pt idx="48">
                  <c:v>0.8790821200606791</c:v>
                </c:pt>
                <c:pt idx="49">
                  <c:v>0.8790821200606791</c:v>
                </c:pt>
                <c:pt idx="50">
                  <c:v>0.87400072052275601</c:v>
                </c:pt>
                <c:pt idx="51">
                  <c:v>0.87400072052275601</c:v>
                </c:pt>
                <c:pt idx="52">
                  <c:v>0.86891932098483304</c:v>
                </c:pt>
                <c:pt idx="53">
                  <c:v>0.86891932098483304</c:v>
                </c:pt>
                <c:pt idx="54">
                  <c:v>0.86383792144690996</c:v>
                </c:pt>
                <c:pt idx="55">
                  <c:v>0.86383792144690996</c:v>
                </c:pt>
                <c:pt idx="56">
                  <c:v>0.85875652190898699</c:v>
                </c:pt>
                <c:pt idx="57">
                  <c:v>0.85875652190898699</c:v>
                </c:pt>
                <c:pt idx="58">
                  <c:v>0.85367512237106391</c:v>
                </c:pt>
                <c:pt idx="59">
                  <c:v>0.85367512237106391</c:v>
                </c:pt>
                <c:pt idx="60">
                  <c:v>0.84859372283314094</c:v>
                </c:pt>
                <c:pt idx="61">
                  <c:v>0.84859372283314094</c:v>
                </c:pt>
                <c:pt idx="62">
                  <c:v>0.84351232329521786</c:v>
                </c:pt>
                <c:pt idx="63">
                  <c:v>0.84351232329521786</c:v>
                </c:pt>
                <c:pt idx="64">
                  <c:v>0.83843092375729489</c:v>
                </c:pt>
                <c:pt idx="65">
                  <c:v>0.83843092375729489</c:v>
                </c:pt>
                <c:pt idx="66">
                  <c:v>0.83334952421937181</c:v>
                </c:pt>
                <c:pt idx="67">
                  <c:v>0.83334952421937181</c:v>
                </c:pt>
                <c:pt idx="68">
                  <c:v>0.82826812468144884</c:v>
                </c:pt>
                <c:pt idx="69">
                  <c:v>0.82826812468144884</c:v>
                </c:pt>
                <c:pt idx="70">
                  <c:v>0.82318672514352587</c:v>
                </c:pt>
                <c:pt idx="71">
                  <c:v>0.82318672514352587</c:v>
                </c:pt>
                <c:pt idx="72">
                  <c:v>0.81807376411778965</c:v>
                </c:pt>
                <c:pt idx="73">
                  <c:v>0.81807376411778965</c:v>
                </c:pt>
                <c:pt idx="74">
                  <c:v>0.81292864610447024</c:v>
                </c:pt>
                <c:pt idx="75">
                  <c:v>0.81292864610447024</c:v>
                </c:pt>
                <c:pt idx="76">
                  <c:v>0.80768394516186071</c:v>
                </c:pt>
                <c:pt idx="77">
                  <c:v>0.80768394516186071</c:v>
                </c:pt>
                <c:pt idx="78">
                  <c:v>0.80237023499632221</c:v>
                </c:pt>
                <c:pt idx="79">
                  <c:v>0.80237023499632221</c:v>
                </c:pt>
                <c:pt idx="80">
                  <c:v>0.79702110009634675</c:v>
                </c:pt>
                <c:pt idx="81">
                  <c:v>0.79702110009634675</c:v>
                </c:pt>
                <c:pt idx="82">
                  <c:v>0.79163582239299302</c:v>
                </c:pt>
                <c:pt idx="83">
                  <c:v>0.79163582239299302</c:v>
                </c:pt>
                <c:pt idx="84">
                  <c:v>0.78621365922591768</c:v>
                </c:pt>
                <c:pt idx="85">
                  <c:v>0.78621365922591768</c:v>
                </c:pt>
                <c:pt idx="86">
                  <c:v>0.78047487339215182</c:v>
                </c:pt>
                <c:pt idx="87">
                  <c:v>0.78047487339215182</c:v>
                </c:pt>
                <c:pt idx="88">
                  <c:v>0.774650434038479</c:v>
                </c:pt>
                <c:pt idx="89">
                  <c:v>0.774650434038479</c:v>
                </c:pt>
                <c:pt idx="90">
                  <c:v>0.76873707194658225</c:v>
                </c:pt>
                <c:pt idx="91">
                  <c:v>0.76873707194658225</c:v>
                </c:pt>
                <c:pt idx="92">
                  <c:v>0.76174855311070422</c:v>
                </c:pt>
                <c:pt idx="93">
                  <c:v>0.76174855311070422</c:v>
                </c:pt>
                <c:pt idx="94">
                  <c:v>0.75373014728848631</c:v>
                </c:pt>
                <c:pt idx="95">
                  <c:v>0.75373014728848631</c:v>
                </c:pt>
                <c:pt idx="96">
                  <c:v>0.7457117414662684</c:v>
                </c:pt>
                <c:pt idx="97">
                  <c:v>0.7457117414662684</c:v>
                </c:pt>
                <c:pt idx="98">
                  <c:v>0.73742605544997653</c:v>
                </c:pt>
                <c:pt idx="99">
                  <c:v>0.73742605544997653</c:v>
                </c:pt>
                <c:pt idx="100">
                  <c:v>0.72904621391077229</c:v>
                </c:pt>
                <c:pt idx="101">
                  <c:v>0.72904621391077229</c:v>
                </c:pt>
                <c:pt idx="102">
                  <c:v>0.71993313623688771</c:v>
                </c:pt>
                <c:pt idx="103">
                  <c:v>0.71993313623688771</c:v>
                </c:pt>
                <c:pt idx="104">
                  <c:v>0.71033402775372922</c:v>
                </c:pt>
                <c:pt idx="105">
                  <c:v>0.71033402775372922</c:v>
                </c:pt>
                <c:pt idx="106">
                  <c:v>0.70003933169932742</c:v>
                </c:pt>
                <c:pt idx="107">
                  <c:v>0.70003933169932742</c:v>
                </c:pt>
                <c:pt idx="108">
                  <c:v>0.68892759627552858</c:v>
                </c:pt>
                <c:pt idx="109">
                  <c:v>0.68892759627552858</c:v>
                </c:pt>
                <c:pt idx="110">
                  <c:v>0.6768411472180631</c:v>
                </c:pt>
                <c:pt idx="111">
                  <c:v>0.6768411472180631</c:v>
                </c:pt>
                <c:pt idx="112">
                  <c:v>0.66382497131002338</c:v>
                </c:pt>
                <c:pt idx="113">
                  <c:v>0.66382497131002338</c:v>
                </c:pt>
                <c:pt idx="114">
                  <c:v>0.64485854355830841</c:v>
                </c:pt>
                <c:pt idx="115">
                  <c:v>0.64485854355830841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2955-43AB-B5D8-68F950EF49AF}"/>
            </c:ext>
          </c:extLst>
        </c:ser>
        <c:ser>
          <c:idx val="12"/>
          <c:order val="12"/>
          <c:tx>
            <c:v>Ar Risk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36DE30-67EF-4383-857B-61788C5069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55-43AB-B5D8-68F950EF49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E869CB-BE19-4FFB-8281-7AF5EDBB69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55-43AB-B5D8-68F950EF49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8D0F55-CA0D-4FBE-8F99-6CD8654F6E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55-43AB-B5D8-68F950EF49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EC78E8-1B3A-44A7-B705-B346F4EF6F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55-43AB-B5D8-68F950EF49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AA0E8F-C691-434D-BDEC-EC7386154D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55-43AB-B5D8-68F950EF49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B45946-B514-4829-B72A-EF3EC62C40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55-43AB-B5D8-68F950EF49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153449-1700-42D0-B67B-CA9E02904F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55-43AB-B5D8-68F950EF49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F8CC17-CB76-4F31-BB15-2D5B1F8451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55-43AB-B5D8-68F950EF49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B3D4F8-D1A2-41E3-8FD6-387E64FA1C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55-43AB-B5D8-68F950EF49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D00FEC-8F8A-4444-BBAE-358B9DA6B5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55-43AB-B5D8-68F950EF49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CE3E4B-1068-4386-B5E9-A388D19877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55-43AB-B5D8-68F950EF49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FC9F5B-4F13-45D7-9812-DDB0330B83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55-43AB-B5D8-68F950EF49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22083B8-4AB5-46A2-92C3-7FC5235245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55-43AB-B5D8-68F950EF49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38919F-C1C1-472B-9A95-321F4BE3E4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55-43AB-B5D8-68F950EF49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A9CCF1-24BA-4652-B910-446A9BE28B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55-43AB-B5D8-68F950EF49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567B8F-07AF-4658-B32F-69DCCEE641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55-43AB-B5D8-68F950EF49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'Cure Plot'!$Q$17:$Q$32</c:f>
              <c:numCache>
                <c:formatCode>General</c:formatCode>
                <c:ptCount val="16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36</c:v>
                </c:pt>
                <c:pt idx="4">
                  <c:v>48</c:v>
                </c:pt>
                <c:pt idx="5">
                  <c:v>60</c:v>
                </c:pt>
                <c:pt idx="6">
                  <c:v>72</c:v>
                </c:pt>
                <c:pt idx="7">
                  <c:v>84</c:v>
                </c:pt>
                <c:pt idx="8">
                  <c:v>96</c:v>
                </c:pt>
                <c:pt idx="9">
                  <c:v>108</c:v>
                </c:pt>
                <c:pt idx="10">
                  <c:v>120</c:v>
                </c:pt>
                <c:pt idx="11">
                  <c:v>132</c:v>
                </c:pt>
                <c:pt idx="12">
                  <c:v>144</c:v>
                </c:pt>
                <c:pt idx="13">
                  <c:v>156</c:v>
                </c:pt>
                <c:pt idx="14">
                  <c:v>168</c:v>
                </c:pt>
                <c:pt idx="15">
                  <c:v>180</c:v>
                </c:pt>
              </c:numCache>
            </c:numRef>
          </c:xVal>
          <c:yVal>
            <c:numRef>
              <c:f>'Cure Plot'!$S$17:$S$32</c:f>
              <c:numCache>
                <c:formatCode>General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'Cure Plot'!$R$17:$R$32</c15:f>
                <c15:dlblRangeCache>
                  <c:ptCount val="16"/>
                  <c:pt idx="0">
                    <c:v>205</c:v>
                  </c:pt>
                  <c:pt idx="1">
                    <c:v>193</c:v>
                  </c:pt>
                  <c:pt idx="2">
                    <c:v>183</c:v>
                  </c:pt>
                  <c:pt idx="3">
                    <c:v>167</c:v>
                  </c:pt>
                  <c:pt idx="4">
                    <c:v>160</c:v>
                  </c:pt>
                  <c:pt idx="5">
                    <c:v>122</c:v>
                  </c:pt>
                  <c:pt idx="6">
                    <c:v>83</c:v>
                  </c:pt>
                  <c:pt idx="7">
                    <c:v>64</c:v>
                  </c:pt>
                  <c:pt idx="8">
                    <c:v>55</c:v>
                  </c:pt>
                  <c:pt idx="9">
                    <c:v>38</c:v>
                  </c:pt>
                  <c:pt idx="10">
                    <c:v>23</c:v>
                  </c:pt>
                  <c:pt idx="11">
                    <c:v>12</c:v>
                  </c:pt>
                  <c:pt idx="12">
                    <c:v>7</c:v>
                  </c:pt>
                  <c:pt idx="13">
                    <c:v>2</c:v>
                  </c:pt>
                  <c:pt idx="14">
                    <c:v>1</c:v>
                  </c:pt>
                  <c:pt idx="15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2955-43AB-B5D8-68F950EF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758608"/>
        <c:axId val="939045168"/>
      </c:scatterChart>
      <c:valAx>
        <c:axId val="1404758608"/>
        <c:scaling>
          <c:orientation val="minMax"/>
          <c:max val="186"/>
          <c:min val="-1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45168"/>
        <c:crossesAt val="-5.000000000000001E-2"/>
        <c:crossBetween val="midCat"/>
        <c:majorUnit val="12"/>
      </c:valAx>
      <c:valAx>
        <c:axId val="939045168"/>
        <c:scaling>
          <c:orientation val="minMax"/>
          <c:max val="1"/>
          <c:min val="-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1.2221789494562835E-2"/>
              <c:y val="0.39484826444887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.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58608"/>
        <c:crossesAt val="-6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egendEntry>
        <c:idx val="12"/>
        <c:delete val="1"/>
      </c:legendEntry>
      <c:layout>
        <c:manualLayout>
          <c:xMode val="edge"/>
          <c:yMode val="edge"/>
          <c:x val="0.20054910567962111"/>
          <c:y val="0.33517820486487593"/>
          <c:w val="0.3867574448675361"/>
          <c:h val="0.20897430615948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39147200927828"/>
          <c:y val="8.6031990647788728E-2"/>
          <c:w val="0.84562529227214356"/>
          <c:h val="0.82005818549789722"/>
        </c:manualLayout>
      </c:layout>
      <c:scatterChart>
        <c:scatterStyle val="lineMarker"/>
        <c:varyColors val="0"/>
        <c:ser>
          <c:idx val="0"/>
          <c:order val="0"/>
          <c:tx>
            <c:strRef>
              <c:f>'Guyot Algorithm'!$AQ$4:$AT$4</c:f>
              <c:strCache>
                <c:ptCount val="1"/>
                <c:pt idx="0">
                  <c:v>Pembrolizumab</c:v>
                </c:pt>
              </c:strCache>
            </c:strRef>
          </c:tx>
          <c:spPr>
            <a:ln w="19050" cap="rnd">
              <a:solidFill>
                <a:srgbClr val="0066FF"/>
              </a:solidFill>
              <a:round/>
            </a:ln>
            <a:effectLst/>
          </c:spPr>
          <c:marker>
            <c:symbol val="none"/>
          </c:marker>
          <c:xVal>
            <c:numRef>
              <c:f>'Guyot Algorithm'!$AQ$7:$AQ$146</c:f>
              <c:numCache>
                <c:formatCode>0.00</c:formatCode>
                <c:ptCount val="140"/>
                <c:pt idx="0" formatCode="General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0.16125097553783599</c:v>
                </c:pt>
                <c:pt idx="4">
                  <c:v>0.16125097553783599</c:v>
                </c:pt>
                <c:pt idx="5">
                  <c:v>0.417267185204099</c:v>
                </c:pt>
                <c:pt idx="6">
                  <c:v>0.417267185204099</c:v>
                </c:pt>
                <c:pt idx="7">
                  <c:v>0.675227923549229</c:v>
                </c:pt>
                <c:pt idx="8">
                  <c:v>0.675227923549229</c:v>
                </c:pt>
                <c:pt idx="9">
                  <c:v>1.0624467126625801</c:v>
                </c:pt>
                <c:pt idx="10">
                  <c:v>1.0624467126625801</c:v>
                </c:pt>
                <c:pt idx="11">
                  <c:v>1.6738141413929699</c:v>
                </c:pt>
                <c:pt idx="12">
                  <c:v>1.6738141413929699</c:v>
                </c:pt>
                <c:pt idx="13">
                  <c:v>1.8372254813189399</c:v>
                </c:pt>
                <c:pt idx="14">
                  <c:v>1.8372254813189399</c:v>
                </c:pt>
                <c:pt idx="15">
                  <c:v>2.0584503606511402</c:v>
                </c:pt>
                <c:pt idx="16">
                  <c:v>2.0584503606511402</c:v>
                </c:pt>
                <c:pt idx="17">
                  <c:v>2.6943087447523602</c:v>
                </c:pt>
                <c:pt idx="18">
                  <c:v>2.6943087447523602</c:v>
                </c:pt>
                <c:pt idx="19">
                  <c:v>3.0548403406679898</c:v>
                </c:pt>
                <c:pt idx="20">
                  <c:v>3.0548403406679898</c:v>
                </c:pt>
                <c:pt idx="21">
                  <c:v>3.6063689863233002</c:v>
                </c:pt>
                <c:pt idx="22">
                  <c:v>3.6063689863233002</c:v>
                </c:pt>
                <c:pt idx="23">
                  <c:v>4.1348457237041796</c:v>
                </c:pt>
                <c:pt idx="24">
                  <c:v>4.1348457237041796</c:v>
                </c:pt>
                <c:pt idx="25">
                  <c:v>4.3596664273429502</c:v>
                </c:pt>
                <c:pt idx="26">
                  <c:v>4.3596664273429502</c:v>
                </c:pt>
                <c:pt idx="27">
                  <c:v>4.9800933600087198</c:v>
                </c:pt>
                <c:pt idx="28">
                  <c:v>4.9800933600087198</c:v>
                </c:pt>
                <c:pt idx="29">
                  <c:v>5.3025152748059803</c:v>
                </c:pt>
                <c:pt idx="30">
                  <c:v>5.3025152748059803</c:v>
                </c:pt>
                <c:pt idx="31">
                  <c:v>5.6322558343838303</c:v>
                </c:pt>
                <c:pt idx="32">
                  <c:v>5.6322558343838303</c:v>
                </c:pt>
                <c:pt idx="33">
                  <c:v>5.9729215229020998</c:v>
                </c:pt>
                <c:pt idx="34">
                  <c:v>5.9729215229020998</c:v>
                </c:pt>
                <c:pt idx="35">
                  <c:v>6.6115080339554497</c:v>
                </c:pt>
                <c:pt idx="36">
                  <c:v>6.6115080339554497</c:v>
                </c:pt>
                <c:pt idx="37">
                  <c:v>7.1499879615860298</c:v>
                </c:pt>
                <c:pt idx="38">
                  <c:v>7.1499879615860298</c:v>
                </c:pt>
                <c:pt idx="39">
                  <c:v>7.8343304893104602</c:v>
                </c:pt>
                <c:pt idx="40">
                  <c:v>7.8343304893104602</c:v>
                </c:pt>
                <c:pt idx="41">
                  <c:v>8.4864422721886701</c:v>
                </c:pt>
                <c:pt idx="42">
                  <c:v>8.4864422721886701</c:v>
                </c:pt>
                <c:pt idx="43">
                  <c:v>9.1518773817679708</c:v>
                </c:pt>
                <c:pt idx="44">
                  <c:v>9.1518773817679708</c:v>
                </c:pt>
                <c:pt idx="45">
                  <c:v>9.6117763637243705</c:v>
                </c:pt>
                <c:pt idx="46">
                  <c:v>9.6117763637243705</c:v>
                </c:pt>
                <c:pt idx="47">
                  <c:v>10.2803541086923</c:v>
                </c:pt>
                <c:pt idx="48">
                  <c:v>10.2803541086923</c:v>
                </c:pt>
                <c:pt idx="49">
                  <c:v>11.5840162036087</c:v>
                </c:pt>
                <c:pt idx="50">
                  <c:v>11.5840162036087</c:v>
                </c:pt>
                <c:pt idx="51">
                  <c:v>11.9925319303228</c:v>
                </c:pt>
                <c:pt idx="52">
                  <c:v>11.9925319303228</c:v>
                </c:pt>
                <c:pt idx="53">
                  <c:v>12.5981415826264</c:v>
                </c:pt>
                <c:pt idx="54">
                  <c:v>12.5981415826264</c:v>
                </c:pt>
                <c:pt idx="55">
                  <c:v>13.297044869512201</c:v>
                </c:pt>
                <c:pt idx="56">
                  <c:v>13.297044869512201</c:v>
                </c:pt>
                <c:pt idx="57">
                  <c:v>13.953635007459599</c:v>
                </c:pt>
                <c:pt idx="58">
                  <c:v>13.953635007459599</c:v>
                </c:pt>
                <c:pt idx="59">
                  <c:v>14.3531206766976</c:v>
                </c:pt>
                <c:pt idx="60">
                  <c:v>14.3531206766976</c:v>
                </c:pt>
                <c:pt idx="61">
                  <c:v>15.0096171982856</c:v>
                </c:pt>
                <c:pt idx="62">
                  <c:v>15.0096171982856</c:v>
                </c:pt>
                <c:pt idx="63">
                  <c:v>15.606510018578501</c:v>
                </c:pt>
                <c:pt idx="64">
                  <c:v>15.606510018578501</c:v>
                </c:pt>
                <c:pt idx="65">
                  <c:v>15.988355549746201</c:v>
                </c:pt>
                <c:pt idx="66">
                  <c:v>15.988355549746201</c:v>
                </c:pt>
                <c:pt idx="67">
                  <c:v>17.266169382910601</c:v>
                </c:pt>
                <c:pt idx="68">
                  <c:v>17.266169382910601</c:v>
                </c:pt>
                <c:pt idx="69">
                  <c:v>17.8626436418811</c:v>
                </c:pt>
                <c:pt idx="70">
                  <c:v>17.8626436418811</c:v>
                </c:pt>
                <c:pt idx="71">
                  <c:v>18.570107604929099</c:v>
                </c:pt>
                <c:pt idx="72">
                  <c:v>18.570107604929099</c:v>
                </c:pt>
                <c:pt idx="73">
                  <c:v>19.134960155908399</c:v>
                </c:pt>
                <c:pt idx="74">
                  <c:v>19.134960155908399</c:v>
                </c:pt>
                <c:pt idx="75">
                  <c:v>20.470143547081999</c:v>
                </c:pt>
                <c:pt idx="76">
                  <c:v>20.470143547081999</c:v>
                </c:pt>
                <c:pt idx="77">
                  <c:v>21.018424419275998</c:v>
                </c:pt>
                <c:pt idx="78">
                  <c:v>21.018424419275998</c:v>
                </c:pt>
                <c:pt idx="79">
                  <c:v>22.313221134623401</c:v>
                </c:pt>
                <c:pt idx="80">
                  <c:v>22.313221134623401</c:v>
                </c:pt>
                <c:pt idx="81">
                  <c:v>23.013254067266701</c:v>
                </c:pt>
                <c:pt idx="82">
                  <c:v>23.013254067266701</c:v>
                </c:pt>
                <c:pt idx="83">
                  <c:v>23.594006547559399</c:v>
                </c:pt>
                <c:pt idx="84">
                  <c:v>23.594006547559399</c:v>
                </c:pt>
                <c:pt idx="85">
                  <c:v>24.1717770287358</c:v>
                </c:pt>
                <c:pt idx="86">
                  <c:v>24.1717770287358</c:v>
                </c:pt>
                <c:pt idx="87">
                  <c:v>25.497355787621899</c:v>
                </c:pt>
                <c:pt idx="88">
                  <c:v>25.497355787621899</c:v>
                </c:pt>
                <c:pt idx="89">
                  <c:v>26.0707099297023</c:v>
                </c:pt>
                <c:pt idx="90">
                  <c:v>26.0707099297023</c:v>
                </c:pt>
                <c:pt idx="91">
                  <c:v>29.591995898415998</c:v>
                </c:pt>
                <c:pt idx="92">
                  <c:v>29.591995898415998</c:v>
                </c:pt>
                <c:pt idx="93">
                  <c:v>30.411300683627299</c:v>
                </c:pt>
                <c:pt idx="94">
                  <c:v>30.411300683627299</c:v>
                </c:pt>
                <c:pt idx="95">
                  <c:v>32.366552359443098</c:v>
                </c:pt>
                <c:pt idx="96">
                  <c:v>32.366552359443098</c:v>
                </c:pt>
                <c:pt idx="97">
                  <c:v>33.018342717314098</c:v>
                </c:pt>
                <c:pt idx="98">
                  <c:v>33.018342717314098</c:v>
                </c:pt>
                <c:pt idx="99">
                  <c:v>34.321785565823397</c:v>
                </c:pt>
                <c:pt idx="100">
                  <c:v>34.321785565823397</c:v>
                </c:pt>
                <c:pt idx="101">
                  <c:v>34.973649403633303</c:v>
                </c:pt>
                <c:pt idx="102">
                  <c:v>34.973649403633303</c:v>
                </c:pt>
                <c:pt idx="103">
                  <c:v>36.3239229638111</c:v>
                </c:pt>
                <c:pt idx="104">
                  <c:v>36.3239229638111</c:v>
                </c:pt>
                <c:pt idx="105">
                  <c:v>37.152738306167599</c:v>
                </c:pt>
                <c:pt idx="106">
                  <c:v>37.152738306167599</c:v>
                </c:pt>
                <c:pt idx="107">
                  <c:v>37.988254368477001</c:v>
                </c:pt>
                <c:pt idx="108">
                  <c:v>37.988254368477001</c:v>
                </c:pt>
                <c:pt idx="109">
                  <c:v>40.594737488630201</c:v>
                </c:pt>
                <c:pt idx="110">
                  <c:v>40.594737488630201</c:v>
                </c:pt>
                <c:pt idx="111">
                  <c:v>41.246618431978803</c:v>
                </c:pt>
                <c:pt idx="112">
                  <c:v>41.246618431978803</c:v>
                </c:pt>
                <c:pt idx="113">
                  <c:v>41.8987382163848</c:v>
                </c:pt>
                <c:pt idx="114">
                  <c:v>41.8987382163848</c:v>
                </c:pt>
                <c:pt idx="115">
                  <c:v>42.306935882370396</c:v>
                </c:pt>
                <c:pt idx="116">
                  <c:v>42.306935882370396</c:v>
                </c:pt>
                <c:pt idx="117">
                  <c:v>43.610541830202699</c:v>
                </c:pt>
                <c:pt idx="118">
                  <c:v>43.610541830202699</c:v>
                </c:pt>
                <c:pt idx="119">
                  <c:v>44.914033210705703</c:v>
                </c:pt>
                <c:pt idx="120">
                  <c:v>44.914033210705703</c:v>
                </c:pt>
                <c:pt idx="121">
                  <c:v>46.869056263324197</c:v>
                </c:pt>
                <c:pt idx="122">
                  <c:v>46.869056263324197</c:v>
                </c:pt>
                <c:pt idx="123">
                  <c:v>47.568002631316901</c:v>
                </c:pt>
                <c:pt idx="124">
                  <c:v>47.568002631316901</c:v>
                </c:pt>
                <c:pt idx="125">
                  <c:v>48.1730011395058</c:v>
                </c:pt>
                <c:pt idx="126">
                  <c:v>48.1730011395058</c:v>
                </c:pt>
                <c:pt idx="127">
                  <c:v>48.824807295847798</c:v>
                </c:pt>
                <c:pt idx="128">
                  <c:v>48.824807295847798</c:v>
                </c:pt>
                <c:pt idx="129">
                  <c:v>53.385910096147498</c:v>
                </c:pt>
                <c:pt idx="130">
                  <c:v>53.385910096147498</c:v>
                </c:pt>
                <c:pt idx="131">
                  <c:v>57.318054967716598</c:v>
                </c:pt>
                <c:pt idx="132">
                  <c:v>57.318054967716598</c:v>
                </c:pt>
                <c:pt idx="133">
                  <c:v>59.250640990506</c:v>
                </c:pt>
                <c:pt idx="134">
                  <c:v>59.250640990506</c:v>
                </c:pt>
                <c:pt idx="135">
                  <c:v>62.645351445138097</c:v>
                </c:pt>
                <c:pt idx="136">
                  <c:v>62.645351445138097</c:v>
                </c:pt>
                <c:pt idx="137">
                  <c:v>62.7567806388763</c:v>
                </c:pt>
                <c:pt idx="138">
                  <c:v>62.7567806388763</c:v>
                </c:pt>
                <c:pt idx="139">
                  <c:v>65.389893652703904</c:v>
                </c:pt>
              </c:numCache>
            </c:numRef>
          </c:xVal>
          <c:yVal>
            <c:numRef>
              <c:f>'Guyot Algorithm'!$AR$7:$AR$146</c:f>
              <c:numCache>
                <c:formatCode>0.000</c:formatCode>
                <c:ptCount val="140"/>
                <c:pt idx="0" formatCode="General">
                  <c:v>1</c:v>
                </c:pt>
                <c:pt idx="1">
                  <c:v>1</c:v>
                </c:pt>
                <c:pt idx="2">
                  <c:v>0.98701298701298701</c:v>
                </c:pt>
                <c:pt idx="3">
                  <c:v>0.98701298701298701</c:v>
                </c:pt>
                <c:pt idx="4">
                  <c:v>0.96753246753246758</c:v>
                </c:pt>
                <c:pt idx="5">
                  <c:v>0.96753246753246758</c:v>
                </c:pt>
                <c:pt idx="6">
                  <c:v>0.95454545454545459</c:v>
                </c:pt>
                <c:pt idx="7">
                  <c:v>0.95454545454545459</c:v>
                </c:pt>
                <c:pt idx="8">
                  <c:v>0.94155844155844159</c:v>
                </c:pt>
                <c:pt idx="9">
                  <c:v>0.94155844155844159</c:v>
                </c:pt>
                <c:pt idx="10">
                  <c:v>0.9285714285714286</c:v>
                </c:pt>
                <c:pt idx="11">
                  <c:v>0.9285714285714286</c:v>
                </c:pt>
                <c:pt idx="12">
                  <c:v>0.92207792207792216</c:v>
                </c:pt>
                <c:pt idx="13">
                  <c:v>0.92207792207792216</c:v>
                </c:pt>
                <c:pt idx="14">
                  <c:v>0.90259740259740273</c:v>
                </c:pt>
                <c:pt idx="15">
                  <c:v>0.90259740259740273</c:v>
                </c:pt>
                <c:pt idx="16">
                  <c:v>0.89610389610389629</c:v>
                </c:pt>
                <c:pt idx="17">
                  <c:v>0.89610389610389629</c:v>
                </c:pt>
                <c:pt idx="18">
                  <c:v>0.88961038961038974</c:v>
                </c:pt>
                <c:pt idx="19">
                  <c:v>0.88961038961038974</c:v>
                </c:pt>
                <c:pt idx="20">
                  <c:v>0.87012987012987031</c:v>
                </c:pt>
                <c:pt idx="21">
                  <c:v>0.87012987012987031</c:v>
                </c:pt>
                <c:pt idx="22">
                  <c:v>0.85064935064935088</c:v>
                </c:pt>
                <c:pt idx="23">
                  <c:v>0.85064935064935088</c:v>
                </c:pt>
                <c:pt idx="24">
                  <c:v>0.83766233766233789</c:v>
                </c:pt>
                <c:pt idx="25">
                  <c:v>0.83766233766233789</c:v>
                </c:pt>
                <c:pt idx="26">
                  <c:v>0.81818181818181834</c:v>
                </c:pt>
                <c:pt idx="27">
                  <c:v>0.81818181818181834</c:v>
                </c:pt>
                <c:pt idx="28">
                  <c:v>0.8116883116883119</c:v>
                </c:pt>
                <c:pt idx="29">
                  <c:v>0.8116883116883119</c:v>
                </c:pt>
                <c:pt idx="30">
                  <c:v>0.80519480519480535</c:v>
                </c:pt>
                <c:pt idx="31">
                  <c:v>0.80519480519480535</c:v>
                </c:pt>
                <c:pt idx="32">
                  <c:v>0.79870129870129891</c:v>
                </c:pt>
                <c:pt idx="33">
                  <c:v>0.79870129870129891</c:v>
                </c:pt>
                <c:pt idx="34">
                  <c:v>0.77922077922077937</c:v>
                </c:pt>
                <c:pt idx="35">
                  <c:v>0.77922077922077937</c:v>
                </c:pt>
                <c:pt idx="36">
                  <c:v>0.76623376623376638</c:v>
                </c:pt>
                <c:pt idx="37">
                  <c:v>0.76623376623376638</c:v>
                </c:pt>
                <c:pt idx="38">
                  <c:v>0.75324675324675339</c:v>
                </c:pt>
                <c:pt idx="39">
                  <c:v>0.75324675324675339</c:v>
                </c:pt>
                <c:pt idx="40">
                  <c:v>0.74675324675324695</c:v>
                </c:pt>
                <c:pt idx="41">
                  <c:v>0.74675324675324695</c:v>
                </c:pt>
                <c:pt idx="42">
                  <c:v>0.74025974025974051</c:v>
                </c:pt>
                <c:pt idx="43">
                  <c:v>0.74025974025974051</c:v>
                </c:pt>
                <c:pt idx="44">
                  <c:v>0.73376623376623396</c:v>
                </c:pt>
                <c:pt idx="45">
                  <c:v>0.73376623376623396</c:v>
                </c:pt>
                <c:pt idx="46">
                  <c:v>0.71428571428571441</c:v>
                </c:pt>
                <c:pt idx="47">
                  <c:v>0.71428571428571441</c:v>
                </c:pt>
                <c:pt idx="48">
                  <c:v>0.70129870129870142</c:v>
                </c:pt>
                <c:pt idx="49">
                  <c:v>0.70129870129870142</c:v>
                </c:pt>
                <c:pt idx="50">
                  <c:v>0.69480519480519487</c:v>
                </c:pt>
                <c:pt idx="51">
                  <c:v>0.69480519480519487</c:v>
                </c:pt>
                <c:pt idx="52">
                  <c:v>0.67532467532467544</c:v>
                </c:pt>
                <c:pt idx="53">
                  <c:v>0.67532467532467544</c:v>
                </c:pt>
                <c:pt idx="54">
                  <c:v>0.6558441558441559</c:v>
                </c:pt>
                <c:pt idx="55">
                  <c:v>0.6558441558441559</c:v>
                </c:pt>
                <c:pt idx="56">
                  <c:v>0.64928571428571435</c:v>
                </c:pt>
                <c:pt idx="57">
                  <c:v>0.64928571428571435</c:v>
                </c:pt>
                <c:pt idx="58">
                  <c:v>0.64272727272727281</c:v>
                </c:pt>
                <c:pt idx="59">
                  <c:v>0.64272727272727281</c:v>
                </c:pt>
                <c:pt idx="60">
                  <c:v>0.62305194805194808</c:v>
                </c:pt>
                <c:pt idx="61">
                  <c:v>0.62305194805194808</c:v>
                </c:pt>
                <c:pt idx="62">
                  <c:v>0.61642373583862953</c:v>
                </c:pt>
                <c:pt idx="63">
                  <c:v>0.61642373583862953</c:v>
                </c:pt>
                <c:pt idx="64">
                  <c:v>0.60316731141199231</c:v>
                </c:pt>
                <c:pt idx="65">
                  <c:v>0.60316731141199231</c:v>
                </c:pt>
                <c:pt idx="66">
                  <c:v>0.59653909919867376</c:v>
                </c:pt>
                <c:pt idx="67">
                  <c:v>0.59653909919867376</c:v>
                </c:pt>
                <c:pt idx="68">
                  <c:v>0.58983641269082343</c:v>
                </c:pt>
                <c:pt idx="69">
                  <c:v>0.58983641269082343</c:v>
                </c:pt>
                <c:pt idx="70">
                  <c:v>0.58313372618297321</c:v>
                </c:pt>
                <c:pt idx="71">
                  <c:v>0.58313372618297321</c:v>
                </c:pt>
                <c:pt idx="72">
                  <c:v>0.57643103967512299</c:v>
                </c:pt>
                <c:pt idx="73">
                  <c:v>0.57643103967512299</c:v>
                </c:pt>
                <c:pt idx="74">
                  <c:v>0.56972835316727266</c:v>
                </c:pt>
                <c:pt idx="75">
                  <c:v>0.56972835316727266</c:v>
                </c:pt>
                <c:pt idx="76">
                  <c:v>0.56302566665942244</c:v>
                </c:pt>
                <c:pt idx="77">
                  <c:v>0.56302566665942244</c:v>
                </c:pt>
                <c:pt idx="78">
                  <c:v>0.54945878312546048</c:v>
                </c:pt>
                <c:pt idx="79">
                  <c:v>0.54945878312546048</c:v>
                </c:pt>
                <c:pt idx="80">
                  <c:v>0.53589189959149852</c:v>
                </c:pt>
                <c:pt idx="81">
                  <c:v>0.53589189959149852</c:v>
                </c:pt>
                <c:pt idx="82">
                  <c:v>0.52910845782451754</c:v>
                </c:pt>
                <c:pt idx="83">
                  <c:v>0.52910845782451754</c:v>
                </c:pt>
                <c:pt idx="84">
                  <c:v>0.51554157429055558</c:v>
                </c:pt>
                <c:pt idx="85">
                  <c:v>0.51554157429055558</c:v>
                </c:pt>
                <c:pt idx="86">
                  <c:v>0.5087581325235746</c:v>
                </c:pt>
                <c:pt idx="87">
                  <c:v>0.5087581325235746</c:v>
                </c:pt>
                <c:pt idx="88">
                  <c:v>0.50197469075659362</c:v>
                </c:pt>
                <c:pt idx="89">
                  <c:v>0.50197469075659362</c:v>
                </c:pt>
                <c:pt idx="90">
                  <c:v>0.49519124898961264</c:v>
                </c:pt>
                <c:pt idx="91">
                  <c:v>0.49519124898961264</c:v>
                </c:pt>
                <c:pt idx="92">
                  <c:v>0.48831359275364583</c:v>
                </c:pt>
                <c:pt idx="93">
                  <c:v>0.48831359275364583</c:v>
                </c:pt>
                <c:pt idx="94">
                  <c:v>0.48143593651767902</c:v>
                </c:pt>
                <c:pt idx="95">
                  <c:v>0.48143593651767902</c:v>
                </c:pt>
                <c:pt idx="96">
                  <c:v>0.47445860410437934</c:v>
                </c:pt>
                <c:pt idx="97">
                  <c:v>0.47445860410437934</c:v>
                </c:pt>
                <c:pt idx="98">
                  <c:v>0.46748127169107967</c:v>
                </c:pt>
                <c:pt idx="99">
                  <c:v>0.46748127169107967</c:v>
                </c:pt>
                <c:pt idx="100">
                  <c:v>0.4603982221200027</c:v>
                </c:pt>
                <c:pt idx="101">
                  <c:v>0.4603982221200027</c:v>
                </c:pt>
                <c:pt idx="102">
                  <c:v>0.45331517254892578</c:v>
                </c:pt>
                <c:pt idx="103">
                  <c:v>0.45331517254892578</c:v>
                </c:pt>
                <c:pt idx="104">
                  <c:v>0.44623212297784881</c:v>
                </c:pt>
                <c:pt idx="105">
                  <c:v>0.44623212297784881</c:v>
                </c:pt>
                <c:pt idx="106">
                  <c:v>0.43914907340677184</c:v>
                </c:pt>
                <c:pt idx="107">
                  <c:v>0.43914907340677184</c:v>
                </c:pt>
                <c:pt idx="108">
                  <c:v>0.4249829742646179</c:v>
                </c:pt>
                <c:pt idx="109">
                  <c:v>0.4249829742646179</c:v>
                </c:pt>
                <c:pt idx="110">
                  <c:v>0.41789992469354093</c:v>
                </c:pt>
                <c:pt idx="111">
                  <c:v>0.41789992469354093</c:v>
                </c:pt>
                <c:pt idx="112">
                  <c:v>0.41081687512246395</c:v>
                </c:pt>
                <c:pt idx="113">
                  <c:v>0.41081687512246395</c:v>
                </c:pt>
                <c:pt idx="114">
                  <c:v>0.40373382555138698</c:v>
                </c:pt>
                <c:pt idx="115">
                  <c:v>0.40373382555138698</c:v>
                </c:pt>
                <c:pt idx="116">
                  <c:v>0.38956772640923304</c:v>
                </c:pt>
                <c:pt idx="117">
                  <c:v>0.38956772640923304</c:v>
                </c:pt>
                <c:pt idx="118">
                  <c:v>0.38235350925350653</c:v>
                </c:pt>
                <c:pt idx="119">
                  <c:v>0.38235350925350653</c:v>
                </c:pt>
                <c:pt idx="120">
                  <c:v>0.37513929209778002</c:v>
                </c:pt>
                <c:pt idx="121">
                  <c:v>0.37513929209778002</c:v>
                </c:pt>
                <c:pt idx="122">
                  <c:v>0.36778361970370588</c:v>
                </c:pt>
                <c:pt idx="123">
                  <c:v>0.36778361970370588</c:v>
                </c:pt>
                <c:pt idx="124">
                  <c:v>0.36042794730963174</c:v>
                </c:pt>
                <c:pt idx="125">
                  <c:v>0.36042794730963174</c:v>
                </c:pt>
                <c:pt idx="126">
                  <c:v>0.35307227491555759</c:v>
                </c:pt>
                <c:pt idx="127">
                  <c:v>0.35307227491555759</c:v>
                </c:pt>
                <c:pt idx="128">
                  <c:v>0.34571660252148345</c:v>
                </c:pt>
                <c:pt idx="129">
                  <c:v>0.34571660252148345</c:v>
                </c:pt>
                <c:pt idx="130">
                  <c:v>0.33836093012740931</c:v>
                </c:pt>
                <c:pt idx="131">
                  <c:v>0.33836093012740931</c:v>
                </c:pt>
                <c:pt idx="132">
                  <c:v>0.33067090898814999</c:v>
                </c:pt>
                <c:pt idx="133">
                  <c:v>0.33067090898814999</c:v>
                </c:pt>
                <c:pt idx="134">
                  <c:v>0.32298088784889067</c:v>
                </c:pt>
                <c:pt idx="135">
                  <c:v>0.32298088784889067</c:v>
                </c:pt>
                <c:pt idx="136">
                  <c:v>0.31529086670963136</c:v>
                </c:pt>
                <c:pt idx="137">
                  <c:v>0.31529086670963136</c:v>
                </c:pt>
                <c:pt idx="138">
                  <c:v>0.30760084557037204</c:v>
                </c:pt>
                <c:pt idx="139">
                  <c:v>0.30760084557037204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AA-4D17-B6CB-E94D2A5197FD}"/>
            </c:ext>
          </c:extLst>
        </c:ser>
        <c:ser>
          <c:idx val="2"/>
          <c:order val="1"/>
          <c:tx>
            <c:strRef>
              <c:f>'Guyot Algorithm'!$AW$4:$AZ$4</c:f>
              <c:strCache>
                <c:ptCount val="1"/>
                <c:pt idx="0">
                  <c:v>Chemotherapy</c:v>
                </c:pt>
              </c:strCache>
            </c:strRef>
          </c:tx>
          <c:spPr>
            <a:ln w="19050" cap="rnd">
              <a:solidFill>
                <a:srgbClr val="FF0066"/>
              </a:solidFill>
              <a:round/>
            </a:ln>
            <a:effectLst/>
          </c:spPr>
          <c:marker>
            <c:symbol val="none"/>
          </c:marker>
          <c:xVal>
            <c:numRef>
              <c:f>'Guyot Algorithm'!$AW$7:$AW$145</c:f>
              <c:numCache>
                <c:formatCode>0.00</c:formatCode>
                <c:ptCount val="139"/>
                <c:pt idx="0">
                  <c:v>0</c:v>
                </c:pt>
                <c:pt idx="1">
                  <c:v>0.74238689559304105</c:v>
                </c:pt>
                <c:pt idx="2">
                  <c:v>0.74238689559304105</c:v>
                </c:pt>
                <c:pt idx="3">
                  <c:v>0.91598001277379004</c:v>
                </c:pt>
                <c:pt idx="4">
                  <c:v>0.91598001277379004</c:v>
                </c:pt>
                <c:pt idx="5">
                  <c:v>1.11669384228124</c:v>
                </c:pt>
                <c:pt idx="6">
                  <c:v>1.11669384228124</c:v>
                </c:pt>
                <c:pt idx="7">
                  <c:v>1.5850261111319801</c:v>
                </c:pt>
                <c:pt idx="8">
                  <c:v>1.5850261111319801</c:v>
                </c:pt>
                <c:pt idx="9">
                  <c:v>2.0310568433707701</c:v>
                </c:pt>
                <c:pt idx="10">
                  <c:v>2.0310568433707701</c:v>
                </c:pt>
                <c:pt idx="11">
                  <c:v>2.4213337340797199</c:v>
                </c:pt>
                <c:pt idx="12">
                  <c:v>2.4213337340797199</c:v>
                </c:pt>
                <c:pt idx="13">
                  <c:v>2.8026900101438899</c:v>
                </c:pt>
                <c:pt idx="14">
                  <c:v>2.8026900101438899</c:v>
                </c:pt>
                <c:pt idx="15">
                  <c:v>3.3646887327647699</c:v>
                </c:pt>
                <c:pt idx="16">
                  <c:v>3.3646887327647699</c:v>
                </c:pt>
                <c:pt idx="17">
                  <c:v>4.0069729871886404</c:v>
                </c:pt>
                <c:pt idx="18">
                  <c:v>4.0069729871886404</c:v>
                </c:pt>
                <c:pt idx="19">
                  <c:v>4.4084006462035497</c:v>
                </c:pt>
                <c:pt idx="20">
                  <c:v>4.4084006462035497</c:v>
                </c:pt>
                <c:pt idx="21">
                  <c:v>4.9703993688244301</c:v>
                </c:pt>
                <c:pt idx="22">
                  <c:v>4.9703993688244301</c:v>
                </c:pt>
                <c:pt idx="23">
                  <c:v>5.1711131983318896</c:v>
                </c:pt>
                <c:pt idx="24">
                  <c:v>5.1711131983318896</c:v>
                </c:pt>
                <c:pt idx="25">
                  <c:v>5.5323980914453097</c:v>
                </c:pt>
                <c:pt idx="26">
                  <c:v>5.5323980914453097</c:v>
                </c:pt>
                <c:pt idx="27">
                  <c:v>6.0615527328740697</c:v>
                </c:pt>
                <c:pt idx="28">
                  <c:v>6.0615527328740697</c:v>
                </c:pt>
                <c:pt idx="29">
                  <c:v>6.4212736221212001</c:v>
                </c:pt>
                <c:pt idx="30">
                  <c:v>6.4212736221212001</c:v>
                </c:pt>
                <c:pt idx="31">
                  <c:v>7.0578231957019897</c:v>
                </c:pt>
                <c:pt idx="32">
                  <c:v>7.0578231957019897</c:v>
                </c:pt>
                <c:pt idx="33">
                  <c:v>7.45479054739452</c:v>
                </c:pt>
                <c:pt idx="34">
                  <c:v>7.45479054739452</c:v>
                </c:pt>
                <c:pt idx="35">
                  <c:v>8.0613923432392802</c:v>
                </c:pt>
                <c:pt idx="36">
                  <c:v>8.0613923432392802</c:v>
                </c:pt>
                <c:pt idx="37">
                  <c:v>8.4538993876094199</c:v>
                </c:pt>
                <c:pt idx="38">
                  <c:v>8.4538993876094199</c:v>
                </c:pt>
                <c:pt idx="39">
                  <c:v>8.7077882556261006</c:v>
                </c:pt>
                <c:pt idx="40">
                  <c:v>8.7077882556261006</c:v>
                </c:pt>
                <c:pt idx="41">
                  <c:v>8.8934424001065597</c:v>
                </c:pt>
                <c:pt idx="42">
                  <c:v>8.8934424001065597</c:v>
                </c:pt>
                <c:pt idx="43">
                  <c:v>9.5466746815944692</c:v>
                </c:pt>
                <c:pt idx="44">
                  <c:v>9.5466746815944692</c:v>
                </c:pt>
                <c:pt idx="45">
                  <c:v>10.057061276627699</c:v>
                </c:pt>
                <c:pt idx="46">
                  <c:v>10.057061276627699</c:v>
                </c:pt>
                <c:pt idx="47">
                  <c:v>10.6706721268362</c:v>
                </c:pt>
                <c:pt idx="48">
                  <c:v>10.6706721268362</c:v>
                </c:pt>
                <c:pt idx="49">
                  <c:v>11.3174166885824</c:v>
                </c:pt>
                <c:pt idx="50">
                  <c:v>11.3174166885824</c:v>
                </c:pt>
                <c:pt idx="51">
                  <c:v>11.9552406356839</c:v>
                </c:pt>
                <c:pt idx="52">
                  <c:v>11.9552406356839</c:v>
                </c:pt>
                <c:pt idx="53">
                  <c:v>12.597524890107801</c:v>
                </c:pt>
                <c:pt idx="54">
                  <c:v>12.597524890107801</c:v>
                </c:pt>
                <c:pt idx="55">
                  <c:v>12.985571627155499</c:v>
                </c:pt>
                <c:pt idx="56">
                  <c:v>12.985571627155499</c:v>
                </c:pt>
                <c:pt idx="57">
                  <c:v>13.5921734230003</c:v>
                </c:pt>
                <c:pt idx="58">
                  <c:v>13.5921734230003</c:v>
                </c:pt>
                <c:pt idx="59">
                  <c:v>14.7003882423321</c:v>
                </c:pt>
                <c:pt idx="60">
                  <c:v>14.7003882423321</c:v>
                </c:pt>
                <c:pt idx="61">
                  <c:v>15.246947439606201</c:v>
                </c:pt>
                <c:pt idx="62">
                  <c:v>15.246947439606201</c:v>
                </c:pt>
                <c:pt idx="63">
                  <c:v>15.8892316940301</c:v>
                </c:pt>
                <c:pt idx="64">
                  <c:v>15.8892316940301</c:v>
                </c:pt>
                <c:pt idx="65">
                  <c:v>16.563630161175102</c:v>
                </c:pt>
                <c:pt idx="66">
                  <c:v>16.563630161175102</c:v>
                </c:pt>
                <c:pt idx="67">
                  <c:v>17.1738002028778</c:v>
                </c:pt>
                <c:pt idx="68">
                  <c:v>17.1738002028778</c:v>
                </c:pt>
                <c:pt idx="69">
                  <c:v>17.816084457301699</c:v>
                </c:pt>
                <c:pt idx="70">
                  <c:v>17.816084457301699</c:v>
                </c:pt>
                <c:pt idx="71">
                  <c:v>18.458368711725502</c:v>
                </c:pt>
                <c:pt idx="72">
                  <c:v>18.458368711725502</c:v>
                </c:pt>
                <c:pt idx="73">
                  <c:v>19.100652966149401</c:v>
                </c:pt>
                <c:pt idx="74">
                  <c:v>19.100652966149401</c:v>
                </c:pt>
                <c:pt idx="75">
                  <c:v>19.7429372205733</c:v>
                </c:pt>
                <c:pt idx="76">
                  <c:v>19.7429372205733</c:v>
                </c:pt>
                <c:pt idx="77">
                  <c:v>20.385221474997099</c:v>
                </c:pt>
                <c:pt idx="78">
                  <c:v>20.385221474997099</c:v>
                </c:pt>
                <c:pt idx="79">
                  <c:v>21.027505729421001</c:v>
                </c:pt>
                <c:pt idx="80">
                  <c:v>21.027505729421001</c:v>
                </c:pt>
                <c:pt idx="81">
                  <c:v>21.6697899838449</c:v>
                </c:pt>
                <c:pt idx="82">
                  <c:v>21.6697899838449</c:v>
                </c:pt>
                <c:pt idx="83">
                  <c:v>22.344918319460898</c:v>
                </c:pt>
                <c:pt idx="84">
                  <c:v>22.344918319460898</c:v>
                </c:pt>
                <c:pt idx="85">
                  <c:v>22.954358492692599</c:v>
                </c:pt>
                <c:pt idx="86">
                  <c:v>22.954358492692599</c:v>
                </c:pt>
                <c:pt idx="87">
                  <c:v>23.596642747116501</c:v>
                </c:pt>
                <c:pt idx="88">
                  <c:v>23.596642747116501</c:v>
                </c:pt>
                <c:pt idx="89">
                  <c:v>24.238927001540301</c:v>
                </c:pt>
                <c:pt idx="90">
                  <c:v>24.238927001540301</c:v>
                </c:pt>
                <c:pt idx="91">
                  <c:v>25.523495510388098</c:v>
                </c:pt>
                <c:pt idx="92">
                  <c:v>25.523495510388098</c:v>
                </c:pt>
                <c:pt idx="93">
                  <c:v>26.165779764811901</c:v>
                </c:pt>
                <c:pt idx="94">
                  <c:v>26.165779764811901</c:v>
                </c:pt>
                <c:pt idx="95">
                  <c:v>29.377201036931201</c:v>
                </c:pt>
                <c:pt idx="96">
                  <c:v>29.377201036931201</c:v>
                </c:pt>
                <c:pt idx="97">
                  <c:v>30.0194852913551</c:v>
                </c:pt>
                <c:pt idx="98">
                  <c:v>30.0194852913551</c:v>
                </c:pt>
                <c:pt idx="99">
                  <c:v>30.661769545778998</c:v>
                </c:pt>
                <c:pt idx="100">
                  <c:v>30.661769545778998</c:v>
                </c:pt>
                <c:pt idx="101">
                  <c:v>31.183625502498401</c:v>
                </c:pt>
                <c:pt idx="102">
                  <c:v>31.183625502498401</c:v>
                </c:pt>
                <c:pt idx="103">
                  <c:v>31.4913867077431</c:v>
                </c:pt>
                <c:pt idx="104">
                  <c:v>31.4913867077431</c:v>
                </c:pt>
                <c:pt idx="105">
                  <c:v>32.781307585377697</c:v>
                </c:pt>
                <c:pt idx="106">
                  <c:v>32.781307585377697</c:v>
                </c:pt>
                <c:pt idx="107">
                  <c:v>33.311192095277399</c:v>
                </c:pt>
                <c:pt idx="108">
                  <c:v>33.311192095277399</c:v>
                </c:pt>
                <c:pt idx="109">
                  <c:v>35.238044858549003</c:v>
                </c:pt>
                <c:pt idx="110">
                  <c:v>35.238044858549003</c:v>
                </c:pt>
                <c:pt idx="111">
                  <c:v>37.1648976218206</c:v>
                </c:pt>
                <c:pt idx="112">
                  <c:v>37.1648976218206</c:v>
                </c:pt>
                <c:pt idx="113">
                  <c:v>37.807181876244499</c:v>
                </c:pt>
                <c:pt idx="114">
                  <c:v>37.807181876244499</c:v>
                </c:pt>
                <c:pt idx="115">
                  <c:v>43.587740166059199</c:v>
                </c:pt>
                <c:pt idx="116">
                  <c:v>43.587740166059199</c:v>
                </c:pt>
                <c:pt idx="117">
                  <c:v>44.872308674907003</c:v>
                </c:pt>
                <c:pt idx="118">
                  <c:v>44.872308674907003</c:v>
                </c:pt>
                <c:pt idx="119">
                  <c:v>45.514592929330803</c:v>
                </c:pt>
                <c:pt idx="120">
                  <c:v>45.514592929330803</c:v>
                </c:pt>
                <c:pt idx="121">
                  <c:v>46.134575647142803</c:v>
                </c:pt>
                <c:pt idx="122">
                  <c:v>46.134575647142803</c:v>
                </c:pt>
                <c:pt idx="123">
                  <c:v>52.5797197279934</c:v>
                </c:pt>
                <c:pt idx="124">
                  <c:v>52.5797197279934</c:v>
                </c:pt>
                <c:pt idx="125">
                  <c:v>53.222003982417199</c:v>
                </c:pt>
                <c:pt idx="126">
                  <c:v>53.222003982417199</c:v>
                </c:pt>
                <c:pt idx="127">
                  <c:v>57.322300785212398</c:v>
                </c:pt>
                <c:pt idx="128">
                  <c:v>57.322300785212398</c:v>
                </c:pt>
                <c:pt idx="129">
                  <c:v>59.644846526655897</c:v>
                </c:pt>
                <c:pt idx="130">
                  <c:v>59.644846526655897</c:v>
                </c:pt>
                <c:pt idx="131">
                  <c:v>61.727810046210998</c:v>
                </c:pt>
                <c:pt idx="132">
                  <c:v>61.727810046210998</c:v>
                </c:pt>
                <c:pt idx="133">
                  <c:v>62.294269076154301</c:v>
                </c:pt>
                <c:pt idx="134">
                  <c:v>62.294269076154301</c:v>
                </c:pt>
                <c:pt idx="135">
                  <c:v>66.180818683889598</c:v>
                </c:pt>
                <c:pt idx="136">
                  <c:v>66.180818683889598</c:v>
                </c:pt>
                <c:pt idx="137">
                  <c:v>66.823102938313497</c:v>
                </c:pt>
                <c:pt idx="138">
                  <c:v>66.823102938313497</c:v>
                </c:pt>
              </c:numCache>
            </c:numRef>
          </c:xVal>
          <c:yVal>
            <c:numRef>
              <c:f>'Guyot Algorithm'!$AX$7:$AX$145</c:f>
              <c:numCache>
                <c:formatCode>0.000</c:formatCode>
                <c:ptCount val="139"/>
                <c:pt idx="0" formatCode="General">
                  <c:v>1</c:v>
                </c:pt>
                <c:pt idx="1">
                  <c:v>1</c:v>
                </c:pt>
                <c:pt idx="2">
                  <c:v>0.97333333333333338</c:v>
                </c:pt>
                <c:pt idx="3">
                  <c:v>0.97333333333333338</c:v>
                </c:pt>
                <c:pt idx="4">
                  <c:v>0.95333333333333337</c:v>
                </c:pt>
                <c:pt idx="5">
                  <c:v>0.95333333333333337</c:v>
                </c:pt>
                <c:pt idx="6">
                  <c:v>0.92666666666666664</c:v>
                </c:pt>
                <c:pt idx="7">
                  <c:v>0.92666666666666664</c:v>
                </c:pt>
                <c:pt idx="8">
                  <c:v>0.90666666666666662</c:v>
                </c:pt>
                <c:pt idx="9">
                  <c:v>0.90666666666666662</c:v>
                </c:pt>
                <c:pt idx="10">
                  <c:v>0.88651851851851848</c:v>
                </c:pt>
                <c:pt idx="11">
                  <c:v>0.88651851851851848</c:v>
                </c:pt>
                <c:pt idx="12">
                  <c:v>0.85965432098765426</c:v>
                </c:pt>
                <c:pt idx="13">
                  <c:v>0.85965432098765426</c:v>
                </c:pt>
                <c:pt idx="14">
                  <c:v>0.83950617283950613</c:v>
                </c:pt>
                <c:pt idx="15">
                  <c:v>0.83950617283950613</c:v>
                </c:pt>
                <c:pt idx="16">
                  <c:v>0.82607407407407407</c:v>
                </c:pt>
                <c:pt idx="17">
                  <c:v>0.82607407407407407</c:v>
                </c:pt>
                <c:pt idx="18">
                  <c:v>0.81253187613843347</c:v>
                </c:pt>
                <c:pt idx="19">
                  <c:v>0.81253187613843347</c:v>
                </c:pt>
                <c:pt idx="20">
                  <c:v>0.78544748026715239</c:v>
                </c:pt>
                <c:pt idx="21">
                  <c:v>0.78544748026715239</c:v>
                </c:pt>
                <c:pt idx="22">
                  <c:v>0.77190528233151179</c:v>
                </c:pt>
                <c:pt idx="23">
                  <c:v>0.77190528233151179</c:v>
                </c:pt>
                <c:pt idx="24">
                  <c:v>0.75159198542805095</c:v>
                </c:pt>
                <c:pt idx="25">
                  <c:v>0.75159198542805095</c:v>
                </c:pt>
                <c:pt idx="26">
                  <c:v>0.7312786885245901</c:v>
                </c:pt>
                <c:pt idx="27">
                  <c:v>0.7312786885245901</c:v>
                </c:pt>
                <c:pt idx="28">
                  <c:v>0.71096539162112926</c:v>
                </c:pt>
                <c:pt idx="29">
                  <c:v>0.71096539162112926</c:v>
                </c:pt>
                <c:pt idx="30">
                  <c:v>0.69065209471766842</c:v>
                </c:pt>
                <c:pt idx="31">
                  <c:v>0.69065209471766842</c:v>
                </c:pt>
                <c:pt idx="32">
                  <c:v>0.68388099574984818</c:v>
                </c:pt>
                <c:pt idx="33">
                  <c:v>0.68388099574984818</c:v>
                </c:pt>
                <c:pt idx="34">
                  <c:v>0.66356769884638733</c:v>
                </c:pt>
                <c:pt idx="35">
                  <c:v>0.66356769884638733</c:v>
                </c:pt>
                <c:pt idx="36">
                  <c:v>0.65002550091074673</c:v>
                </c:pt>
                <c:pt idx="37">
                  <c:v>0.65002550091074673</c:v>
                </c:pt>
                <c:pt idx="38">
                  <c:v>0.62971220400728589</c:v>
                </c:pt>
                <c:pt idx="39">
                  <c:v>0.62971220400728589</c:v>
                </c:pt>
                <c:pt idx="40">
                  <c:v>0.62294110503946565</c:v>
                </c:pt>
                <c:pt idx="41">
                  <c:v>0.62294110503946565</c:v>
                </c:pt>
                <c:pt idx="42">
                  <c:v>0.60939890710382505</c:v>
                </c:pt>
                <c:pt idx="43">
                  <c:v>0.60939890710382505</c:v>
                </c:pt>
                <c:pt idx="44">
                  <c:v>0.58908561020036421</c:v>
                </c:pt>
                <c:pt idx="45">
                  <c:v>0.58908561020036421</c:v>
                </c:pt>
                <c:pt idx="46">
                  <c:v>0.57554341226472372</c:v>
                </c:pt>
                <c:pt idx="47">
                  <c:v>0.57554341226472372</c:v>
                </c:pt>
                <c:pt idx="48">
                  <c:v>0.56877231329690348</c:v>
                </c:pt>
                <c:pt idx="49">
                  <c:v>0.56877231329690348</c:v>
                </c:pt>
                <c:pt idx="50">
                  <c:v>0.55523011536126288</c:v>
                </c:pt>
                <c:pt idx="51">
                  <c:v>0.55523011536126288</c:v>
                </c:pt>
                <c:pt idx="52">
                  <c:v>0.54168791742562228</c:v>
                </c:pt>
                <c:pt idx="53">
                  <c:v>0.54168791742562228</c:v>
                </c:pt>
                <c:pt idx="54">
                  <c:v>0.52814571948998168</c:v>
                </c:pt>
                <c:pt idx="55">
                  <c:v>0.52814571948998168</c:v>
                </c:pt>
                <c:pt idx="56">
                  <c:v>0.51442764885387826</c:v>
                </c:pt>
                <c:pt idx="57">
                  <c:v>0.51442764885387826</c:v>
                </c:pt>
                <c:pt idx="58">
                  <c:v>0.50756861353582661</c:v>
                </c:pt>
                <c:pt idx="59">
                  <c:v>0.50756861353582661</c:v>
                </c:pt>
                <c:pt idx="60">
                  <c:v>0.49366262412388617</c:v>
                </c:pt>
                <c:pt idx="61">
                  <c:v>0.49366262412388617</c:v>
                </c:pt>
                <c:pt idx="62">
                  <c:v>0.47955797772034658</c:v>
                </c:pt>
                <c:pt idx="63">
                  <c:v>0.47955797772034658</c:v>
                </c:pt>
                <c:pt idx="64">
                  <c:v>0.47250565451857679</c:v>
                </c:pt>
                <c:pt idx="65">
                  <c:v>0.47250565451857679</c:v>
                </c:pt>
                <c:pt idx="66">
                  <c:v>0.46545333131680694</c:v>
                </c:pt>
                <c:pt idx="67">
                  <c:v>0.46545333131680694</c:v>
                </c:pt>
                <c:pt idx="68">
                  <c:v>0.45134868491326735</c:v>
                </c:pt>
                <c:pt idx="69">
                  <c:v>0.45134868491326735</c:v>
                </c:pt>
                <c:pt idx="70">
                  <c:v>0.43724403850972776</c:v>
                </c:pt>
                <c:pt idx="71">
                  <c:v>0.43724403850972776</c:v>
                </c:pt>
                <c:pt idx="72">
                  <c:v>0.43019171530795797</c:v>
                </c:pt>
                <c:pt idx="73">
                  <c:v>0.43019171530795797</c:v>
                </c:pt>
                <c:pt idx="74">
                  <c:v>0.42313939210618817</c:v>
                </c:pt>
                <c:pt idx="75">
                  <c:v>0.42313939210618817</c:v>
                </c:pt>
                <c:pt idx="76">
                  <c:v>0.41608706890441832</c:v>
                </c:pt>
                <c:pt idx="77">
                  <c:v>0.41608706890441832</c:v>
                </c:pt>
                <c:pt idx="78">
                  <c:v>0.40903474570264853</c:v>
                </c:pt>
                <c:pt idx="79">
                  <c:v>0.40903474570264853</c:v>
                </c:pt>
                <c:pt idx="80">
                  <c:v>0.40198242250087873</c:v>
                </c:pt>
                <c:pt idx="81">
                  <c:v>0.40198242250087873</c:v>
                </c:pt>
                <c:pt idx="82">
                  <c:v>0.38787777609733914</c:v>
                </c:pt>
                <c:pt idx="83">
                  <c:v>0.38787777609733914</c:v>
                </c:pt>
                <c:pt idx="84">
                  <c:v>0.38082545289556935</c:v>
                </c:pt>
                <c:pt idx="85">
                  <c:v>0.38082545289556935</c:v>
                </c:pt>
                <c:pt idx="86">
                  <c:v>0.36672080649202971</c:v>
                </c:pt>
                <c:pt idx="87">
                  <c:v>0.36672080649202971</c:v>
                </c:pt>
                <c:pt idx="88">
                  <c:v>0.35966848329025991</c:v>
                </c:pt>
                <c:pt idx="89">
                  <c:v>0.35966848329025991</c:v>
                </c:pt>
                <c:pt idx="90">
                  <c:v>0.35261616008849012</c:v>
                </c:pt>
                <c:pt idx="91">
                  <c:v>0.35261616008849012</c:v>
                </c:pt>
                <c:pt idx="92">
                  <c:v>0.34556383688672032</c:v>
                </c:pt>
                <c:pt idx="93">
                  <c:v>0.34556383688672032</c:v>
                </c:pt>
                <c:pt idx="94">
                  <c:v>0.33851151368495053</c:v>
                </c:pt>
                <c:pt idx="95">
                  <c:v>0.33851151368495053</c:v>
                </c:pt>
                <c:pt idx="96">
                  <c:v>0.33145919048318073</c:v>
                </c:pt>
                <c:pt idx="97">
                  <c:v>0.33145919048318073</c:v>
                </c:pt>
                <c:pt idx="98">
                  <c:v>0.32440686728141094</c:v>
                </c:pt>
                <c:pt idx="99">
                  <c:v>0.32440686728141094</c:v>
                </c:pt>
                <c:pt idx="100">
                  <c:v>0.31735454407964114</c:v>
                </c:pt>
                <c:pt idx="101">
                  <c:v>0.31735454407964114</c:v>
                </c:pt>
                <c:pt idx="102">
                  <c:v>0.30324989767610155</c:v>
                </c:pt>
                <c:pt idx="103">
                  <c:v>0.30324989767610155</c:v>
                </c:pt>
                <c:pt idx="104">
                  <c:v>0.28914525127256197</c:v>
                </c:pt>
                <c:pt idx="105">
                  <c:v>0.28914525127256197</c:v>
                </c:pt>
                <c:pt idx="106">
                  <c:v>0.28209292807079217</c:v>
                </c:pt>
                <c:pt idx="107">
                  <c:v>0.28209292807079217</c:v>
                </c:pt>
                <c:pt idx="108">
                  <c:v>0.26798828166725253</c:v>
                </c:pt>
                <c:pt idx="109">
                  <c:v>0.26798828166725253</c:v>
                </c:pt>
                <c:pt idx="110">
                  <c:v>0.26093595846548273</c:v>
                </c:pt>
                <c:pt idx="111">
                  <c:v>0.26093595846548273</c:v>
                </c:pt>
                <c:pt idx="112">
                  <c:v>0.25388363526371294</c:v>
                </c:pt>
                <c:pt idx="113">
                  <c:v>0.25388363526371294</c:v>
                </c:pt>
                <c:pt idx="114">
                  <c:v>0.24683131206194314</c:v>
                </c:pt>
                <c:pt idx="115">
                  <c:v>0.24683131206194314</c:v>
                </c:pt>
                <c:pt idx="116">
                  <c:v>0.23977898886017335</c:v>
                </c:pt>
                <c:pt idx="117">
                  <c:v>0.23977898886017335</c:v>
                </c:pt>
                <c:pt idx="118">
                  <c:v>0.23272666565840355</c:v>
                </c:pt>
                <c:pt idx="119">
                  <c:v>0.23272666565840355</c:v>
                </c:pt>
                <c:pt idx="120">
                  <c:v>0.22567434245663376</c:v>
                </c:pt>
                <c:pt idx="121">
                  <c:v>0.22567434245663376</c:v>
                </c:pt>
                <c:pt idx="122">
                  <c:v>0.21156969605309414</c:v>
                </c:pt>
                <c:pt idx="123">
                  <c:v>0.21156969605309414</c:v>
                </c:pt>
                <c:pt idx="124">
                  <c:v>0.20451737285132435</c:v>
                </c:pt>
                <c:pt idx="125">
                  <c:v>0.20451737285132435</c:v>
                </c:pt>
                <c:pt idx="126">
                  <c:v>0.19746504964955455</c:v>
                </c:pt>
                <c:pt idx="127">
                  <c:v>0.19746504964955455</c:v>
                </c:pt>
                <c:pt idx="128">
                  <c:v>0.19041272644778476</c:v>
                </c:pt>
                <c:pt idx="129">
                  <c:v>0.19041272644778476</c:v>
                </c:pt>
                <c:pt idx="130">
                  <c:v>0.18336040324601494</c:v>
                </c:pt>
                <c:pt idx="131">
                  <c:v>0.18336040324601494</c:v>
                </c:pt>
                <c:pt idx="132">
                  <c:v>0.17630808004424514</c:v>
                </c:pt>
                <c:pt idx="133">
                  <c:v>0.17630808004424514</c:v>
                </c:pt>
                <c:pt idx="134">
                  <c:v>0.16925575684247532</c:v>
                </c:pt>
                <c:pt idx="135">
                  <c:v>0.16925575684247532</c:v>
                </c:pt>
                <c:pt idx="136">
                  <c:v>0.16220343364070552</c:v>
                </c:pt>
                <c:pt idx="137">
                  <c:v>0.16220343364070552</c:v>
                </c:pt>
                <c:pt idx="138">
                  <c:v>0.15515111043893573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8AA-4D17-B6CB-E94D2A5197FD}"/>
            </c:ext>
          </c:extLst>
        </c:ser>
        <c:ser>
          <c:idx val="3"/>
          <c:order val="2"/>
          <c:tx>
            <c:v>AtRisk2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0CA5B3-4932-4152-88E7-08CF922159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AA-4D17-B6CB-E94D2A5197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0AD2DD-0857-47F4-8C64-5AC36A80D2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AA-4D17-B6CB-E94D2A5197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F2A973-F00E-4063-8E82-29E6687F8B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AA-4D17-B6CB-E94D2A5197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089CA3-E60A-47D8-9D0A-3C9E24FE77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AA-4D17-B6CB-E94D2A5197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FE312C-3FB1-4BCF-9B69-77A4B43E01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AA-4D17-B6CB-E94D2A5197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4E12DD-3FF5-497F-9E47-A826A2B4D5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AA-4D17-B6CB-E94D2A5197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1A4B7F-3FA4-4D7E-A834-E58C6D8C9C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AA-4D17-B6CB-E94D2A5197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BABF3D-0D03-4306-94F8-2840C907D2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AA-4D17-B6CB-E94D2A5197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72FD1E-B95A-4FAA-A788-E6999A6492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AA-4D17-B6CB-E94D2A5197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690B7B-C055-499E-8D73-E6915A1CC7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AA-4D17-B6CB-E94D2A5197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B2B010-D1A7-4EE0-96AE-476D584271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AA-4D17-B6CB-E94D2A5197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3FC331C-9ADC-4829-A306-992441D1E5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AA-4D17-B6CB-E94D2A5197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EECFF5-1A74-431E-932E-EF3BEBB9E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AA-4D17-B6CB-E94D2A5197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6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'Guyot Algorithm'!$AY$7:$AY$19</c:f>
              <c:numCache>
                <c:formatCode>General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</c:numCache>
            </c:numRef>
          </c:xVal>
          <c:yVal>
            <c:numRef>
              <c:f>'Guyot Algorithm'!$BA$7:$BA$19</c:f>
              <c:numCache>
                <c:formatCode>General</c:formatCode>
                <c:ptCount val="13"/>
                <c:pt idx="0">
                  <c:v>-0.02</c:v>
                </c:pt>
                <c:pt idx="1">
                  <c:v>-0.02</c:v>
                </c:pt>
                <c:pt idx="2">
                  <c:v>-0.02</c:v>
                </c:pt>
                <c:pt idx="3">
                  <c:v>-0.02</c:v>
                </c:pt>
                <c:pt idx="4">
                  <c:v>-0.02</c:v>
                </c:pt>
                <c:pt idx="5">
                  <c:v>-0.02</c:v>
                </c:pt>
                <c:pt idx="6">
                  <c:v>-0.02</c:v>
                </c:pt>
                <c:pt idx="7">
                  <c:v>-0.02</c:v>
                </c:pt>
                <c:pt idx="8">
                  <c:v>-0.02</c:v>
                </c:pt>
                <c:pt idx="9">
                  <c:v>-0.02</c:v>
                </c:pt>
                <c:pt idx="10">
                  <c:v>-0.02</c:v>
                </c:pt>
                <c:pt idx="11">
                  <c:v>-0.02</c:v>
                </c:pt>
                <c:pt idx="12">
                  <c:v>-0.02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'Guyot Algorithm'!$AZ$7:$AZ$19</c15:f>
                <c15:dlblRangeCache>
                  <c:ptCount val="13"/>
                  <c:pt idx="0">
                    <c:v>151</c:v>
                  </c:pt>
                  <c:pt idx="1">
                    <c:v>108</c:v>
                  </c:pt>
                  <c:pt idx="2">
                    <c:v>80</c:v>
                  </c:pt>
                  <c:pt idx="3">
                    <c:v>61</c:v>
                  </c:pt>
                  <c:pt idx="4">
                    <c:v>48</c:v>
                  </c:pt>
                  <c:pt idx="5">
                    <c:v>44</c:v>
                  </c:pt>
                  <c:pt idx="6">
                    <c:v>35</c:v>
                  </c:pt>
                  <c:pt idx="7">
                    <c:v>33</c:v>
                  </c:pt>
                  <c:pt idx="8">
                    <c:v>28</c:v>
                  </c:pt>
                  <c:pt idx="9">
                    <c:v>26</c:v>
                  </c:pt>
                  <c:pt idx="10">
                    <c:v>13</c:v>
                  </c:pt>
                  <c:pt idx="11">
                    <c:v>3</c:v>
                  </c:pt>
                  <c:pt idx="12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C8AA-4D17-B6CB-E94D2A5197FD}"/>
            </c:ext>
          </c:extLst>
        </c:ser>
        <c:ser>
          <c:idx val="1"/>
          <c:order val="3"/>
          <c:tx>
            <c:v>AtRisk1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784663-3952-4F80-8631-E03B7EE54F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AA-4D17-B6CB-E94D2A5197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316F86-43CB-4AC5-A692-B485D1A7C6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AA-4D17-B6CB-E94D2A5197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E660AF-276A-4B59-9DB5-C4808D49A2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AA-4D17-B6CB-E94D2A5197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5564FB-42AE-4BF9-A6C3-D3EFDF92BA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AA-4D17-B6CB-E94D2A5197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1B696B-6F28-49E8-AFAB-83CF6F657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AA-4D17-B6CB-E94D2A5197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B4C7BE-359F-4283-834F-28E181C65B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AA-4D17-B6CB-E94D2A5197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CCCE22-4029-4665-AA7D-9FB34745F8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AA-4D17-B6CB-E94D2A5197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74C2B2-3DC4-4759-B5D9-F10D9657CA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AA-4D17-B6CB-E94D2A5197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F26CCB-6F19-4B0E-8913-91411ADB06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AA-4D17-B6CB-E94D2A5197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C79116-9FEC-4761-8D82-987D03A8DD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AA-4D17-B6CB-E94D2A5197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B26E1C-0A6F-43FA-8055-A9EED350F2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AA-4D17-B6CB-E94D2A5197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70277F-CE84-4226-9640-5C64A6334B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AA-4D17-B6CB-E94D2A5197F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CF-4297-8197-6BDD5C2C70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66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'Guyot Algorithm'!$AS$7:$AS$19</c:f>
              <c:numCache>
                <c:formatCode>General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</c:numCache>
            </c:numRef>
          </c:xVal>
          <c:yVal>
            <c:numRef>
              <c:f>'Guyot Algorithm'!$AU$7:$AU$19</c:f>
              <c:numCache>
                <c:formatCode>General</c:formatCode>
                <c:ptCount val="1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'Guyot Algorithm'!$AT$7:$AT$19</c15:f>
                <c15:dlblRangeCache>
                  <c:ptCount val="13"/>
                  <c:pt idx="0">
                    <c:v>154</c:v>
                  </c:pt>
                  <c:pt idx="1">
                    <c:v>121</c:v>
                  </c:pt>
                  <c:pt idx="2">
                    <c:v>106</c:v>
                  </c:pt>
                  <c:pt idx="3">
                    <c:v>89</c:v>
                  </c:pt>
                  <c:pt idx="4">
                    <c:v>78</c:v>
                  </c:pt>
                  <c:pt idx="5">
                    <c:v>73</c:v>
                  </c:pt>
                  <c:pt idx="6">
                    <c:v>66</c:v>
                  </c:pt>
                  <c:pt idx="7">
                    <c:v>62</c:v>
                  </c:pt>
                  <c:pt idx="8">
                    <c:v>54</c:v>
                  </c:pt>
                  <c:pt idx="9">
                    <c:v>51</c:v>
                  </c:pt>
                  <c:pt idx="10">
                    <c:v>20</c:v>
                  </c:pt>
                  <c:pt idx="11">
                    <c:v>0</c:v>
                  </c:pt>
                  <c:pt idx="12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C8AA-4D17-B6CB-E94D2A519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758608"/>
        <c:axId val="939045168"/>
      </c:scatterChart>
      <c:valAx>
        <c:axId val="1404758608"/>
        <c:scaling>
          <c:orientation val="minMax"/>
          <c:max val="72"/>
          <c:min val="-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45168"/>
        <c:crossesAt val="-9.0000000000000024E-2"/>
        <c:crossBetween val="midCat"/>
        <c:majorUnit val="6"/>
      </c:valAx>
      <c:valAx>
        <c:axId val="939045168"/>
        <c:scaling>
          <c:orientation val="minMax"/>
          <c:max val="1"/>
          <c:min val="-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1.2221789494562835E-2"/>
              <c:y val="0.39484826444887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.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58608"/>
        <c:crossesAt val="-3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3557005211063328"/>
          <c:y val="0.51869221576506963"/>
          <c:w val="0.14593631276465022"/>
          <c:h val="8.64821283624893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Survival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39147200927828"/>
          <c:y val="8.6031990647788728E-2"/>
          <c:w val="0.84562529227214356"/>
          <c:h val="0.82005818549789722"/>
        </c:manualLayout>
      </c:layout>
      <c:scatterChart>
        <c:scatterStyle val="lineMarker"/>
        <c:varyColors val="0"/>
        <c:ser>
          <c:idx val="0"/>
          <c:order val="0"/>
          <c:tx>
            <c:strRef>
              <c:f>'Guyot Algorithm'!$AQ$4:$AT$4</c:f>
              <c:strCache>
                <c:ptCount val="1"/>
                <c:pt idx="0">
                  <c:v>Pembrolizumab</c:v>
                </c:pt>
              </c:strCache>
            </c:strRef>
          </c:tx>
          <c:spPr>
            <a:ln w="19050" cap="rnd">
              <a:solidFill>
                <a:srgbClr val="0066FF"/>
              </a:solidFill>
              <a:round/>
            </a:ln>
            <a:effectLst/>
          </c:spPr>
          <c:marker>
            <c:symbol val="none"/>
          </c:marker>
          <c:xVal>
            <c:numRef>
              <c:f>'Guyot Algorithm'!$AQ$7:$AQ$146</c:f>
              <c:numCache>
                <c:formatCode>0.00</c:formatCode>
                <c:ptCount val="140"/>
                <c:pt idx="0" formatCode="General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0.16125097553783599</c:v>
                </c:pt>
                <c:pt idx="4">
                  <c:v>0.16125097553783599</c:v>
                </c:pt>
                <c:pt idx="5">
                  <c:v>0.417267185204099</c:v>
                </c:pt>
                <c:pt idx="6">
                  <c:v>0.417267185204099</c:v>
                </c:pt>
                <c:pt idx="7">
                  <c:v>0.675227923549229</c:v>
                </c:pt>
                <c:pt idx="8">
                  <c:v>0.675227923549229</c:v>
                </c:pt>
                <c:pt idx="9">
                  <c:v>1.0624467126625801</c:v>
                </c:pt>
                <c:pt idx="10">
                  <c:v>1.0624467126625801</c:v>
                </c:pt>
                <c:pt idx="11">
                  <c:v>1.6738141413929699</c:v>
                </c:pt>
                <c:pt idx="12">
                  <c:v>1.6738141413929699</c:v>
                </c:pt>
                <c:pt idx="13">
                  <c:v>1.8372254813189399</c:v>
                </c:pt>
                <c:pt idx="14">
                  <c:v>1.8372254813189399</c:v>
                </c:pt>
                <c:pt idx="15">
                  <c:v>2.0584503606511402</c:v>
                </c:pt>
                <c:pt idx="16">
                  <c:v>2.0584503606511402</c:v>
                </c:pt>
                <c:pt idx="17">
                  <c:v>2.6943087447523602</c:v>
                </c:pt>
                <c:pt idx="18">
                  <c:v>2.6943087447523602</c:v>
                </c:pt>
                <c:pt idx="19">
                  <c:v>3.0548403406679898</c:v>
                </c:pt>
                <c:pt idx="20">
                  <c:v>3.0548403406679898</c:v>
                </c:pt>
                <c:pt idx="21">
                  <c:v>3.6063689863233002</c:v>
                </c:pt>
                <c:pt idx="22">
                  <c:v>3.6063689863233002</c:v>
                </c:pt>
                <c:pt idx="23">
                  <c:v>4.1348457237041796</c:v>
                </c:pt>
                <c:pt idx="24">
                  <c:v>4.1348457237041796</c:v>
                </c:pt>
                <c:pt idx="25">
                  <c:v>4.3596664273429502</c:v>
                </c:pt>
                <c:pt idx="26">
                  <c:v>4.3596664273429502</c:v>
                </c:pt>
                <c:pt idx="27">
                  <c:v>4.9800933600087198</c:v>
                </c:pt>
                <c:pt idx="28">
                  <c:v>4.9800933600087198</c:v>
                </c:pt>
                <c:pt idx="29">
                  <c:v>5.3025152748059803</c:v>
                </c:pt>
                <c:pt idx="30">
                  <c:v>5.3025152748059803</c:v>
                </c:pt>
                <c:pt idx="31">
                  <c:v>5.6322558343838303</c:v>
                </c:pt>
                <c:pt idx="32">
                  <c:v>5.6322558343838303</c:v>
                </c:pt>
                <c:pt idx="33">
                  <c:v>5.9729215229020998</c:v>
                </c:pt>
                <c:pt idx="34">
                  <c:v>5.9729215229020998</c:v>
                </c:pt>
                <c:pt idx="35">
                  <c:v>6.6115080339554497</c:v>
                </c:pt>
                <c:pt idx="36">
                  <c:v>6.6115080339554497</c:v>
                </c:pt>
                <c:pt idx="37">
                  <c:v>7.1499879615860298</c:v>
                </c:pt>
                <c:pt idx="38">
                  <c:v>7.1499879615860298</c:v>
                </c:pt>
                <c:pt idx="39">
                  <c:v>7.8343304893104602</c:v>
                </c:pt>
                <c:pt idx="40">
                  <c:v>7.8343304893104602</c:v>
                </c:pt>
                <c:pt idx="41">
                  <c:v>8.4864422721886701</c:v>
                </c:pt>
                <c:pt idx="42">
                  <c:v>8.4864422721886701</c:v>
                </c:pt>
                <c:pt idx="43">
                  <c:v>9.1518773817679708</c:v>
                </c:pt>
                <c:pt idx="44">
                  <c:v>9.1518773817679708</c:v>
                </c:pt>
                <c:pt idx="45">
                  <c:v>9.6117763637243705</c:v>
                </c:pt>
                <c:pt idx="46">
                  <c:v>9.6117763637243705</c:v>
                </c:pt>
                <c:pt idx="47">
                  <c:v>10.2803541086923</c:v>
                </c:pt>
                <c:pt idx="48">
                  <c:v>10.2803541086923</c:v>
                </c:pt>
                <c:pt idx="49">
                  <c:v>11.5840162036087</c:v>
                </c:pt>
                <c:pt idx="50">
                  <c:v>11.5840162036087</c:v>
                </c:pt>
                <c:pt idx="51">
                  <c:v>11.9925319303228</c:v>
                </c:pt>
                <c:pt idx="52">
                  <c:v>11.9925319303228</c:v>
                </c:pt>
                <c:pt idx="53">
                  <c:v>12.5981415826264</c:v>
                </c:pt>
                <c:pt idx="54">
                  <c:v>12.5981415826264</c:v>
                </c:pt>
                <c:pt idx="55">
                  <c:v>13.297044869512201</c:v>
                </c:pt>
                <c:pt idx="56">
                  <c:v>13.297044869512201</c:v>
                </c:pt>
                <c:pt idx="57">
                  <c:v>13.953635007459599</c:v>
                </c:pt>
                <c:pt idx="58">
                  <c:v>13.953635007459599</c:v>
                </c:pt>
                <c:pt idx="59">
                  <c:v>14.3531206766976</c:v>
                </c:pt>
                <c:pt idx="60">
                  <c:v>14.3531206766976</c:v>
                </c:pt>
                <c:pt idx="61">
                  <c:v>15.0096171982856</c:v>
                </c:pt>
                <c:pt idx="62">
                  <c:v>15.0096171982856</c:v>
                </c:pt>
                <c:pt idx="63">
                  <c:v>15.606510018578501</c:v>
                </c:pt>
                <c:pt idx="64">
                  <c:v>15.606510018578501</c:v>
                </c:pt>
                <c:pt idx="65">
                  <c:v>15.988355549746201</c:v>
                </c:pt>
                <c:pt idx="66">
                  <c:v>15.988355549746201</c:v>
                </c:pt>
                <c:pt idx="67">
                  <c:v>17.266169382910601</c:v>
                </c:pt>
                <c:pt idx="68">
                  <c:v>17.266169382910601</c:v>
                </c:pt>
                <c:pt idx="69">
                  <c:v>17.8626436418811</c:v>
                </c:pt>
                <c:pt idx="70">
                  <c:v>17.8626436418811</c:v>
                </c:pt>
                <c:pt idx="71">
                  <c:v>18.570107604929099</c:v>
                </c:pt>
                <c:pt idx="72">
                  <c:v>18.570107604929099</c:v>
                </c:pt>
                <c:pt idx="73">
                  <c:v>19.134960155908399</c:v>
                </c:pt>
                <c:pt idx="74">
                  <c:v>19.134960155908399</c:v>
                </c:pt>
                <c:pt idx="75">
                  <c:v>20.470143547081999</c:v>
                </c:pt>
                <c:pt idx="76">
                  <c:v>20.470143547081999</c:v>
                </c:pt>
                <c:pt idx="77">
                  <c:v>21.018424419275998</c:v>
                </c:pt>
                <c:pt idx="78">
                  <c:v>21.018424419275998</c:v>
                </c:pt>
                <c:pt idx="79">
                  <c:v>22.313221134623401</c:v>
                </c:pt>
                <c:pt idx="80">
                  <c:v>22.313221134623401</c:v>
                </c:pt>
                <c:pt idx="81">
                  <c:v>23.013254067266701</c:v>
                </c:pt>
                <c:pt idx="82">
                  <c:v>23.013254067266701</c:v>
                </c:pt>
                <c:pt idx="83">
                  <c:v>23.594006547559399</c:v>
                </c:pt>
                <c:pt idx="84">
                  <c:v>23.594006547559399</c:v>
                </c:pt>
                <c:pt idx="85">
                  <c:v>24.1717770287358</c:v>
                </c:pt>
                <c:pt idx="86">
                  <c:v>24.1717770287358</c:v>
                </c:pt>
                <c:pt idx="87">
                  <c:v>25.497355787621899</c:v>
                </c:pt>
                <c:pt idx="88">
                  <c:v>25.497355787621899</c:v>
                </c:pt>
                <c:pt idx="89">
                  <c:v>26.0707099297023</c:v>
                </c:pt>
                <c:pt idx="90">
                  <c:v>26.0707099297023</c:v>
                </c:pt>
                <c:pt idx="91">
                  <c:v>29.591995898415998</c:v>
                </c:pt>
                <c:pt idx="92">
                  <c:v>29.591995898415998</c:v>
                </c:pt>
                <c:pt idx="93">
                  <c:v>30.411300683627299</c:v>
                </c:pt>
                <c:pt idx="94">
                  <c:v>30.411300683627299</c:v>
                </c:pt>
                <c:pt idx="95">
                  <c:v>32.366552359443098</c:v>
                </c:pt>
                <c:pt idx="96">
                  <c:v>32.366552359443098</c:v>
                </c:pt>
                <c:pt idx="97">
                  <c:v>33.018342717314098</c:v>
                </c:pt>
                <c:pt idx="98">
                  <c:v>33.018342717314098</c:v>
                </c:pt>
                <c:pt idx="99">
                  <c:v>34.321785565823397</c:v>
                </c:pt>
                <c:pt idx="100">
                  <c:v>34.321785565823397</c:v>
                </c:pt>
                <c:pt idx="101">
                  <c:v>34.973649403633303</c:v>
                </c:pt>
                <c:pt idx="102">
                  <c:v>34.973649403633303</c:v>
                </c:pt>
                <c:pt idx="103">
                  <c:v>36.3239229638111</c:v>
                </c:pt>
                <c:pt idx="104">
                  <c:v>36.3239229638111</c:v>
                </c:pt>
                <c:pt idx="105">
                  <c:v>37.152738306167599</c:v>
                </c:pt>
                <c:pt idx="106">
                  <c:v>37.152738306167599</c:v>
                </c:pt>
                <c:pt idx="107">
                  <c:v>37.988254368477001</c:v>
                </c:pt>
                <c:pt idx="108">
                  <c:v>37.988254368477001</c:v>
                </c:pt>
                <c:pt idx="109">
                  <c:v>40.594737488630201</c:v>
                </c:pt>
                <c:pt idx="110">
                  <c:v>40.594737488630201</c:v>
                </c:pt>
                <c:pt idx="111">
                  <c:v>41.246618431978803</c:v>
                </c:pt>
                <c:pt idx="112">
                  <c:v>41.246618431978803</c:v>
                </c:pt>
                <c:pt idx="113">
                  <c:v>41.8987382163848</c:v>
                </c:pt>
                <c:pt idx="114">
                  <c:v>41.8987382163848</c:v>
                </c:pt>
                <c:pt idx="115">
                  <c:v>42.306935882370396</c:v>
                </c:pt>
                <c:pt idx="116">
                  <c:v>42.306935882370396</c:v>
                </c:pt>
                <c:pt idx="117">
                  <c:v>43.610541830202699</c:v>
                </c:pt>
                <c:pt idx="118">
                  <c:v>43.610541830202699</c:v>
                </c:pt>
                <c:pt idx="119">
                  <c:v>44.914033210705703</c:v>
                </c:pt>
                <c:pt idx="120">
                  <c:v>44.914033210705703</c:v>
                </c:pt>
                <c:pt idx="121">
                  <c:v>46.869056263324197</c:v>
                </c:pt>
                <c:pt idx="122">
                  <c:v>46.869056263324197</c:v>
                </c:pt>
                <c:pt idx="123">
                  <c:v>47.568002631316901</c:v>
                </c:pt>
                <c:pt idx="124">
                  <c:v>47.568002631316901</c:v>
                </c:pt>
                <c:pt idx="125">
                  <c:v>48.1730011395058</c:v>
                </c:pt>
                <c:pt idx="126">
                  <c:v>48.1730011395058</c:v>
                </c:pt>
                <c:pt idx="127">
                  <c:v>48.824807295847798</c:v>
                </c:pt>
                <c:pt idx="128">
                  <c:v>48.824807295847798</c:v>
                </c:pt>
                <c:pt idx="129">
                  <c:v>53.385910096147498</c:v>
                </c:pt>
                <c:pt idx="130">
                  <c:v>53.385910096147498</c:v>
                </c:pt>
                <c:pt idx="131">
                  <c:v>57.318054967716598</c:v>
                </c:pt>
                <c:pt idx="132">
                  <c:v>57.318054967716598</c:v>
                </c:pt>
                <c:pt idx="133">
                  <c:v>59.250640990506</c:v>
                </c:pt>
                <c:pt idx="134">
                  <c:v>59.250640990506</c:v>
                </c:pt>
                <c:pt idx="135">
                  <c:v>62.645351445138097</c:v>
                </c:pt>
                <c:pt idx="136">
                  <c:v>62.645351445138097</c:v>
                </c:pt>
                <c:pt idx="137">
                  <c:v>62.7567806388763</c:v>
                </c:pt>
                <c:pt idx="138">
                  <c:v>62.7567806388763</c:v>
                </c:pt>
                <c:pt idx="139">
                  <c:v>65.389893652703904</c:v>
                </c:pt>
              </c:numCache>
            </c:numRef>
          </c:xVal>
          <c:yVal>
            <c:numRef>
              <c:f>'Guyot Algorithm'!$AR$7:$AR$146</c:f>
              <c:numCache>
                <c:formatCode>0.000</c:formatCode>
                <c:ptCount val="140"/>
                <c:pt idx="0" formatCode="General">
                  <c:v>1</c:v>
                </c:pt>
                <c:pt idx="1">
                  <c:v>1</c:v>
                </c:pt>
                <c:pt idx="2">
                  <c:v>0.98701298701298701</c:v>
                </c:pt>
                <c:pt idx="3">
                  <c:v>0.98701298701298701</c:v>
                </c:pt>
                <c:pt idx="4">
                  <c:v>0.96753246753246758</c:v>
                </c:pt>
                <c:pt idx="5">
                  <c:v>0.96753246753246758</c:v>
                </c:pt>
                <c:pt idx="6">
                  <c:v>0.95454545454545459</c:v>
                </c:pt>
                <c:pt idx="7">
                  <c:v>0.95454545454545459</c:v>
                </c:pt>
                <c:pt idx="8">
                  <c:v>0.94155844155844159</c:v>
                </c:pt>
                <c:pt idx="9">
                  <c:v>0.94155844155844159</c:v>
                </c:pt>
                <c:pt idx="10">
                  <c:v>0.9285714285714286</c:v>
                </c:pt>
                <c:pt idx="11">
                  <c:v>0.9285714285714286</c:v>
                </c:pt>
                <c:pt idx="12">
                  <c:v>0.92207792207792216</c:v>
                </c:pt>
                <c:pt idx="13">
                  <c:v>0.92207792207792216</c:v>
                </c:pt>
                <c:pt idx="14">
                  <c:v>0.90259740259740273</c:v>
                </c:pt>
                <c:pt idx="15">
                  <c:v>0.90259740259740273</c:v>
                </c:pt>
                <c:pt idx="16">
                  <c:v>0.89610389610389629</c:v>
                </c:pt>
                <c:pt idx="17">
                  <c:v>0.89610389610389629</c:v>
                </c:pt>
                <c:pt idx="18">
                  <c:v>0.88961038961038974</c:v>
                </c:pt>
                <c:pt idx="19">
                  <c:v>0.88961038961038974</c:v>
                </c:pt>
                <c:pt idx="20">
                  <c:v>0.87012987012987031</c:v>
                </c:pt>
                <c:pt idx="21">
                  <c:v>0.87012987012987031</c:v>
                </c:pt>
                <c:pt idx="22">
                  <c:v>0.85064935064935088</c:v>
                </c:pt>
                <c:pt idx="23">
                  <c:v>0.85064935064935088</c:v>
                </c:pt>
                <c:pt idx="24">
                  <c:v>0.83766233766233789</c:v>
                </c:pt>
                <c:pt idx="25">
                  <c:v>0.83766233766233789</c:v>
                </c:pt>
                <c:pt idx="26">
                  <c:v>0.81818181818181834</c:v>
                </c:pt>
                <c:pt idx="27">
                  <c:v>0.81818181818181834</c:v>
                </c:pt>
                <c:pt idx="28">
                  <c:v>0.8116883116883119</c:v>
                </c:pt>
                <c:pt idx="29">
                  <c:v>0.8116883116883119</c:v>
                </c:pt>
                <c:pt idx="30">
                  <c:v>0.80519480519480535</c:v>
                </c:pt>
                <c:pt idx="31">
                  <c:v>0.80519480519480535</c:v>
                </c:pt>
                <c:pt idx="32">
                  <c:v>0.79870129870129891</c:v>
                </c:pt>
                <c:pt idx="33">
                  <c:v>0.79870129870129891</c:v>
                </c:pt>
                <c:pt idx="34">
                  <c:v>0.77922077922077937</c:v>
                </c:pt>
                <c:pt idx="35">
                  <c:v>0.77922077922077937</c:v>
                </c:pt>
                <c:pt idx="36">
                  <c:v>0.76623376623376638</c:v>
                </c:pt>
                <c:pt idx="37">
                  <c:v>0.76623376623376638</c:v>
                </c:pt>
                <c:pt idx="38">
                  <c:v>0.75324675324675339</c:v>
                </c:pt>
                <c:pt idx="39">
                  <c:v>0.75324675324675339</c:v>
                </c:pt>
                <c:pt idx="40">
                  <c:v>0.74675324675324695</c:v>
                </c:pt>
                <c:pt idx="41">
                  <c:v>0.74675324675324695</c:v>
                </c:pt>
                <c:pt idx="42">
                  <c:v>0.74025974025974051</c:v>
                </c:pt>
                <c:pt idx="43">
                  <c:v>0.74025974025974051</c:v>
                </c:pt>
                <c:pt idx="44">
                  <c:v>0.73376623376623396</c:v>
                </c:pt>
                <c:pt idx="45">
                  <c:v>0.73376623376623396</c:v>
                </c:pt>
                <c:pt idx="46">
                  <c:v>0.71428571428571441</c:v>
                </c:pt>
                <c:pt idx="47">
                  <c:v>0.71428571428571441</c:v>
                </c:pt>
                <c:pt idx="48">
                  <c:v>0.70129870129870142</c:v>
                </c:pt>
                <c:pt idx="49">
                  <c:v>0.70129870129870142</c:v>
                </c:pt>
                <c:pt idx="50">
                  <c:v>0.69480519480519487</c:v>
                </c:pt>
                <c:pt idx="51">
                  <c:v>0.69480519480519487</c:v>
                </c:pt>
                <c:pt idx="52">
                  <c:v>0.67532467532467544</c:v>
                </c:pt>
                <c:pt idx="53">
                  <c:v>0.67532467532467544</c:v>
                </c:pt>
                <c:pt idx="54">
                  <c:v>0.6558441558441559</c:v>
                </c:pt>
                <c:pt idx="55">
                  <c:v>0.6558441558441559</c:v>
                </c:pt>
                <c:pt idx="56">
                  <c:v>0.64928571428571435</c:v>
                </c:pt>
                <c:pt idx="57">
                  <c:v>0.64928571428571435</c:v>
                </c:pt>
                <c:pt idx="58">
                  <c:v>0.64272727272727281</c:v>
                </c:pt>
                <c:pt idx="59">
                  <c:v>0.64272727272727281</c:v>
                </c:pt>
                <c:pt idx="60">
                  <c:v>0.62305194805194808</c:v>
                </c:pt>
                <c:pt idx="61">
                  <c:v>0.62305194805194808</c:v>
                </c:pt>
                <c:pt idx="62">
                  <c:v>0.61642373583862953</c:v>
                </c:pt>
                <c:pt idx="63">
                  <c:v>0.61642373583862953</c:v>
                </c:pt>
                <c:pt idx="64">
                  <c:v>0.60316731141199231</c:v>
                </c:pt>
                <c:pt idx="65">
                  <c:v>0.60316731141199231</c:v>
                </c:pt>
                <c:pt idx="66">
                  <c:v>0.59653909919867376</c:v>
                </c:pt>
                <c:pt idx="67">
                  <c:v>0.59653909919867376</c:v>
                </c:pt>
                <c:pt idx="68">
                  <c:v>0.58983641269082343</c:v>
                </c:pt>
                <c:pt idx="69">
                  <c:v>0.58983641269082343</c:v>
                </c:pt>
                <c:pt idx="70">
                  <c:v>0.58313372618297321</c:v>
                </c:pt>
                <c:pt idx="71">
                  <c:v>0.58313372618297321</c:v>
                </c:pt>
                <c:pt idx="72">
                  <c:v>0.57643103967512299</c:v>
                </c:pt>
                <c:pt idx="73">
                  <c:v>0.57643103967512299</c:v>
                </c:pt>
                <c:pt idx="74">
                  <c:v>0.56972835316727266</c:v>
                </c:pt>
                <c:pt idx="75">
                  <c:v>0.56972835316727266</c:v>
                </c:pt>
                <c:pt idx="76">
                  <c:v>0.56302566665942244</c:v>
                </c:pt>
                <c:pt idx="77">
                  <c:v>0.56302566665942244</c:v>
                </c:pt>
                <c:pt idx="78">
                  <c:v>0.54945878312546048</c:v>
                </c:pt>
                <c:pt idx="79">
                  <c:v>0.54945878312546048</c:v>
                </c:pt>
                <c:pt idx="80">
                  <c:v>0.53589189959149852</c:v>
                </c:pt>
                <c:pt idx="81">
                  <c:v>0.53589189959149852</c:v>
                </c:pt>
                <c:pt idx="82">
                  <c:v>0.52910845782451754</c:v>
                </c:pt>
                <c:pt idx="83">
                  <c:v>0.52910845782451754</c:v>
                </c:pt>
                <c:pt idx="84">
                  <c:v>0.51554157429055558</c:v>
                </c:pt>
                <c:pt idx="85">
                  <c:v>0.51554157429055558</c:v>
                </c:pt>
                <c:pt idx="86">
                  <c:v>0.5087581325235746</c:v>
                </c:pt>
                <c:pt idx="87">
                  <c:v>0.5087581325235746</c:v>
                </c:pt>
                <c:pt idx="88">
                  <c:v>0.50197469075659362</c:v>
                </c:pt>
                <c:pt idx="89">
                  <c:v>0.50197469075659362</c:v>
                </c:pt>
                <c:pt idx="90">
                  <c:v>0.49519124898961264</c:v>
                </c:pt>
                <c:pt idx="91">
                  <c:v>0.49519124898961264</c:v>
                </c:pt>
                <c:pt idx="92">
                  <c:v>0.48831359275364583</c:v>
                </c:pt>
                <c:pt idx="93">
                  <c:v>0.48831359275364583</c:v>
                </c:pt>
                <c:pt idx="94">
                  <c:v>0.48143593651767902</c:v>
                </c:pt>
                <c:pt idx="95">
                  <c:v>0.48143593651767902</c:v>
                </c:pt>
                <c:pt idx="96">
                  <c:v>0.47445860410437934</c:v>
                </c:pt>
                <c:pt idx="97">
                  <c:v>0.47445860410437934</c:v>
                </c:pt>
                <c:pt idx="98">
                  <c:v>0.46748127169107967</c:v>
                </c:pt>
                <c:pt idx="99">
                  <c:v>0.46748127169107967</c:v>
                </c:pt>
                <c:pt idx="100">
                  <c:v>0.4603982221200027</c:v>
                </c:pt>
                <c:pt idx="101">
                  <c:v>0.4603982221200027</c:v>
                </c:pt>
                <c:pt idx="102">
                  <c:v>0.45331517254892578</c:v>
                </c:pt>
                <c:pt idx="103">
                  <c:v>0.45331517254892578</c:v>
                </c:pt>
                <c:pt idx="104">
                  <c:v>0.44623212297784881</c:v>
                </c:pt>
                <c:pt idx="105">
                  <c:v>0.44623212297784881</c:v>
                </c:pt>
                <c:pt idx="106">
                  <c:v>0.43914907340677184</c:v>
                </c:pt>
                <c:pt idx="107">
                  <c:v>0.43914907340677184</c:v>
                </c:pt>
                <c:pt idx="108">
                  <c:v>0.4249829742646179</c:v>
                </c:pt>
                <c:pt idx="109">
                  <c:v>0.4249829742646179</c:v>
                </c:pt>
                <c:pt idx="110">
                  <c:v>0.41789992469354093</c:v>
                </c:pt>
                <c:pt idx="111">
                  <c:v>0.41789992469354093</c:v>
                </c:pt>
                <c:pt idx="112">
                  <c:v>0.41081687512246395</c:v>
                </c:pt>
                <c:pt idx="113">
                  <c:v>0.41081687512246395</c:v>
                </c:pt>
                <c:pt idx="114">
                  <c:v>0.40373382555138698</c:v>
                </c:pt>
                <c:pt idx="115">
                  <c:v>0.40373382555138698</c:v>
                </c:pt>
                <c:pt idx="116">
                  <c:v>0.38956772640923304</c:v>
                </c:pt>
                <c:pt idx="117">
                  <c:v>0.38956772640923304</c:v>
                </c:pt>
                <c:pt idx="118">
                  <c:v>0.38235350925350653</c:v>
                </c:pt>
                <c:pt idx="119">
                  <c:v>0.38235350925350653</c:v>
                </c:pt>
                <c:pt idx="120">
                  <c:v>0.37513929209778002</c:v>
                </c:pt>
                <c:pt idx="121">
                  <c:v>0.37513929209778002</c:v>
                </c:pt>
                <c:pt idx="122">
                  <c:v>0.36778361970370588</c:v>
                </c:pt>
                <c:pt idx="123">
                  <c:v>0.36778361970370588</c:v>
                </c:pt>
                <c:pt idx="124">
                  <c:v>0.36042794730963174</c:v>
                </c:pt>
                <c:pt idx="125">
                  <c:v>0.36042794730963174</c:v>
                </c:pt>
                <c:pt idx="126">
                  <c:v>0.35307227491555759</c:v>
                </c:pt>
                <c:pt idx="127">
                  <c:v>0.35307227491555759</c:v>
                </c:pt>
                <c:pt idx="128">
                  <c:v>0.34571660252148345</c:v>
                </c:pt>
                <c:pt idx="129">
                  <c:v>0.34571660252148345</c:v>
                </c:pt>
                <c:pt idx="130">
                  <c:v>0.33836093012740931</c:v>
                </c:pt>
                <c:pt idx="131">
                  <c:v>0.33836093012740931</c:v>
                </c:pt>
                <c:pt idx="132">
                  <c:v>0.33067090898814999</c:v>
                </c:pt>
                <c:pt idx="133">
                  <c:v>0.33067090898814999</c:v>
                </c:pt>
                <c:pt idx="134">
                  <c:v>0.32298088784889067</c:v>
                </c:pt>
                <c:pt idx="135">
                  <c:v>0.32298088784889067</c:v>
                </c:pt>
                <c:pt idx="136">
                  <c:v>0.31529086670963136</c:v>
                </c:pt>
                <c:pt idx="137">
                  <c:v>0.31529086670963136</c:v>
                </c:pt>
                <c:pt idx="138">
                  <c:v>0.30760084557037204</c:v>
                </c:pt>
                <c:pt idx="139">
                  <c:v>0.30760084557037204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7D-443F-A05A-1C70D17F59E9}"/>
            </c:ext>
          </c:extLst>
        </c:ser>
        <c:ser>
          <c:idx val="2"/>
          <c:order val="1"/>
          <c:tx>
            <c:strRef>
              <c:f>'Guyot Algorithm'!$AW$4:$AZ$4</c:f>
              <c:strCache>
                <c:ptCount val="1"/>
                <c:pt idx="0">
                  <c:v>Chemotherapy</c:v>
                </c:pt>
              </c:strCache>
            </c:strRef>
          </c:tx>
          <c:spPr>
            <a:ln w="19050" cap="rnd">
              <a:solidFill>
                <a:srgbClr val="FF0066"/>
              </a:solidFill>
              <a:round/>
            </a:ln>
            <a:effectLst/>
          </c:spPr>
          <c:marker>
            <c:symbol val="none"/>
          </c:marker>
          <c:xVal>
            <c:numRef>
              <c:f>'Guyot Algorithm'!$AW$7:$AW$145</c:f>
              <c:numCache>
                <c:formatCode>0.00</c:formatCode>
                <c:ptCount val="139"/>
                <c:pt idx="0">
                  <c:v>0</c:v>
                </c:pt>
                <c:pt idx="1">
                  <c:v>0.74238689559304105</c:v>
                </c:pt>
                <c:pt idx="2">
                  <c:v>0.74238689559304105</c:v>
                </c:pt>
                <c:pt idx="3">
                  <c:v>0.91598001277379004</c:v>
                </c:pt>
                <c:pt idx="4">
                  <c:v>0.91598001277379004</c:v>
                </c:pt>
                <c:pt idx="5">
                  <c:v>1.11669384228124</c:v>
                </c:pt>
                <c:pt idx="6">
                  <c:v>1.11669384228124</c:v>
                </c:pt>
                <c:pt idx="7">
                  <c:v>1.5850261111319801</c:v>
                </c:pt>
                <c:pt idx="8">
                  <c:v>1.5850261111319801</c:v>
                </c:pt>
                <c:pt idx="9">
                  <c:v>2.0310568433707701</c:v>
                </c:pt>
                <c:pt idx="10">
                  <c:v>2.0310568433707701</c:v>
                </c:pt>
                <c:pt idx="11">
                  <c:v>2.4213337340797199</c:v>
                </c:pt>
                <c:pt idx="12">
                  <c:v>2.4213337340797199</c:v>
                </c:pt>
                <c:pt idx="13">
                  <c:v>2.8026900101438899</c:v>
                </c:pt>
                <c:pt idx="14">
                  <c:v>2.8026900101438899</c:v>
                </c:pt>
                <c:pt idx="15">
                  <c:v>3.3646887327647699</c:v>
                </c:pt>
                <c:pt idx="16">
                  <c:v>3.3646887327647699</c:v>
                </c:pt>
                <c:pt idx="17">
                  <c:v>4.0069729871886404</c:v>
                </c:pt>
                <c:pt idx="18">
                  <c:v>4.0069729871886404</c:v>
                </c:pt>
                <c:pt idx="19">
                  <c:v>4.4084006462035497</c:v>
                </c:pt>
                <c:pt idx="20">
                  <c:v>4.4084006462035497</c:v>
                </c:pt>
                <c:pt idx="21">
                  <c:v>4.9703993688244301</c:v>
                </c:pt>
                <c:pt idx="22">
                  <c:v>4.9703993688244301</c:v>
                </c:pt>
                <c:pt idx="23">
                  <c:v>5.1711131983318896</c:v>
                </c:pt>
                <c:pt idx="24">
                  <c:v>5.1711131983318896</c:v>
                </c:pt>
                <c:pt idx="25">
                  <c:v>5.5323980914453097</c:v>
                </c:pt>
                <c:pt idx="26">
                  <c:v>5.5323980914453097</c:v>
                </c:pt>
                <c:pt idx="27">
                  <c:v>6.0615527328740697</c:v>
                </c:pt>
                <c:pt idx="28">
                  <c:v>6.0615527328740697</c:v>
                </c:pt>
                <c:pt idx="29">
                  <c:v>6.4212736221212001</c:v>
                </c:pt>
                <c:pt idx="30">
                  <c:v>6.4212736221212001</c:v>
                </c:pt>
                <c:pt idx="31">
                  <c:v>7.0578231957019897</c:v>
                </c:pt>
                <c:pt idx="32">
                  <c:v>7.0578231957019897</c:v>
                </c:pt>
                <c:pt idx="33">
                  <c:v>7.45479054739452</c:v>
                </c:pt>
                <c:pt idx="34">
                  <c:v>7.45479054739452</c:v>
                </c:pt>
                <c:pt idx="35">
                  <c:v>8.0613923432392802</c:v>
                </c:pt>
                <c:pt idx="36">
                  <c:v>8.0613923432392802</c:v>
                </c:pt>
                <c:pt idx="37">
                  <c:v>8.4538993876094199</c:v>
                </c:pt>
                <c:pt idx="38">
                  <c:v>8.4538993876094199</c:v>
                </c:pt>
                <c:pt idx="39">
                  <c:v>8.7077882556261006</c:v>
                </c:pt>
                <c:pt idx="40">
                  <c:v>8.7077882556261006</c:v>
                </c:pt>
                <c:pt idx="41">
                  <c:v>8.8934424001065597</c:v>
                </c:pt>
                <c:pt idx="42">
                  <c:v>8.8934424001065597</c:v>
                </c:pt>
                <c:pt idx="43">
                  <c:v>9.5466746815944692</c:v>
                </c:pt>
                <c:pt idx="44">
                  <c:v>9.5466746815944692</c:v>
                </c:pt>
                <c:pt idx="45">
                  <c:v>10.057061276627699</c:v>
                </c:pt>
                <c:pt idx="46">
                  <c:v>10.057061276627699</c:v>
                </c:pt>
                <c:pt idx="47">
                  <c:v>10.6706721268362</c:v>
                </c:pt>
                <c:pt idx="48">
                  <c:v>10.6706721268362</c:v>
                </c:pt>
                <c:pt idx="49">
                  <c:v>11.3174166885824</c:v>
                </c:pt>
                <c:pt idx="50">
                  <c:v>11.3174166885824</c:v>
                </c:pt>
                <c:pt idx="51">
                  <c:v>11.9552406356839</c:v>
                </c:pt>
                <c:pt idx="52">
                  <c:v>11.9552406356839</c:v>
                </c:pt>
                <c:pt idx="53">
                  <c:v>12.597524890107801</c:v>
                </c:pt>
                <c:pt idx="54">
                  <c:v>12.597524890107801</c:v>
                </c:pt>
                <c:pt idx="55">
                  <c:v>12.985571627155499</c:v>
                </c:pt>
                <c:pt idx="56">
                  <c:v>12.985571627155499</c:v>
                </c:pt>
                <c:pt idx="57">
                  <c:v>13.5921734230003</c:v>
                </c:pt>
                <c:pt idx="58">
                  <c:v>13.5921734230003</c:v>
                </c:pt>
                <c:pt idx="59">
                  <c:v>14.7003882423321</c:v>
                </c:pt>
                <c:pt idx="60">
                  <c:v>14.7003882423321</c:v>
                </c:pt>
                <c:pt idx="61">
                  <c:v>15.246947439606201</c:v>
                </c:pt>
                <c:pt idx="62">
                  <c:v>15.246947439606201</c:v>
                </c:pt>
                <c:pt idx="63">
                  <c:v>15.8892316940301</c:v>
                </c:pt>
                <c:pt idx="64">
                  <c:v>15.8892316940301</c:v>
                </c:pt>
                <c:pt idx="65">
                  <c:v>16.563630161175102</c:v>
                </c:pt>
                <c:pt idx="66">
                  <c:v>16.563630161175102</c:v>
                </c:pt>
                <c:pt idx="67">
                  <c:v>17.1738002028778</c:v>
                </c:pt>
                <c:pt idx="68">
                  <c:v>17.1738002028778</c:v>
                </c:pt>
                <c:pt idx="69">
                  <c:v>17.816084457301699</c:v>
                </c:pt>
                <c:pt idx="70">
                  <c:v>17.816084457301699</c:v>
                </c:pt>
                <c:pt idx="71">
                  <c:v>18.458368711725502</c:v>
                </c:pt>
                <c:pt idx="72">
                  <c:v>18.458368711725502</c:v>
                </c:pt>
                <c:pt idx="73">
                  <c:v>19.100652966149401</c:v>
                </c:pt>
                <c:pt idx="74">
                  <c:v>19.100652966149401</c:v>
                </c:pt>
                <c:pt idx="75">
                  <c:v>19.7429372205733</c:v>
                </c:pt>
                <c:pt idx="76">
                  <c:v>19.7429372205733</c:v>
                </c:pt>
                <c:pt idx="77">
                  <c:v>20.385221474997099</c:v>
                </c:pt>
                <c:pt idx="78">
                  <c:v>20.385221474997099</c:v>
                </c:pt>
                <c:pt idx="79">
                  <c:v>21.027505729421001</c:v>
                </c:pt>
                <c:pt idx="80">
                  <c:v>21.027505729421001</c:v>
                </c:pt>
                <c:pt idx="81">
                  <c:v>21.6697899838449</c:v>
                </c:pt>
                <c:pt idx="82">
                  <c:v>21.6697899838449</c:v>
                </c:pt>
                <c:pt idx="83">
                  <c:v>22.344918319460898</c:v>
                </c:pt>
                <c:pt idx="84">
                  <c:v>22.344918319460898</c:v>
                </c:pt>
                <c:pt idx="85">
                  <c:v>22.954358492692599</c:v>
                </c:pt>
                <c:pt idx="86">
                  <c:v>22.954358492692599</c:v>
                </c:pt>
                <c:pt idx="87">
                  <c:v>23.596642747116501</c:v>
                </c:pt>
                <c:pt idx="88">
                  <c:v>23.596642747116501</c:v>
                </c:pt>
                <c:pt idx="89">
                  <c:v>24.238927001540301</c:v>
                </c:pt>
                <c:pt idx="90">
                  <c:v>24.238927001540301</c:v>
                </c:pt>
                <c:pt idx="91">
                  <c:v>25.523495510388098</c:v>
                </c:pt>
                <c:pt idx="92">
                  <c:v>25.523495510388098</c:v>
                </c:pt>
                <c:pt idx="93">
                  <c:v>26.165779764811901</c:v>
                </c:pt>
                <c:pt idx="94">
                  <c:v>26.165779764811901</c:v>
                </c:pt>
                <c:pt idx="95">
                  <c:v>29.377201036931201</c:v>
                </c:pt>
                <c:pt idx="96">
                  <c:v>29.377201036931201</c:v>
                </c:pt>
                <c:pt idx="97">
                  <c:v>30.0194852913551</c:v>
                </c:pt>
                <c:pt idx="98">
                  <c:v>30.0194852913551</c:v>
                </c:pt>
                <c:pt idx="99">
                  <c:v>30.661769545778998</c:v>
                </c:pt>
                <c:pt idx="100">
                  <c:v>30.661769545778998</c:v>
                </c:pt>
                <c:pt idx="101">
                  <c:v>31.183625502498401</c:v>
                </c:pt>
                <c:pt idx="102">
                  <c:v>31.183625502498401</c:v>
                </c:pt>
                <c:pt idx="103">
                  <c:v>31.4913867077431</c:v>
                </c:pt>
                <c:pt idx="104">
                  <c:v>31.4913867077431</c:v>
                </c:pt>
                <c:pt idx="105">
                  <c:v>32.781307585377697</c:v>
                </c:pt>
                <c:pt idx="106">
                  <c:v>32.781307585377697</c:v>
                </c:pt>
                <c:pt idx="107">
                  <c:v>33.311192095277399</c:v>
                </c:pt>
                <c:pt idx="108">
                  <c:v>33.311192095277399</c:v>
                </c:pt>
                <c:pt idx="109">
                  <c:v>35.238044858549003</c:v>
                </c:pt>
                <c:pt idx="110">
                  <c:v>35.238044858549003</c:v>
                </c:pt>
                <c:pt idx="111">
                  <c:v>37.1648976218206</c:v>
                </c:pt>
                <c:pt idx="112">
                  <c:v>37.1648976218206</c:v>
                </c:pt>
                <c:pt idx="113">
                  <c:v>37.807181876244499</c:v>
                </c:pt>
                <c:pt idx="114">
                  <c:v>37.807181876244499</c:v>
                </c:pt>
                <c:pt idx="115">
                  <c:v>43.587740166059199</c:v>
                </c:pt>
                <c:pt idx="116">
                  <c:v>43.587740166059199</c:v>
                </c:pt>
                <c:pt idx="117">
                  <c:v>44.872308674907003</c:v>
                </c:pt>
                <c:pt idx="118">
                  <c:v>44.872308674907003</c:v>
                </c:pt>
                <c:pt idx="119">
                  <c:v>45.514592929330803</c:v>
                </c:pt>
                <c:pt idx="120">
                  <c:v>45.514592929330803</c:v>
                </c:pt>
                <c:pt idx="121">
                  <c:v>46.134575647142803</c:v>
                </c:pt>
                <c:pt idx="122">
                  <c:v>46.134575647142803</c:v>
                </c:pt>
                <c:pt idx="123">
                  <c:v>52.5797197279934</c:v>
                </c:pt>
                <c:pt idx="124">
                  <c:v>52.5797197279934</c:v>
                </c:pt>
                <c:pt idx="125">
                  <c:v>53.222003982417199</c:v>
                </c:pt>
                <c:pt idx="126">
                  <c:v>53.222003982417199</c:v>
                </c:pt>
                <c:pt idx="127">
                  <c:v>57.322300785212398</c:v>
                </c:pt>
                <c:pt idx="128">
                  <c:v>57.322300785212398</c:v>
                </c:pt>
                <c:pt idx="129">
                  <c:v>59.644846526655897</c:v>
                </c:pt>
                <c:pt idx="130">
                  <c:v>59.644846526655897</c:v>
                </c:pt>
                <c:pt idx="131">
                  <c:v>61.727810046210998</c:v>
                </c:pt>
                <c:pt idx="132">
                  <c:v>61.727810046210998</c:v>
                </c:pt>
                <c:pt idx="133">
                  <c:v>62.294269076154301</c:v>
                </c:pt>
                <c:pt idx="134">
                  <c:v>62.294269076154301</c:v>
                </c:pt>
                <c:pt idx="135">
                  <c:v>66.180818683889598</c:v>
                </c:pt>
                <c:pt idx="136">
                  <c:v>66.180818683889598</c:v>
                </c:pt>
                <c:pt idx="137">
                  <c:v>66.823102938313497</c:v>
                </c:pt>
                <c:pt idx="138">
                  <c:v>66.823102938313497</c:v>
                </c:pt>
              </c:numCache>
            </c:numRef>
          </c:xVal>
          <c:yVal>
            <c:numRef>
              <c:f>'Guyot Algorithm'!$AX$7:$AX$145</c:f>
              <c:numCache>
                <c:formatCode>0.000</c:formatCode>
                <c:ptCount val="139"/>
                <c:pt idx="0" formatCode="General">
                  <c:v>1</c:v>
                </c:pt>
                <c:pt idx="1">
                  <c:v>1</c:v>
                </c:pt>
                <c:pt idx="2">
                  <c:v>0.97333333333333338</c:v>
                </c:pt>
                <c:pt idx="3">
                  <c:v>0.97333333333333338</c:v>
                </c:pt>
                <c:pt idx="4">
                  <c:v>0.95333333333333337</c:v>
                </c:pt>
                <c:pt idx="5">
                  <c:v>0.95333333333333337</c:v>
                </c:pt>
                <c:pt idx="6">
                  <c:v>0.92666666666666664</c:v>
                </c:pt>
                <c:pt idx="7">
                  <c:v>0.92666666666666664</c:v>
                </c:pt>
                <c:pt idx="8">
                  <c:v>0.90666666666666662</c:v>
                </c:pt>
                <c:pt idx="9">
                  <c:v>0.90666666666666662</c:v>
                </c:pt>
                <c:pt idx="10">
                  <c:v>0.88651851851851848</c:v>
                </c:pt>
                <c:pt idx="11">
                  <c:v>0.88651851851851848</c:v>
                </c:pt>
                <c:pt idx="12">
                  <c:v>0.85965432098765426</c:v>
                </c:pt>
                <c:pt idx="13">
                  <c:v>0.85965432098765426</c:v>
                </c:pt>
                <c:pt idx="14">
                  <c:v>0.83950617283950613</c:v>
                </c:pt>
                <c:pt idx="15">
                  <c:v>0.83950617283950613</c:v>
                </c:pt>
                <c:pt idx="16">
                  <c:v>0.82607407407407407</c:v>
                </c:pt>
                <c:pt idx="17">
                  <c:v>0.82607407407407407</c:v>
                </c:pt>
                <c:pt idx="18">
                  <c:v>0.81253187613843347</c:v>
                </c:pt>
                <c:pt idx="19">
                  <c:v>0.81253187613843347</c:v>
                </c:pt>
                <c:pt idx="20">
                  <c:v>0.78544748026715239</c:v>
                </c:pt>
                <c:pt idx="21">
                  <c:v>0.78544748026715239</c:v>
                </c:pt>
                <c:pt idx="22">
                  <c:v>0.77190528233151179</c:v>
                </c:pt>
                <c:pt idx="23">
                  <c:v>0.77190528233151179</c:v>
                </c:pt>
                <c:pt idx="24">
                  <c:v>0.75159198542805095</c:v>
                </c:pt>
                <c:pt idx="25">
                  <c:v>0.75159198542805095</c:v>
                </c:pt>
                <c:pt idx="26">
                  <c:v>0.7312786885245901</c:v>
                </c:pt>
                <c:pt idx="27">
                  <c:v>0.7312786885245901</c:v>
                </c:pt>
                <c:pt idx="28">
                  <c:v>0.71096539162112926</c:v>
                </c:pt>
                <c:pt idx="29">
                  <c:v>0.71096539162112926</c:v>
                </c:pt>
                <c:pt idx="30">
                  <c:v>0.69065209471766842</c:v>
                </c:pt>
                <c:pt idx="31">
                  <c:v>0.69065209471766842</c:v>
                </c:pt>
                <c:pt idx="32">
                  <c:v>0.68388099574984818</c:v>
                </c:pt>
                <c:pt idx="33">
                  <c:v>0.68388099574984818</c:v>
                </c:pt>
                <c:pt idx="34">
                  <c:v>0.66356769884638733</c:v>
                </c:pt>
                <c:pt idx="35">
                  <c:v>0.66356769884638733</c:v>
                </c:pt>
                <c:pt idx="36">
                  <c:v>0.65002550091074673</c:v>
                </c:pt>
                <c:pt idx="37">
                  <c:v>0.65002550091074673</c:v>
                </c:pt>
                <c:pt idx="38">
                  <c:v>0.62971220400728589</c:v>
                </c:pt>
                <c:pt idx="39">
                  <c:v>0.62971220400728589</c:v>
                </c:pt>
                <c:pt idx="40">
                  <c:v>0.62294110503946565</c:v>
                </c:pt>
                <c:pt idx="41">
                  <c:v>0.62294110503946565</c:v>
                </c:pt>
                <c:pt idx="42">
                  <c:v>0.60939890710382505</c:v>
                </c:pt>
                <c:pt idx="43">
                  <c:v>0.60939890710382505</c:v>
                </c:pt>
                <c:pt idx="44">
                  <c:v>0.58908561020036421</c:v>
                </c:pt>
                <c:pt idx="45">
                  <c:v>0.58908561020036421</c:v>
                </c:pt>
                <c:pt idx="46">
                  <c:v>0.57554341226472372</c:v>
                </c:pt>
                <c:pt idx="47">
                  <c:v>0.57554341226472372</c:v>
                </c:pt>
                <c:pt idx="48">
                  <c:v>0.56877231329690348</c:v>
                </c:pt>
                <c:pt idx="49">
                  <c:v>0.56877231329690348</c:v>
                </c:pt>
                <c:pt idx="50">
                  <c:v>0.55523011536126288</c:v>
                </c:pt>
                <c:pt idx="51">
                  <c:v>0.55523011536126288</c:v>
                </c:pt>
                <c:pt idx="52">
                  <c:v>0.54168791742562228</c:v>
                </c:pt>
                <c:pt idx="53">
                  <c:v>0.54168791742562228</c:v>
                </c:pt>
                <c:pt idx="54">
                  <c:v>0.52814571948998168</c:v>
                </c:pt>
                <c:pt idx="55">
                  <c:v>0.52814571948998168</c:v>
                </c:pt>
                <c:pt idx="56">
                  <c:v>0.51442764885387826</c:v>
                </c:pt>
                <c:pt idx="57">
                  <c:v>0.51442764885387826</c:v>
                </c:pt>
                <c:pt idx="58">
                  <c:v>0.50756861353582661</c:v>
                </c:pt>
                <c:pt idx="59">
                  <c:v>0.50756861353582661</c:v>
                </c:pt>
                <c:pt idx="60">
                  <c:v>0.49366262412388617</c:v>
                </c:pt>
                <c:pt idx="61">
                  <c:v>0.49366262412388617</c:v>
                </c:pt>
                <c:pt idx="62">
                  <c:v>0.47955797772034658</c:v>
                </c:pt>
                <c:pt idx="63">
                  <c:v>0.47955797772034658</c:v>
                </c:pt>
                <c:pt idx="64">
                  <c:v>0.47250565451857679</c:v>
                </c:pt>
                <c:pt idx="65">
                  <c:v>0.47250565451857679</c:v>
                </c:pt>
                <c:pt idx="66">
                  <c:v>0.46545333131680694</c:v>
                </c:pt>
                <c:pt idx="67">
                  <c:v>0.46545333131680694</c:v>
                </c:pt>
                <c:pt idx="68">
                  <c:v>0.45134868491326735</c:v>
                </c:pt>
                <c:pt idx="69">
                  <c:v>0.45134868491326735</c:v>
                </c:pt>
                <c:pt idx="70">
                  <c:v>0.43724403850972776</c:v>
                </c:pt>
                <c:pt idx="71">
                  <c:v>0.43724403850972776</c:v>
                </c:pt>
                <c:pt idx="72">
                  <c:v>0.43019171530795797</c:v>
                </c:pt>
                <c:pt idx="73">
                  <c:v>0.43019171530795797</c:v>
                </c:pt>
                <c:pt idx="74">
                  <c:v>0.42313939210618817</c:v>
                </c:pt>
                <c:pt idx="75">
                  <c:v>0.42313939210618817</c:v>
                </c:pt>
                <c:pt idx="76">
                  <c:v>0.41608706890441832</c:v>
                </c:pt>
                <c:pt idx="77">
                  <c:v>0.41608706890441832</c:v>
                </c:pt>
                <c:pt idx="78">
                  <c:v>0.40903474570264853</c:v>
                </c:pt>
                <c:pt idx="79">
                  <c:v>0.40903474570264853</c:v>
                </c:pt>
                <c:pt idx="80">
                  <c:v>0.40198242250087873</c:v>
                </c:pt>
                <c:pt idx="81">
                  <c:v>0.40198242250087873</c:v>
                </c:pt>
                <c:pt idx="82">
                  <c:v>0.38787777609733914</c:v>
                </c:pt>
                <c:pt idx="83">
                  <c:v>0.38787777609733914</c:v>
                </c:pt>
                <c:pt idx="84">
                  <c:v>0.38082545289556935</c:v>
                </c:pt>
                <c:pt idx="85">
                  <c:v>0.38082545289556935</c:v>
                </c:pt>
                <c:pt idx="86">
                  <c:v>0.36672080649202971</c:v>
                </c:pt>
                <c:pt idx="87">
                  <c:v>0.36672080649202971</c:v>
                </c:pt>
                <c:pt idx="88">
                  <c:v>0.35966848329025991</c:v>
                </c:pt>
                <c:pt idx="89">
                  <c:v>0.35966848329025991</c:v>
                </c:pt>
                <c:pt idx="90">
                  <c:v>0.35261616008849012</c:v>
                </c:pt>
                <c:pt idx="91">
                  <c:v>0.35261616008849012</c:v>
                </c:pt>
                <c:pt idx="92">
                  <c:v>0.34556383688672032</c:v>
                </c:pt>
                <c:pt idx="93">
                  <c:v>0.34556383688672032</c:v>
                </c:pt>
                <c:pt idx="94">
                  <c:v>0.33851151368495053</c:v>
                </c:pt>
                <c:pt idx="95">
                  <c:v>0.33851151368495053</c:v>
                </c:pt>
                <c:pt idx="96">
                  <c:v>0.33145919048318073</c:v>
                </c:pt>
                <c:pt idx="97">
                  <c:v>0.33145919048318073</c:v>
                </c:pt>
                <c:pt idx="98">
                  <c:v>0.32440686728141094</c:v>
                </c:pt>
                <c:pt idx="99">
                  <c:v>0.32440686728141094</c:v>
                </c:pt>
                <c:pt idx="100">
                  <c:v>0.31735454407964114</c:v>
                </c:pt>
                <c:pt idx="101">
                  <c:v>0.31735454407964114</c:v>
                </c:pt>
                <c:pt idx="102">
                  <c:v>0.30324989767610155</c:v>
                </c:pt>
                <c:pt idx="103">
                  <c:v>0.30324989767610155</c:v>
                </c:pt>
                <c:pt idx="104">
                  <c:v>0.28914525127256197</c:v>
                </c:pt>
                <c:pt idx="105">
                  <c:v>0.28914525127256197</c:v>
                </c:pt>
                <c:pt idx="106">
                  <c:v>0.28209292807079217</c:v>
                </c:pt>
                <c:pt idx="107">
                  <c:v>0.28209292807079217</c:v>
                </c:pt>
                <c:pt idx="108">
                  <c:v>0.26798828166725253</c:v>
                </c:pt>
                <c:pt idx="109">
                  <c:v>0.26798828166725253</c:v>
                </c:pt>
                <c:pt idx="110">
                  <c:v>0.26093595846548273</c:v>
                </c:pt>
                <c:pt idx="111">
                  <c:v>0.26093595846548273</c:v>
                </c:pt>
                <c:pt idx="112">
                  <c:v>0.25388363526371294</c:v>
                </c:pt>
                <c:pt idx="113">
                  <c:v>0.25388363526371294</c:v>
                </c:pt>
                <c:pt idx="114">
                  <c:v>0.24683131206194314</c:v>
                </c:pt>
                <c:pt idx="115">
                  <c:v>0.24683131206194314</c:v>
                </c:pt>
                <c:pt idx="116">
                  <c:v>0.23977898886017335</c:v>
                </c:pt>
                <c:pt idx="117">
                  <c:v>0.23977898886017335</c:v>
                </c:pt>
                <c:pt idx="118">
                  <c:v>0.23272666565840355</c:v>
                </c:pt>
                <c:pt idx="119">
                  <c:v>0.23272666565840355</c:v>
                </c:pt>
                <c:pt idx="120">
                  <c:v>0.22567434245663376</c:v>
                </c:pt>
                <c:pt idx="121">
                  <c:v>0.22567434245663376</c:v>
                </c:pt>
                <c:pt idx="122">
                  <c:v>0.21156969605309414</c:v>
                </c:pt>
                <c:pt idx="123">
                  <c:v>0.21156969605309414</c:v>
                </c:pt>
                <c:pt idx="124">
                  <c:v>0.20451737285132435</c:v>
                </c:pt>
                <c:pt idx="125">
                  <c:v>0.20451737285132435</c:v>
                </c:pt>
                <c:pt idx="126">
                  <c:v>0.19746504964955455</c:v>
                </c:pt>
                <c:pt idx="127">
                  <c:v>0.19746504964955455</c:v>
                </c:pt>
                <c:pt idx="128">
                  <c:v>0.19041272644778476</c:v>
                </c:pt>
                <c:pt idx="129">
                  <c:v>0.19041272644778476</c:v>
                </c:pt>
                <c:pt idx="130">
                  <c:v>0.18336040324601494</c:v>
                </c:pt>
                <c:pt idx="131">
                  <c:v>0.18336040324601494</c:v>
                </c:pt>
                <c:pt idx="132">
                  <c:v>0.17630808004424514</c:v>
                </c:pt>
                <c:pt idx="133">
                  <c:v>0.17630808004424514</c:v>
                </c:pt>
                <c:pt idx="134">
                  <c:v>0.16925575684247532</c:v>
                </c:pt>
                <c:pt idx="135">
                  <c:v>0.16925575684247532</c:v>
                </c:pt>
                <c:pt idx="136">
                  <c:v>0.16220343364070552</c:v>
                </c:pt>
                <c:pt idx="137">
                  <c:v>0.16220343364070552</c:v>
                </c:pt>
                <c:pt idx="138">
                  <c:v>0.15515111043893573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7D-443F-A05A-1C70D17F59E9}"/>
            </c:ext>
          </c:extLst>
        </c:ser>
        <c:ser>
          <c:idx val="3"/>
          <c:order val="2"/>
          <c:tx>
            <c:v>AtRisk2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3A242F-5796-474B-8FA8-CCFBC192CD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7D-443F-A05A-1C70D17F59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B30ED9-BD89-4479-89BF-5545671670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7D-443F-A05A-1C70D17F59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0BB6D5-0C83-4FCC-921C-BA39AF2DC1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7D-443F-A05A-1C70D17F59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702CB9-A815-4625-8228-835DAB9820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7D-443F-A05A-1C70D17F59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7692D7-E5F5-43BD-A319-52BE28B823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7D-443F-A05A-1C70D17F59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7D94DB-14EA-4BF2-85ED-08EFEE193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7D-443F-A05A-1C70D17F59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F05332-0EA8-4183-98DA-C4BF4D99B6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7D-443F-A05A-1C70D17F59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1F1B37-AB4D-40CC-B571-73FA977AB2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7D-443F-A05A-1C70D17F59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3ADAF4-D27F-4B62-B9C2-0B53097764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7D-443F-A05A-1C70D17F59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8D3886-D671-4E0F-8099-95EB28F8D2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7D-443F-A05A-1C70D17F59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FE95D3-942F-4C5C-9C15-9F8CF70647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7D-443F-A05A-1C70D17F59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6835E7-9DF9-4B75-A5CC-EB212AA072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7D-443F-A05A-1C70D17F59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68B4E1-C4DA-4E69-9849-7F79150316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7D-443F-A05A-1C70D17F5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6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'Guyot Algorithm'!$AY$7:$AY$19</c:f>
              <c:numCache>
                <c:formatCode>General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</c:numCache>
            </c:numRef>
          </c:xVal>
          <c:yVal>
            <c:numRef>
              <c:f>'Guyot Algorithm'!$BA$7:$BA$19</c:f>
              <c:numCache>
                <c:formatCode>General</c:formatCode>
                <c:ptCount val="13"/>
                <c:pt idx="0">
                  <c:v>-0.02</c:v>
                </c:pt>
                <c:pt idx="1">
                  <c:v>-0.02</c:v>
                </c:pt>
                <c:pt idx="2">
                  <c:v>-0.02</c:v>
                </c:pt>
                <c:pt idx="3">
                  <c:v>-0.02</c:v>
                </c:pt>
                <c:pt idx="4">
                  <c:v>-0.02</c:v>
                </c:pt>
                <c:pt idx="5">
                  <c:v>-0.02</c:v>
                </c:pt>
                <c:pt idx="6">
                  <c:v>-0.02</c:v>
                </c:pt>
                <c:pt idx="7">
                  <c:v>-0.02</c:v>
                </c:pt>
                <c:pt idx="8">
                  <c:v>-0.02</c:v>
                </c:pt>
                <c:pt idx="9">
                  <c:v>-0.02</c:v>
                </c:pt>
                <c:pt idx="10">
                  <c:v>-0.02</c:v>
                </c:pt>
                <c:pt idx="11">
                  <c:v>-0.02</c:v>
                </c:pt>
                <c:pt idx="12">
                  <c:v>-0.02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'Guyot Algorithm'!$AZ$7:$AZ$19</c15:f>
                <c15:dlblRangeCache>
                  <c:ptCount val="13"/>
                  <c:pt idx="0">
                    <c:v>151</c:v>
                  </c:pt>
                  <c:pt idx="1">
                    <c:v>108</c:v>
                  </c:pt>
                  <c:pt idx="2">
                    <c:v>80</c:v>
                  </c:pt>
                  <c:pt idx="3">
                    <c:v>61</c:v>
                  </c:pt>
                  <c:pt idx="4">
                    <c:v>48</c:v>
                  </c:pt>
                  <c:pt idx="5">
                    <c:v>44</c:v>
                  </c:pt>
                  <c:pt idx="6">
                    <c:v>35</c:v>
                  </c:pt>
                  <c:pt idx="7">
                    <c:v>33</c:v>
                  </c:pt>
                  <c:pt idx="8">
                    <c:v>28</c:v>
                  </c:pt>
                  <c:pt idx="9">
                    <c:v>26</c:v>
                  </c:pt>
                  <c:pt idx="10">
                    <c:v>13</c:v>
                  </c:pt>
                  <c:pt idx="11">
                    <c:v>3</c:v>
                  </c:pt>
                  <c:pt idx="12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467D-443F-A05A-1C70D17F59E9}"/>
            </c:ext>
          </c:extLst>
        </c:ser>
        <c:ser>
          <c:idx val="1"/>
          <c:order val="3"/>
          <c:tx>
            <c:v>AtRisk1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F05FE0-1AFF-4AA7-A0DB-DFD5CCE403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7D-443F-A05A-1C70D17F59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33AF10-3076-4AF7-A3E0-D854C921EA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7D-443F-A05A-1C70D17F59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CBA704-B09A-4D44-AB68-6ED069EDCB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7D-443F-A05A-1C70D17F59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ECD357-13C1-458D-A6C5-736808C7CE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7D-443F-A05A-1C70D17F59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126A2A-BF23-46C5-9EE8-4396F59435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7D-443F-A05A-1C70D17F59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5C2355-77F5-45CE-9D26-56EB7495BD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7D-443F-A05A-1C70D17F59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81F6CF-CEB4-46A3-BD9F-CA2ECF78F0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7D-443F-A05A-1C70D17F59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9AEF17-B104-46E6-8BDB-2812EE738B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7D-443F-A05A-1C70D17F59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5597E0-93E6-469F-9766-67E7C2C264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7D-443F-A05A-1C70D17F59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507901-7568-4252-AD76-AD586F0578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7D-443F-A05A-1C70D17F59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E205D8-C164-4FBE-A7A3-E40930D592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7D-443F-A05A-1C70D17F59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DB9B2E-02DC-4C44-A9E4-775CFC918D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7D-443F-A05A-1C70D17F59E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67D-443F-A05A-1C70D17F5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66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'Guyot Algorithm'!$AS$7:$AS$19</c:f>
              <c:numCache>
                <c:formatCode>General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</c:numCache>
            </c:numRef>
          </c:xVal>
          <c:yVal>
            <c:numRef>
              <c:f>'Guyot Algorithm'!$AU$7:$AU$19</c:f>
              <c:numCache>
                <c:formatCode>General</c:formatCode>
                <c:ptCount val="1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'Guyot Algorithm'!$AT$7:$AT$19</c15:f>
                <c15:dlblRangeCache>
                  <c:ptCount val="13"/>
                  <c:pt idx="0">
                    <c:v>154</c:v>
                  </c:pt>
                  <c:pt idx="1">
                    <c:v>121</c:v>
                  </c:pt>
                  <c:pt idx="2">
                    <c:v>106</c:v>
                  </c:pt>
                  <c:pt idx="3">
                    <c:v>89</c:v>
                  </c:pt>
                  <c:pt idx="4">
                    <c:v>78</c:v>
                  </c:pt>
                  <c:pt idx="5">
                    <c:v>73</c:v>
                  </c:pt>
                  <c:pt idx="6">
                    <c:v>66</c:v>
                  </c:pt>
                  <c:pt idx="7">
                    <c:v>62</c:v>
                  </c:pt>
                  <c:pt idx="8">
                    <c:v>54</c:v>
                  </c:pt>
                  <c:pt idx="9">
                    <c:v>51</c:v>
                  </c:pt>
                  <c:pt idx="10">
                    <c:v>20</c:v>
                  </c:pt>
                  <c:pt idx="11">
                    <c:v>0</c:v>
                  </c:pt>
                  <c:pt idx="12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467D-443F-A05A-1C70D17F59E9}"/>
            </c:ext>
          </c:extLst>
        </c:ser>
        <c:ser>
          <c:idx val="4"/>
          <c:order val="4"/>
          <c:tx>
            <c:v>Pembro 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'Guyot Algorithm'!$CJ$7:$CJ$140</c:f>
              <c:numCache>
                <c:formatCode>0.0000</c:formatCode>
                <c:ptCount val="134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0.1613</c:v>
                </c:pt>
                <c:pt idx="4">
                  <c:v>0.1613</c:v>
                </c:pt>
                <c:pt idx="5">
                  <c:v>0.4173</c:v>
                </c:pt>
                <c:pt idx="6">
                  <c:v>0.4173</c:v>
                </c:pt>
                <c:pt idx="7">
                  <c:v>0.67520000000000002</c:v>
                </c:pt>
                <c:pt idx="8">
                  <c:v>0.67520000000000002</c:v>
                </c:pt>
                <c:pt idx="9">
                  <c:v>1.0624</c:v>
                </c:pt>
                <c:pt idx="10">
                  <c:v>1.0624</c:v>
                </c:pt>
                <c:pt idx="11">
                  <c:v>1.6738</c:v>
                </c:pt>
                <c:pt idx="12">
                  <c:v>1.6738</c:v>
                </c:pt>
                <c:pt idx="13">
                  <c:v>1.8371999999999999</c:v>
                </c:pt>
                <c:pt idx="14">
                  <c:v>1.8371999999999999</c:v>
                </c:pt>
                <c:pt idx="15">
                  <c:v>2.0585</c:v>
                </c:pt>
                <c:pt idx="16">
                  <c:v>2.0585</c:v>
                </c:pt>
                <c:pt idx="17">
                  <c:v>2.6943000000000001</c:v>
                </c:pt>
                <c:pt idx="18">
                  <c:v>2.6943000000000001</c:v>
                </c:pt>
                <c:pt idx="19">
                  <c:v>3.6063999999999998</c:v>
                </c:pt>
                <c:pt idx="20">
                  <c:v>3.6063999999999998</c:v>
                </c:pt>
                <c:pt idx="21">
                  <c:v>4.1348000000000003</c:v>
                </c:pt>
                <c:pt idx="22">
                  <c:v>4.1348000000000003</c:v>
                </c:pt>
                <c:pt idx="23">
                  <c:v>4.3597000000000001</c:v>
                </c:pt>
                <c:pt idx="24">
                  <c:v>4.3597000000000001</c:v>
                </c:pt>
                <c:pt idx="25">
                  <c:v>4.9801000000000002</c:v>
                </c:pt>
                <c:pt idx="26">
                  <c:v>4.9801000000000002</c:v>
                </c:pt>
                <c:pt idx="27">
                  <c:v>5.3025000000000002</c:v>
                </c:pt>
                <c:pt idx="28">
                  <c:v>5.3025000000000002</c:v>
                </c:pt>
                <c:pt idx="29">
                  <c:v>5.6322999999999999</c:v>
                </c:pt>
                <c:pt idx="30">
                  <c:v>5.6322999999999999</c:v>
                </c:pt>
                <c:pt idx="31">
                  <c:v>5.9729000000000001</c:v>
                </c:pt>
                <c:pt idx="32">
                  <c:v>5.9729000000000001</c:v>
                </c:pt>
                <c:pt idx="33">
                  <c:v>6.6115000000000004</c:v>
                </c:pt>
                <c:pt idx="34">
                  <c:v>6.6115000000000004</c:v>
                </c:pt>
                <c:pt idx="35">
                  <c:v>7.15</c:v>
                </c:pt>
                <c:pt idx="36">
                  <c:v>7.15</c:v>
                </c:pt>
                <c:pt idx="37">
                  <c:v>7.8342999999999998</c:v>
                </c:pt>
                <c:pt idx="38">
                  <c:v>7.8342999999999998</c:v>
                </c:pt>
                <c:pt idx="39">
                  <c:v>8.4863999999999997</c:v>
                </c:pt>
                <c:pt idx="40">
                  <c:v>8.4863999999999997</c:v>
                </c:pt>
                <c:pt idx="41">
                  <c:v>9.1518999999999995</c:v>
                </c:pt>
                <c:pt idx="42">
                  <c:v>9.1518999999999995</c:v>
                </c:pt>
                <c:pt idx="43">
                  <c:v>9.6118000000000006</c:v>
                </c:pt>
                <c:pt idx="44">
                  <c:v>9.6118000000000006</c:v>
                </c:pt>
                <c:pt idx="45">
                  <c:v>10.2804</c:v>
                </c:pt>
                <c:pt idx="46">
                  <c:v>10.2804</c:v>
                </c:pt>
                <c:pt idx="47">
                  <c:v>10.932</c:v>
                </c:pt>
                <c:pt idx="48">
                  <c:v>10.932</c:v>
                </c:pt>
                <c:pt idx="49">
                  <c:v>11.584</c:v>
                </c:pt>
                <c:pt idx="50">
                  <c:v>11.584</c:v>
                </c:pt>
                <c:pt idx="51">
                  <c:v>12.598100000000001</c:v>
                </c:pt>
                <c:pt idx="52">
                  <c:v>12.598100000000001</c:v>
                </c:pt>
                <c:pt idx="53">
                  <c:v>13.297000000000001</c:v>
                </c:pt>
                <c:pt idx="54">
                  <c:v>13.297000000000001</c:v>
                </c:pt>
                <c:pt idx="55">
                  <c:v>13.9536</c:v>
                </c:pt>
                <c:pt idx="56">
                  <c:v>13.9536</c:v>
                </c:pt>
                <c:pt idx="57">
                  <c:v>14.3531</c:v>
                </c:pt>
                <c:pt idx="58">
                  <c:v>14.3531</c:v>
                </c:pt>
                <c:pt idx="59">
                  <c:v>15.009600000000001</c:v>
                </c:pt>
                <c:pt idx="60">
                  <c:v>15.009600000000001</c:v>
                </c:pt>
                <c:pt idx="61">
                  <c:v>15.6065</c:v>
                </c:pt>
                <c:pt idx="62">
                  <c:v>15.6065</c:v>
                </c:pt>
                <c:pt idx="63">
                  <c:v>15.9884</c:v>
                </c:pt>
                <c:pt idx="64">
                  <c:v>15.9884</c:v>
                </c:pt>
                <c:pt idx="65">
                  <c:v>17.266200000000001</c:v>
                </c:pt>
                <c:pt idx="66">
                  <c:v>17.266200000000001</c:v>
                </c:pt>
                <c:pt idx="67">
                  <c:v>17.8626</c:v>
                </c:pt>
                <c:pt idx="68">
                  <c:v>17.8626</c:v>
                </c:pt>
                <c:pt idx="69">
                  <c:v>18.5701</c:v>
                </c:pt>
                <c:pt idx="70">
                  <c:v>18.5701</c:v>
                </c:pt>
                <c:pt idx="71">
                  <c:v>19.135000000000002</c:v>
                </c:pt>
                <c:pt idx="72">
                  <c:v>19.135000000000002</c:v>
                </c:pt>
                <c:pt idx="73">
                  <c:v>20.470099999999999</c:v>
                </c:pt>
                <c:pt idx="74">
                  <c:v>20.470099999999999</c:v>
                </c:pt>
                <c:pt idx="75">
                  <c:v>21.0184</c:v>
                </c:pt>
                <c:pt idx="76">
                  <c:v>21.0184</c:v>
                </c:pt>
                <c:pt idx="77">
                  <c:v>21.692599999999999</c:v>
                </c:pt>
                <c:pt idx="78">
                  <c:v>21.692599999999999</c:v>
                </c:pt>
                <c:pt idx="79">
                  <c:v>22.313199999999998</c:v>
                </c:pt>
                <c:pt idx="80">
                  <c:v>22.313199999999998</c:v>
                </c:pt>
                <c:pt idx="81">
                  <c:v>23.013300000000001</c:v>
                </c:pt>
                <c:pt idx="82">
                  <c:v>23.013300000000001</c:v>
                </c:pt>
                <c:pt idx="83">
                  <c:v>23.594000000000001</c:v>
                </c:pt>
                <c:pt idx="84">
                  <c:v>23.594000000000001</c:v>
                </c:pt>
                <c:pt idx="85">
                  <c:v>24.171800000000001</c:v>
                </c:pt>
                <c:pt idx="86">
                  <c:v>24.171800000000001</c:v>
                </c:pt>
                <c:pt idx="87">
                  <c:v>26.070699999999999</c:v>
                </c:pt>
                <c:pt idx="88">
                  <c:v>26.070699999999999</c:v>
                </c:pt>
                <c:pt idx="89">
                  <c:v>29.591999999999999</c:v>
                </c:pt>
                <c:pt idx="90">
                  <c:v>29.591999999999999</c:v>
                </c:pt>
                <c:pt idx="91">
                  <c:v>30.411300000000001</c:v>
                </c:pt>
                <c:pt idx="92">
                  <c:v>30.411300000000001</c:v>
                </c:pt>
                <c:pt idx="93">
                  <c:v>32.366599999999998</c:v>
                </c:pt>
                <c:pt idx="94">
                  <c:v>32.366599999999998</c:v>
                </c:pt>
                <c:pt idx="95">
                  <c:v>34.321800000000003</c:v>
                </c:pt>
                <c:pt idx="96">
                  <c:v>34.321800000000003</c:v>
                </c:pt>
                <c:pt idx="97">
                  <c:v>34.973599999999998</c:v>
                </c:pt>
                <c:pt idx="98">
                  <c:v>34.973599999999998</c:v>
                </c:pt>
                <c:pt idx="99">
                  <c:v>36.323900000000002</c:v>
                </c:pt>
                <c:pt idx="100">
                  <c:v>36.323900000000002</c:v>
                </c:pt>
                <c:pt idx="101">
                  <c:v>37.988300000000002</c:v>
                </c:pt>
                <c:pt idx="102">
                  <c:v>37.988300000000002</c:v>
                </c:pt>
                <c:pt idx="103">
                  <c:v>39.942999999999998</c:v>
                </c:pt>
                <c:pt idx="104">
                  <c:v>39.942999999999998</c:v>
                </c:pt>
                <c:pt idx="105">
                  <c:v>41.246600000000001</c:v>
                </c:pt>
                <c:pt idx="106">
                  <c:v>41.246600000000001</c:v>
                </c:pt>
                <c:pt idx="107">
                  <c:v>41.898699999999998</c:v>
                </c:pt>
                <c:pt idx="108">
                  <c:v>41.898699999999998</c:v>
                </c:pt>
                <c:pt idx="109">
                  <c:v>42.306899999999999</c:v>
                </c:pt>
                <c:pt idx="110">
                  <c:v>42.306899999999999</c:v>
                </c:pt>
                <c:pt idx="111">
                  <c:v>42.958599999999997</c:v>
                </c:pt>
                <c:pt idx="112">
                  <c:v>42.958599999999997</c:v>
                </c:pt>
                <c:pt idx="113">
                  <c:v>43.610500000000002</c:v>
                </c:pt>
                <c:pt idx="114">
                  <c:v>43.610500000000002</c:v>
                </c:pt>
                <c:pt idx="115">
                  <c:v>44.914000000000001</c:v>
                </c:pt>
                <c:pt idx="116">
                  <c:v>44.914000000000001</c:v>
                </c:pt>
                <c:pt idx="117">
                  <c:v>46.869100000000003</c:v>
                </c:pt>
                <c:pt idx="118">
                  <c:v>46.869100000000003</c:v>
                </c:pt>
                <c:pt idx="119">
                  <c:v>47.567999999999998</c:v>
                </c:pt>
                <c:pt idx="120">
                  <c:v>47.567999999999998</c:v>
                </c:pt>
                <c:pt idx="121">
                  <c:v>48.173000000000002</c:v>
                </c:pt>
                <c:pt idx="122">
                  <c:v>48.173000000000002</c:v>
                </c:pt>
                <c:pt idx="123">
                  <c:v>48.824800000000003</c:v>
                </c:pt>
                <c:pt idx="124">
                  <c:v>48.824800000000003</c:v>
                </c:pt>
                <c:pt idx="125">
                  <c:v>53.385899999999999</c:v>
                </c:pt>
                <c:pt idx="126">
                  <c:v>53.385899999999999</c:v>
                </c:pt>
                <c:pt idx="127">
                  <c:v>57.318100000000001</c:v>
                </c:pt>
                <c:pt idx="128">
                  <c:v>57.318100000000001</c:v>
                </c:pt>
                <c:pt idx="129">
                  <c:v>62.756799999999998</c:v>
                </c:pt>
                <c:pt idx="130">
                  <c:v>62.756799999999998</c:v>
                </c:pt>
                <c:pt idx="131">
                  <c:v>65.389899999999997</c:v>
                </c:pt>
              </c:numCache>
            </c:numRef>
          </c:xVal>
          <c:yVal>
            <c:numRef>
              <c:f>'Guyot Algorithm'!$CK$7:$CK$140</c:f>
              <c:numCache>
                <c:formatCode>0.0000</c:formatCode>
                <c:ptCount val="134"/>
                <c:pt idx="0">
                  <c:v>1</c:v>
                </c:pt>
                <c:pt idx="1">
                  <c:v>1</c:v>
                </c:pt>
                <c:pt idx="2">
                  <c:v>0.98701298701298701</c:v>
                </c:pt>
                <c:pt idx="3">
                  <c:v>0.98701298701298701</c:v>
                </c:pt>
                <c:pt idx="4">
                  <c:v>0.96753246753246758</c:v>
                </c:pt>
                <c:pt idx="5">
                  <c:v>0.96753246753246758</c:v>
                </c:pt>
                <c:pt idx="6">
                  <c:v>0.96103896103896114</c:v>
                </c:pt>
                <c:pt idx="7">
                  <c:v>0.96103896103896114</c:v>
                </c:pt>
                <c:pt idx="8">
                  <c:v>0.94155844155844159</c:v>
                </c:pt>
                <c:pt idx="9">
                  <c:v>0.94155844155844159</c:v>
                </c:pt>
                <c:pt idx="10">
                  <c:v>0.9285714285714286</c:v>
                </c:pt>
                <c:pt idx="11">
                  <c:v>0.9285714285714286</c:v>
                </c:pt>
                <c:pt idx="12">
                  <c:v>0.92207792207792216</c:v>
                </c:pt>
                <c:pt idx="13">
                  <c:v>0.92207792207792216</c:v>
                </c:pt>
                <c:pt idx="14">
                  <c:v>0.90259740259740273</c:v>
                </c:pt>
                <c:pt idx="15">
                  <c:v>0.90259740259740273</c:v>
                </c:pt>
                <c:pt idx="16">
                  <c:v>0.89610389610389629</c:v>
                </c:pt>
                <c:pt idx="17">
                  <c:v>0.89610389610389629</c:v>
                </c:pt>
                <c:pt idx="18">
                  <c:v>0.8831168831168833</c:v>
                </c:pt>
                <c:pt idx="19">
                  <c:v>0.8831168831168833</c:v>
                </c:pt>
                <c:pt idx="20">
                  <c:v>0.84415584415584433</c:v>
                </c:pt>
                <c:pt idx="21">
                  <c:v>0.84415584415584433</c:v>
                </c:pt>
                <c:pt idx="22">
                  <c:v>0.83116883116883133</c:v>
                </c:pt>
                <c:pt idx="23">
                  <c:v>0.83116883116883133</c:v>
                </c:pt>
                <c:pt idx="24">
                  <c:v>0.8116883116883119</c:v>
                </c:pt>
                <c:pt idx="25">
                  <c:v>0.8116883116883119</c:v>
                </c:pt>
                <c:pt idx="26">
                  <c:v>0.80519480519480535</c:v>
                </c:pt>
                <c:pt idx="27">
                  <c:v>0.80519480519480535</c:v>
                </c:pt>
                <c:pt idx="28">
                  <c:v>0.79870129870129891</c:v>
                </c:pt>
                <c:pt idx="29">
                  <c:v>0.79870129870129891</c:v>
                </c:pt>
                <c:pt idx="30">
                  <c:v>0.79220779220779236</c:v>
                </c:pt>
                <c:pt idx="31">
                  <c:v>0.79220779220779236</c:v>
                </c:pt>
                <c:pt idx="32">
                  <c:v>0.77272727272727282</c:v>
                </c:pt>
                <c:pt idx="33">
                  <c:v>0.77272727272727282</c:v>
                </c:pt>
                <c:pt idx="34">
                  <c:v>0.76623376623376638</c:v>
                </c:pt>
                <c:pt idx="35">
                  <c:v>0.76623376623376638</c:v>
                </c:pt>
                <c:pt idx="36">
                  <c:v>0.75324675324675339</c:v>
                </c:pt>
                <c:pt idx="37">
                  <c:v>0.75324675324675339</c:v>
                </c:pt>
                <c:pt idx="38">
                  <c:v>0.74675324675324695</c:v>
                </c:pt>
                <c:pt idx="39">
                  <c:v>0.74675324675324695</c:v>
                </c:pt>
                <c:pt idx="40">
                  <c:v>0.74025974025974051</c:v>
                </c:pt>
                <c:pt idx="41">
                  <c:v>0.74025974025974051</c:v>
                </c:pt>
                <c:pt idx="42">
                  <c:v>0.73370876910699945</c:v>
                </c:pt>
                <c:pt idx="43">
                  <c:v>0.73370876910699945</c:v>
                </c:pt>
                <c:pt idx="44">
                  <c:v>0.71405585564877627</c:v>
                </c:pt>
                <c:pt idx="45">
                  <c:v>0.71405585564877627</c:v>
                </c:pt>
                <c:pt idx="46">
                  <c:v>0.70750488449603521</c:v>
                </c:pt>
                <c:pt idx="47">
                  <c:v>0.70750488449603521</c:v>
                </c:pt>
                <c:pt idx="48">
                  <c:v>0.70095391334329415</c:v>
                </c:pt>
                <c:pt idx="49">
                  <c:v>0.70095391334329415</c:v>
                </c:pt>
                <c:pt idx="50">
                  <c:v>0.6944029421905531</c:v>
                </c:pt>
                <c:pt idx="51">
                  <c:v>0.6944029421905531</c:v>
                </c:pt>
                <c:pt idx="52">
                  <c:v>0.6616480864268478</c:v>
                </c:pt>
                <c:pt idx="53">
                  <c:v>0.6616480864268478</c:v>
                </c:pt>
                <c:pt idx="54">
                  <c:v>0.65509711527410674</c:v>
                </c:pt>
                <c:pt idx="55">
                  <c:v>0.65509711527410674</c:v>
                </c:pt>
                <c:pt idx="56">
                  <c:v>0.64186283011705403</c:v>
                </c:pt>
                <c:pt idx="57">
                  <c:v>0.64186283011705403</c:v>
                </c:pt>
                <c:pt idx="58">
                  <c:v>0.62201140238147501</c:v>
                </c:pt>
                <c:pt idx="59">
                  <c:v>0.62201140238147501</c:v>
                </c:pt>
                <c:pt idx="60">
                  <c:v>0.61539425980294871</c:v>
                </c:pt>
                <c:pt idx="61">
                  <c:v>0.61539425980294871</c:v>
                </c:pt>
                <c:pt idx="62">
                  <c:v>0.60201612372027591</c:v>
                </c:pt>
                <c:pt idx="63">
                  <c:v>0.60201612372027591</c:v>
                </c:pt>
                <c:pt idx="64">
                  <c:v>0.59532705567893951</c:v>
                </c:pt>
                <c:pt idx="65">
                  <c:v>0.59532705567893951</c:v>
                </c:pt>
                <c:pt idx="66">
                  <c:v>0.58856197550076972</c:v>
                </c:pt>
                <c:pt idx="67">
                  <c:v>0.58856197550076972</c:v>
                </c:pt>
                <c:pt idx="68">
                  <c:v>0.58179689532259993</c:v>
                </c:pt>
                <c:pt idx="69">
                  <c:v>0.58179689532259993</c:v>
                </c:pt>
                <c:pt idx="70">
                  <c:v>0.57503181514443014</c:v>
                </c:pt>
                <c:pt idx="71">
                  <c:v>0.57503181514443014</c:v>
                </c:pt>
                <c:pt idx="72">
                  <c:v>0.56150165478809055</c:v>
                </c:pt>
                <c:pt idx="73">
                  <c:v>0.56150165478809055</c:v>
                </c:pt>
                <c:pt idx="74">
                  <c:v>0.55473657460992076</c:v>
                </c:pt>
                <c:pt idx="75">
                  <c:v>0.55473657460992076</c:v>
                </c:pt>
                <c:pt idx="76">
                  <c:v>0.54797149443175097</c:v>
                </c:pt>
                <c:pt idx="77">
                  <c:v>0.54797149443175097</c:v>
                </c:pt>
                <c:pt idx="78">
                  <c:v>0.54120641425358118</c:v>
                </c:pt>
                <c:pt idx="79">
                  <c:v>0.54120641425358118</c:v>
                </c:pt>
                <c:pt idx="80">
                  <c:v>0.53444133407541139</c:v>
                </c:pt>
                <c:pt idx="81">
                  <c:v>0.53444133407541139</c:v>
                </c:pt>
                <c:pt idx="82">
                  <c:v>0.52091117371907181</c:v>
                </c:pt>
                <c:pt idx="83">
                  <c:v>0.52091117371907181</c:v>
                </c:pt>
                <c:pt idx="84">
                  <c:v>0.50738101336273222</c:v>
                </c:pt>
                <c:pt idx="85">
                  <c:v>0.50738101336273222</c:v>
                </c:pt>
                <c:pt idx="86">
                  <c:v>0.50061593318456243</c:v>
                </c:pt>
                <c:pt idx="87">
                  <c:v>0.50061593318456243</c:v>
                </c:pt>
                <c:pt idx="88">
                  <c:v>0.48708577282822296</c:v>
                </c:pt>
                <c:pt idx="89">
                  <c:v>0.48708577282822296</c:v>
                </c:pt>
                <c:pt idx="90">
                  <c:v>0.48032069265005323</c:v>
                </c:pt>
                <c:pt idx="91">
                  <c:v>0.48032069265005323</c:v>
                </c:pt>
                <c:pt idx="92">
                  <c:v>0.47355561247188349</c:v>
                </c:pt>
                <c:pt idx="93">
                  <c:v>0.47355561247188349</c:v>
                </c:pt>
                <c:pt idx="94">
                  <c:v>0.46002545211554396</c:v>
                </c:pt>
                <c:pt idx="95">
                  <c:v>0.46002545211554396</c:v>
                </c:pt>
                <c:pt idx="96">
                  <c:v>0.45326037193737423</c:v>
                </c:pt>
                <c:pt idx="97">
                  <c:v>0.45326037193737423</c:v>
                </c:pt>
                <c:pt idx="98">
                  <c:v>0.44649529175920444</c:v>
                </c:pt>
                <c:pt idx="99">
                  <c:v>0.44649529175920444</c:v>
                </c:pt>
                <c:pt idx="100">
                  <c:v>0.4397302115810347</c:v>
                </c:pt>
                <c:pt idx="101">
                  <c:v>0.4397302115810347</c:v>
                </c:pt>
                <c:pt idx="102">
                  <c:v>0.42620005122469518</c:v>
                </c:pt>
                <c:pt idx="103">
                  <c:v>0.42620005122469518</c:v>
                </c:pt>
                <c:pt idx="104">
                  <c:v>0.41943497104652538</c:v>
                </c:pt>
                <c:pt idx="105">
                  <c:v>0.41943497104652538</c:v>
                </c:pt>
                <c:pt idx="106">
                  <c:v>0.41266989086835565</c:v>
                </c:pt>
                <c:pt idx="107">
                  <c:v>0.41266989086835565</c:v>
                </c:pt>
                <c:pt idx="108">
                  <c:v>0.40590481069018586</c:v>
                </c:pt>
                <c:pt idx="109">
                  <c:v>0.40590481069018586</c:v>
                </c:pt>
                <c:pt idx="110">
                  <c:v>0.39237465033384633</c:v>
                </c:pt>
                <c:pt idx="111">
                  <c:v>0.39237465033384633</c:v>
                </c:pt>
                <c:pt idx="112">
                  <c:v>0.38560957015567654</c:v>
                </c:pt>
                <c:pt idx="113">
                  <c:v>0.38560957015567654</c:v>
                </c:pt>
                <c:pt idx="114">
                  <c:v>0.37884448997750675</c:v>
                </c:pt>
                <c:pt idx="115">
                  <c:v>0.37884448997750675</c:v>
                </c:pt>
                <c:pt idx="116">
                  <c:v>0.37207940979933696</c:v>
                </c:pt>
                <c:pt idx="117">
                  <c:v>0.37207940979933696</c:v>
                </c:pt>
                <c:pt idx="118">
                  <c:v>0.36531432962116717</c:v>
                </c:pt>
                <c:pt idx="119">
                  <c:v>0.36531432962116717</c:v>
                </c:pt>
                <c:pt idx="120">
                  <c:v>0.35854924944299743</c:v>
                </c:pt>
                <c:pt idx="121">
                  <c:v>0.35854924944299743</c:v>
                </c:pt>
                <c:pt idx="122">
                  <c:v>0.3517841692648277</c:v>
                </c:pt>
                <c:pt idx="123">
                  <c:v>0.3517841692648277</c:v>
                </c:pt>
                <c:pt idx="124">
                  <c:v>0.3450190890866579</c:v>
                </c:pt>
                <c:pt idx="125">
                  <c:v>0.3450190890866579</c:v>
                </c:pt>
                <c:pt idx="126">
                  <c:v>0.33825400890848811</c:v>
                </c:pt>
                <c:pt idx="127">
                  <c:v>0.33825400890848811</c:v>
                </c:pt>
                <c:pt idx="128">
                  <c:v>0.32768357113009788</c:v>
                </c:pt>
                <c:pt idx="129">
                  <c:v>0.32768357113009788</c:v>
                </c:pt>
                <c:pt idx="130">
                  <c:v>0.25869755615534046</c:v>
                </c:pt>
                <c:pt idx="131">
                  <c:v>0.25869755615534046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67D-443F-A05A-1C70D17F59E9}"/>
            </c:ext>
          </c:extLst>
        </c:ser>
        <c:ser>
          <c:idx val="5"/>
          <c:order val="5"/>
          <c:tx>
            <c:v>Chemo2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'Guyot Algorithm'!$CP$7:$CP$132</c:f>
              <c:numCache>
                <c:formatCode>0.0000</c:formatCode>
                <c:ptCount val="126"/>
                <c:pt idx="0">
                  <c:v>0</c:v>
                </c:pt>
                <c:pt idx="1">
                  <c:v>0.91600000000000004</c:v>
                </c:pt>
                <c:pt idx="2">
                  <c:v>0.91600000000000004</c:v>
                </c:pt>
                <c:pt idx="3">
                  <c:v>1.1167</c:v>
                </c:pt>
                <c:pt idx="4">
                  <c:v>1.1167</c:v>
                </c:pt>
                <c:pt idx="5">
                  <c:v>1.585</c:v>
                </c:pt>
                <c:pt idx="6">
                  <c:v>1.585</c:v>
                </c:pt>
                <c:pt idx="7">
                  <c:v>2.0310999999999999</c:v>
                </c:pt>
                <c:pt idx="8">
                  <c:v>2.0310999999999999</c:v>
                </c:pt>
                <c:pt idx="9">
                  <c:v>2.4213</c:v>
                </c:pt>
                <c:pt idx="10">
                  <c:v>2.4213</c:v>
                </c:pt>
                <c:pt idx="11">
                  <c:v>2.8027000000000002</c:v>
                </c:pt>
                <c:pt idx="12">
                  <c:v>2.8027000000000002</c:v>
                </c:pt>
                <c:pt idx="13">
                  <c:v>3.3647</c:v>
                </c:pt>
                <c:pt idx="14">
                  <c:v>3.3647</c:v>
                </c:pt>
                <c:pt idx="15">
                  <c:v>4.0069999999999997</c:v>
                </c:pt>
                <c:pt idx="16">
                  <c:v>4.0069999999999997</c:v>
                </c:pt>
                <c:pt idx="17">
                  <c:v>4.4084000000000003</c:v>
                </c:pt>
                <c:pt idx="18">
                  <c:v>4.4084000000000003</c:v>
                </c:pt>
                <c:pt idx="19">
                  <c:v>4.9703999999999997</c:v>
                </c:pt>
                <c:pt idx="20">
                  <c:v>4.9703999999999997</c:v>
                </c:pt>
                <c:pt idx="21">
                  <c:v>5.5324</c:v>
                </c:pt>
                <c:pt idx="22">
                  <c:v>5.5324</c:v>
                </c:pt>
                <c:pt idx="23">
                  <c:v>6.0616000000000003</c:v>
                </c:pt>
                <c:pt idx="24">
                  <c:v>6.0616000000000003</c:v>
                </c:pt>
                <c:pt idx="25">
                  <c:v>6.4212999999999996</c:v>
                </c:pt>
                <c:pt idx="26">
                  <c:v>6.4212999999999996</c:v>
                </c:pt>
                <c:pt idx="27">
                  <c:v>7.0578000000000003</c:v>
                </c:pt>
                <c:pt idx="28">
                  <c:v>7.0578000000000003</c:v>
                </c:pt>
                <c:pt idx="29">
                  <c:v>7.4547999999999996</c:v>
                </c:pt>
                <c:pt idx="30">
                  <c:v>7.4547999999999996</c:v>
                </c:pt>
                <c:pt idx="31">
                  <c:v>8.0614000000000008</c:v>
                </c:pt>
                <c:pt idx="32">
                  <c:v>8.0614000000000008</c:v>
                </c:pt>
                <c:pt idx="33">
                  <c:v>8.4539000000000009</c:v>
                </c:pt>
                <c:pt idx="34">
                  <c:v>8.4539000000000009</c:v>
                </c:pt>
                <c:pt idx="35">
                  <c:v>8.7078000000000007</c:v>
                </c:pt>
                <c:pt idx="36">
                  <c:v>8.7078000000000007</c:v>
                </c:pt>
                <c:pt idx="37">
                  <c:v>8.8933999999999997</c:v>
                </c:pt>
                <c:pt idx="38">
                  <c:v>8.8933999999999997</c:v>
                </c:pt>
                <c:pt idx="39">
                  <c:v>9.5466999999999995</c:v>
                </c:pt>
                <c:pt idx="40">
                  <c:v>9.5466999999999995</c:v>
                </c:pt>
                <c:pt idx="41">
                  <c:v>10.0571</c:v>
                </c:pt>
                <c:pt idx="42">
                  <c:v>10.0571</c:v>
                </c:pt>
                <c:pt idx="43">
                  <c:v>11.317399999999999</c:v>
                </c:pt>
                <c:pt idx="44">
                  <c:v>11.317399999999999</c:v>
                </c:pt>
                <c:pt idx="45">
                  <c:v>11.9552</c:v>
                </c:pt>
                <c:pt idx="46">
                  <c:v>11.9552</c:v>
                </c:pt>
                <c:pt idx="47">
                  <c:v>12.5975</c:v>
                </c:pt>
                <c:pt idx="48">
                  <c:v>12.5975</c:v>
                </c:pt>
                <c:pt idx="49">
                  <c:v>12.9856</c:v>
                </c:pt>
                <c:pt idx="50">
                  <c:v>12.9856</c:v>
                </c:pt>
                <c:pt idx="51">
                  <c:v>13.5922</c:v>
                </c:pt>
                <c:pt idx="52">
                  <c:v>13.5922</c:v>
                </c:pt>
                <c:pt idx="53">
                  <c:v>14.082800000000001</c:v>
                </c:pt>
                <c:pt idx="54">
                  <c:v>14.082800000000001</c:v>
                </c:pt>
                <c:pt idx="55">
                  <c:v>14.7004</c:v>
                </c:pt>
                <c:pt idx="56">
                  <c:v>14.7004</c:v>
                </c:pt>
                <c:pt idx="57">
                  <c:v>15.2469</c:v>
                </c:pt>
                <c:pt idx="58">
                  <c:v>15.2469</c:v>
                </c:pt>
                <c:pt idx="59">
                  <c:v>15.889200000000001</c:v>
                </c:pt>
                <c:pt idx="60">
                  <c:v>15.889200000000001</c:v>
                </c:pt>
                <c:pt idx="61">
                  <c:v>16.563600000000001</c:v>
                </c:pt>
                <c:pt idx="62">
                  <c:v>16.563600000000001</c:v>
                </c:pt>
                <c:pt idx="63">
                  <c:v>17.1738</c:v>
                </c:pt>
                <c:pt idx="64">
                  <c:v>17.1738</c:v>
                </c:pt>
                <c:pt idx="65">
                  <c:v>17.816099999999999</c:v>
                </c:pt>
                <c:pt idx="66">
                  <c:v>17.816099999999999</c:v>
                </c:pt>
                <c:pt idx="67">
                  <c:v>18.458400000000001</c:v>
                </c:pt>
                <c:pt idx="68">
                  <c:v>18.458400000000001</c:v>
                </c:pt>
                <c:pt idx="69">
                  <c:v>19.742899999999999</c:v>
                </c:pt>
                <c:pt idx="70">
                  <c:v>19.742899999999999</c:v>
                </c:pt>
                <c:pt idx="71">
                  <c:v>20.385200000000001</c:v>
                </c:pt>
                <c:pt idx="72">
                  <c:v>20.385200000000001</c:v>
                </c:pt>
                <c:pt idx="73">
                  <c:v>21.0275</c:v>
                </c:pt>
                <c:pt idx="74">
                  <c:v>21.0275</c:v>
                </c:pt>
                <c:pt idx="75">
                  <c:v>21.669799999999999</c:v>
                </c:pt>
                <c:pt idx="76">
                  <c:v>21.669799999999999</c:v>
                </c:pt>
                <c:pt idx="77">
                  <c:v>22.344899999999999</c:v>
                </c:pt>
                <c:pt idx="78">
                  <c:v>22.344899999999999</c:v>
                </c:pt>
                <c:pt idx="79">
                  <c:v>22.9544</c:v>
                </c:pt>
                <c:pt idx="80">
                  <c:v>22.9544</c:v>
                </c:pt>
                <c:pt idx="81">
                  <c:v>23.596599999999999</c:v>
                </c:pt>
                <c:pt idx="82">
                  <c:v>23.596599999999999</c:v>
                </c:pt>
                <c:pt idx="83">
                  <c:v>24.8812</c:v>
                </c:pt>
                <c:pt idx="84">
                  <c:v>24.8812</c:v>
                </c:pt>
                <c:pt idx="85">
                  <c:v>25.523499999999999</c:v>
                </c:pt>
                <c:pt idx="86">
                  <c:v>25.523499999999999</c:v>
                </c:pt>
                <c:pt idx="87">
                  <c:v>26.8081</c:v>
                </c:pt>
                <c:pt idx="88">
                  <c:v>26.8081</c:v>
                </c:pt>
                <c:pt idx="89">
                  <c:v>29.377199999999998</c:v>
                </c:pt>
                <c:pt idx="90">
                  <c:v>29.377199999999998</c:v>
                </c:pt>
                <c:pt idx="91">
                  <c:v>30.019500000000001</c:v>
                </c:pt>
                <c:pt idx="92">
                  <c:v>30.019500000000001</c:v>
                </c:pt>
                <c:pt idx="93">
                  <c:v>31.183599999999998</c:v>
                </c:pt>
                <c:pt idx="94">
                  <c:v>31.183599999999998</c:v>
                </c:pt>
                <c:pt idx="95">
                  <c:v>31.491399999999999</c:v>
                </c:pt>
                <c:pt idx="96">
                  <c:v>31.491399999999999</c:v>
                </c:pt>
                <c:pt idx="97">
                  <c:v>32.781300000000002</c:v>
                </c:pt>
                <c:pt idx="98">
                  <c:v>32.781300000000002</c:v>
                </c:pt>
                <c:pt idx="99">
                  <c:v>33.311199999999999</c:v>
                </c:pt>
                <c:pt idx="100">
                  <c:v>33.311199999999999</c:v>
                </c:pt>
                <c:pt idx="101">
                  <c:v>35.238</c:v>
                </c:pt>
                <c:pt idx="102">
                  <c:v>35.238</c:v>
                </c:pt>
                <c:pt idx="103">
                  <c:v>37.164900000000003</c:v>
                </c:pt>
                <c:pt idx="104">
                  <c:v>37.164900000000003</c:v>
                </c:pt>
                <c:pt idx="105">
                  <c:v>37.807200000000002</c:v>
                </c:pt>
                <c:pt idx="106">
                  <c:v>37.807200000000002</c:v>
                </c:pt>
                <c:pt idx="107">
                  <c:v>43.587699999999998</c:v>
                </c:pt>
                <c:pt idx="108">
                  <c:v>43.587699999999998</c:v>
                </c:pt>
                <c:pt idx="109">
                  <c:v>44.872300000000003</c:v>
                </c:pt>
                <c:pt idx="110">
                  <c:v>44.872300000000003</c:v>
                </c:pt>
                <c:pt idx="111">
                  <c:v>45.514600000000002</c:v>
                </c:pt>
                <c:pt idx="112">
                  <c:v>45.514600000000002</c:v>
                </c:pt>
                <c:pt idx="113">
                  <c:v>46.134599999999999</c:v>
                </c:pt>
                <c:pt idx="114">
                  <c:v>46.134599999999999</c:v>
                </c:pt>
                <c:pt idx="115">
                  <c:v>52.579700000000003</c:v>
                </c:pt>
                <c:pt idx="116">
                  <c:v>52.579700000000003</c:v>
                </c:pt>
                <c:pt idx="117">
                  <c:v>53.222000000000001</c:v>
                </c:pt>
                <c:pt idx="118">
                  <c:v>53.222000000000001</c:v>
                </c:pt>
                <c:pt idx="119">
                  <c:v>57.322299999999998</c:v>
                </c:pt>
                <c:pt idx="120">
                  <c:v>57.322299999999998</c:v>
                </c:pt>
                <c:pt idx="121">
                  <c:v>59.644799999999996</c:v>
                </c:pt>
                <c:pt idx="122" formatCode="General">
                  <c:v>59.644799999999996</c:v>
                </c:pt>
                <c:pt idx="123" formatCode="General">
                  <c:v>61.727800000000002</c:v>
                </c:pt>
                <c:pt idx="124" formatCode="General">
                  <c:v>61.727800000000002</c:v>
                </c:pt>
                <c:pt idx="125" formatCode="General">
                  <c:v>66.823099999999997</c:v>
                </c:pt>
              </c:numCache>
            </c:numRef>
          </c:xVal>
          <c:yVal>
            <c:numRef>
              <c:f>'Guyot Algorithm'!$CQ$7:$CQ$132</c:f>
              <c:numCache>
                <c:formatCode>0.0000</c:formatCode>
                <c:ptCount val="126"/>
                <c:pt idx="0">
                  <c:v>1</c:v>
                </c:pt>
                <c:pt idx="1">
                  <c:v>1</c:v>
                </c:pt>
                <c:pt idx="2">
                  <c:v>0.95364238410596025</c:v>
                </c:pt>
                <c:pt idx="3">
                  <c:v>0.95364238410596025</c:v>
                </c:pt>
                <c:pt idx="4">
                  <c:v>0.92715231788079466</c:v>
                </c:pt>
                <c:pt idx="5">
                  <c:v>0.92715231788079466</c:v>
                </c:pt>
                <c:pt idx="6">
                  <c:v>0.9072847682119205</c:v>
                </c:pt>
                <c:pt idx="7">
                  <c:v>0.9072847682119205</c:v>
                </c:pt>
                <c:pt idx="8">
                  <c:v>0.88727113361901044</c:v>
                </c:pt>
                <c:pt idx="9">
                  <c:v>0.88727113361901044</c:v>
                </c:pt>
                <c:pt idx="10">
                  <c:v>0.86058628749513044</c:v>
                </c:pt>
                <c:pt idx="11">
                  <c:v>0.86058628749513044</c:v>
                </c:pt>
                <c:pt idx="12">
                  <c:v>0.83390144137125033</c:v>
                </c:pt>
                <c:pt idx="13">
                  <c:v>0.83390144137125033</c:v>
                </c:pt>
                <c:pt idx="14">
                  <c:v>0.82055901830931033</c:v>
                </c:pt>
                <c:pt idx="15">
                  <c:v>0.82055901830931033</c:v>
                </c:pt>
                <c:pt idx="16">
                  <c:v>0.80710723112391181</c:v>
                </c:pt>
                <c:pt idx="17">
                  <c:v>0.80710723112391181</c:v>
                </c:pt>
                <c:pt idx="18">
                  <c:v>0.78692955034581402</c:v>
                </c:pt>
                <c:pt idx="19">
                  <c:v>0.78692955034581402</c:v>
                </c:pt>
                <c:pt idx="20">
                  <c:v>0.7734777631604155</c:v>
                </c:pt>
                <c:pt idx="21">
                  <c:v>0.7734777631604155</c:v>
                </c:pt>
                <c:pt idx="22">
                  <c:v>0.72639650801152067</c:v>
                </c:pt>
                <c:pt idx="23">
                  <c:v>0.72639650801152067</c:v>
                </c:pt>
                <c:pt idx="24">
                  <c:v>0.70621882723342289</c:v>
                </c:pt>
                <c:pt idx="25">
                  <c:v>0.70621882723342289</c:v>
                </c:pt>
                <c:pt idx="26">
                  <c:v>0.6860411464553251</c:v>
                </c:pt>
                <c:pt idx="27">
                  <c:v>0.6860411464553251</c:v>
                </c:pt>
                <c:pt idx="28">
                  <c:v>0.67931525286262584</c:v>
                </c:pt>
                <c:pt idx="29">
                  <c:v>0.67931525286262584</c:v>
                </c:pt>
                <c:pt idx="30">
                  <c:v>0.65913757208452806</c:v>
                </c:pt>
                <c:pt idx="31">
                  <c:v>0.65913757208452806</c:v>
                </c:pt>
                <c:pt idx="32">
                  <c:v>0.64568578489912953</c:v>
                </c:pt>
                <c:pt idx="33">
                  <c:v>0.64568578489912953</c:v>
                </c:pt>
                <c:pt idx="34">
                  <c:v>0.61878221052833249</c:v>
                </c:pt>
                <c:pt idx="35">
                  <c:v>0.61878221052833249</c:v>
                </c:pt>
                <c:pt idx="36">
                  <c:v>0.61205631693563323</c:v>
                </c:pt>
                <c:pt idx="37">
                  <c:v>0.61205631693563323</c:v>
                </c:pt>
                <c:pt idx="38">
                  <c:v>0.5986045297502347</c:v>
                </c:pt>
                <c:pt idx="39">
                  <c:v>0.5986045297502347</c:v>
                </c:pt>
                <c:pt idx="40">
                  <c:v>0.57842684897213692</c:v>
                </c:pt>
                <c:pt idx="41">
                  <c:v>0.57842684897213692</c:v>
                </c:pt>
                <c:pt idx="42">
                  <c:v>0.5649750617867384</c:v>
                </c:pt>
                <c:pt idx="43">
                  <c:v>0.5649750617867384</c:v>
                </c:pt>
                <c:pt idx="44">
                  <c:v>0.55152327460133987</c:v>
                </c:pt>
                <c:pt idx="45">
                  <c:v>0.55152327460133987</c:v>
                </c:pt>
                <c:pt idx="46">
                  <c:v>0.53807148741594135</c:v>
                </c:pt>
                <c:pt idx="47">
                  <c:v>0.53807148741594135</c:v>
                </c:pt>
                <c:pt idx="48">
                  <c:v>0.52461970023054283</c:v>
                </c:pt>
                <c:pt idx="49">
                  <c:v>0.52461970023054283</c:v>
                </c:pt>
                <c:pt idx="50">
                  <c:v>0.51116791304514431</c:v>
                </c:pt>
                <c:pt idx="51">
                  <c:v>0.51116791304514431</c:v>
                </c:pt>
                <c:pt idx="52">
                  <c:v>0.50444201945244505</c:v>
                </c:pt>
                <c:pt idx="53">
                  <c:v>0.50444201945244505</c:v>
                </c:pt>
                <c:pt idx="54">
                  <c:v>0.4976252354057904</c:v>
                </c:pt>
                <c:pt idx="55">
                  <c:v>0.4976252354057904</c:v>
                </c:pt>
                <c:pt idx="56">
                  <c:v>0.48399166731248106</c:v>
                </c:pt>
                <c:pt idx="57">
                  <c:v>0.48399166731248106</c:v>
                </c:pt>
                <c:pt idx="58">
                  <c:v>0.47016333396069587</c:v>
                </c:pt>
                <c:pt idx="59">
                  <c:v>0.47016333396069587</c:v>
                </c:pt>
                <c:pt idx="60">
                  <c:v>0.46324916728480331</c:v>
                </c:pt>
                <c:pt idx="61">
                  <c:v>0.46324916728480331</c:v>
                </c:pt>
                <c:pt idx="62">
                  <c:v>0.44921131373071838</c:v>
                </c:pt>
                <c:pt idx="63">
                  <c:v>0.44921131373071838</c:v>
                </c:pt>
                <c:pt idx="64">
                  <c:v>0.44219238695367591</c:v>
                </c:pt>
                <c:pt idx="65">
                  <c:v>0.44219238695367591</c:v>
                </c:pt>
                <c:pt idx="66">
                  <c:v>0.42815453339959098</c:v>
                </c:pt>
                <c:pt idx="67">
                  <c:v>0.42815453339959098</c:v>
                </c:pt>
                <c:pt idx="68">
                  <c:v>0.41411667984550599</c:v>
                </c:pt>
                <c:pt idx="69">
                  <c:v>0.41411667984550599</c:v>
                </c:pt>
                <c:pt idx="70">
                  <c:v>0.40007882629142105</c:v>
                </c:pt>
                <c:pt idx="71">
                  <c:v>0.40007882629142105</c:v>
                </c:pt>
                <c:pt idx="72">
                  <c:v>0.39305989951437853</c:v>
                </c:pt>
                <c:pt idx="73">
                  <c:v>0.39305989951437853</c:v>
                </c:pt>
                <c:pt idx="74">
                  <c:v>0.38604097273733606</c:v>
                </c:pt>
                <c:pt idx="75">
                  <c:v>0.38604097273733606</c:v>
                </c:pt>
                <c:pt idx="76">
                  <c:v>0.37174315893224952</c:v>
                </c:pt>
                <c:pt idx="77">
                  <c:v>0.37174315893224952</c:v>
                </c:pt>
                <c:pt idx="78">
                  <c:v>0.36459425202970625</c:v>
                </c:pt>
                <c:pt idx="79">
                  <c:v>0.36459425202970625</c:v>
                </c:pt>
                <c:pt idx="80">
                  <c:v>0.35029643822461975</c:v>
                </c:pt>
                <c:pt idx="81">
                  <c:v>0.35029643822461975</c:v>
                </c:pt>
                <c:pt idx="82">
                  <c:v>0.34314753132207648</c:v>
                </c:pt>
                <c:pt idx="83">
                  <c:v>0.34314753132207648</c:v>
                </c:pt>
                <c:pt idx="84">
                  <c:v>0.33599862441953321</c:v>
                </c:pt>
                <c:pt idx="85">
                  <c:v>0.33599862441953321</c:v>
                </c:pt>
                <c:pt idx="86">
                  <c:v>0.32884971751698994</c:v>
                </c:pt>
                <c:pt idx="87">
                  <c:v>0.32884971751698994</c:v>
                </c:pt>
                <c:pt idx="88">
                  <c:v>0.32170081061444666</c:v>
                </c:pt>
                <c:pt idx="89">
                  <c:v>0.32170081061444666</c:v>
                </c:pt>
                <c:pt idx="90">
                  <c:v>0.31455190371190339</c:v>
                </c:pt>
                <c:pt idx="91">
                  <c:v>0.31455190371190339</c:v>
                </c:pt>
                <c:pt idx="92">
                  <c:v>0.30740299680936012</c:v>
                </c:pt>
                <c:pt idx="93">
                  <c:v>0.30740299680936012</c:v>
                </c:pt>
                <c:pt idx="94">
                  <c:v>0.28595627610173036</c:v>
                </c:pt>
                <c:pt idx="95">
                  <c:v>0.28595627610173036</c:v>
                </c:pt>
                <c:pt idx="96">
                  <c:v>0.27880736919918708</c:v>
                </c:pt>
                <c:pt idx="97">
                  <c:v>0.27880736919918708</c:v>
                </c:pt>
                <c:pt idx="98">
                  <c:v>0.27165846229664381</c:v>
                </c:pt>
                <c:pt idx="99">
                  <c:v>0.27165846229664381</c:v>
                </c:pt>
                <c:pt idx="100">
                  <c:v>0.25736064849155726</c:v>
                </c:pt>
                <c:pt idx="101">
                  <c:v>0.25736064849155726</c:v>
                </c:pt>
                <c:pt idx="102">
                  <c:v>0.25021174158901399</c:v>
                </c:pt>
                <c:pt idx="103">
                  <c:v>0.25021174158901399</c:v>
                </c:pt>
                <c:pt idx="104">
                  <c:v>0.24306283468647072</c:v>
                </c:pt>
                <c:pt idx="105">
                  <c:v>0.24306283468647072</c:v>
                </c:pt>
                <c:pt idx="106">
                  <c:v>0.23591392778392747</c:v>
                </c:pt>
                <c:pt idx="107">
                  <c:v>0.23591392778392747</c:v>
                </c:pt>
                <c:pt idx="108">
                  <c:v>0.22876502088138423</c:v>
                </c:pt>
                <c:pt idx="109">
                  <c:v>0.22876502088138423</c:v>
                </c:pt>
                <c:pt idx="110">
                  <c:v>0.22161611397884098</c:v>
                </c:pt>
                <c:pt idx="111">
                  <c:v>0.22161611397884098</c:v>
                </c:pt>
                <c:pt idx="112">
                  <c:v>0.21446720707629774</c:v>
                </c:pt>
                <c:pt idx="113">
                  <c:v>0.21446720707629774</c:v>
                </c:pt>
                <c:pt idx="114">
                  <c:v>0.20016939327121122</c:v>
                </c:pt>
                <c:pt idx="115">
                  <c:v>0.20016939327121122</c:v>
                </c:pt>
                <c:pt idx="116">
                  <c:v>0.19302048636866798</c:v>
                </c:pt>
                <c:pt idx="117">
                  <c:v>0.19302048636866798</c:v>
                </c:pt>
                <c:pt idx="118">
                  <c:v>0.1858715794661247</c:v>
                </c:pt>
                <c:pt idx="119">
                  <c:v>0.1858715794661247</c:v>
                </c:pt>
                <c:pt idx="120">
                  <c:v>0.17657800049281847</c:v>
                </c:pt>
                <c:pt idx="121">
                  <c:v>0.17657800049281847</c:v>
                </c:pt>
                <c:pt idx="122" formatCode="General">
                  <c:v>0.16396528617190287</c:v>
                </c:pt>
                <c:pt idx="123" formatCode="General">
                  <c:v>0.16396528617190287</c:v>
                </c:pt>
                <c:pt idx="124" formatCode="General">
                  <c:v>0.14905935106536625</c:v>
                </c:pt>
                <c:pt idx="125" formatCode="General">
                  <c:v>0.14905935106536625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67D-443F-A05A-1C70D17F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758608"/>
        <c:axId val="939045168"/>
      </c:scatterChart>
      <c:valAx>
        <c:axId val="1404758608"/>
        <c:scaling>
          <c:orientation val="minMax"/>
          <c:max val="72"/>
          <c:min val="-6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45168"/>
        <c:crossesAt val="-9.0000000000000024E-2"/>
        <c:crossBetween val="midCat"/>
        <c:majorUnit val="6"/>
      </c:valAx>
      <c:valAx>
        <c:axId val="939045168"/>
        <c:scaling>
          <c:orientation val="minMax"/>
          <c:max val="1"/>
          <c:min val="-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1.2221789494562835E-2"/>
              <c:y val="0.39484826444887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=0]0.0;[&lt;0]&quot;&quot;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58608"/>
        <c:crossesAt val="-3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3557005211063328"/>
          <c:y val="0.51869221576506963"/>
          <c:w val="0.14593631276465022"/>
          <c:h val="0.172964256724978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609599</xdr:colOff>
      <xdr:row>2</xdr:row>
      <xdr:rowOff>9525</xdr:rowOff>
    </xdr:from>
    <xdr:to>
      <xdr:col>31</xdr:col>
      <xdr:colOff>219074</xdr:colOff>
      <xdr:row>26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F5D70D-D14A-49A0-9D68-08080BFDF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103491</xdr:colOff>
      <xdr:row>23</xdr:row>
      <xdr:rowOff>58615</xdr:rowOff>
    </xdr:from>
    <xdr:to>
      <xdr:col>21</xdr:col>
      <xdr:colOff>359933</xdr:colOff>
      <xdr:row>24</xdr:row>
      <xdr:rowOff>36635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249357E-A665-1ADD-E1DE-7D4595A0C207}"/>
            </a:ext>
          </a:extLst>
        </xdr:cNvPr>
        <xdr:cNvSpPr/>
      </xdr:nvSpPr>
      <xdr:spPr>
        <a:xfrm>
          <a:off x="12989717" y="4482245"/>
          <a:ext cx="256442" cy="17035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0.12966</cdr:x>
      <cdr:y>0.87228</cdr:y>
    </cdr:from>
    <cdr:to>
      <cdr:x>0.15614</cdr:x>
      <cdr:y>0.92202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CA7C39D-CD90-EFEF-F16C-6FABF39F7022}"/>
            </a:ext>
          </a:extLst>
        </cdr:cNvPr>
        <cdr:cNvSpPr/>
      </cdr:nvSpPr>
      <cdr:spPr>
        <a:xfrm xmlns:a="http://schemas.openxmlformats.org/drawingml/2006/main">
          <a:off x="897000" y="4175982"/>
          <a:ext cx="183173" cy="2381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 kern="12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828675</xdr:colOff>
      <xdr:row>6</xdr:row>
      <xdr:rowOff>0</xdr:rowOff>
    </xdr:from>
    <xdr:to>
      <xdr:col>16</xdr:col>
      <xdr:colOff>224212</xdr:colOff>
      <xdr:row>31</xdr:row>
      <xdr:rowOff>32321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648A1A-488C-4E09-AE0D-E11A39540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812007</xdr:colOff>
      <xdr:row>13</xdr:row>
      <xdr:rowOff>9128</xdr:rowOff>
    </xdr:from>
    <xdr:to>
      <xdr:col>21</xdr:col>
      <xdr:colOff>361530</xdr:colOff>
      <xdr:row>38</xdr:row>
      <xdr:rowOff>41449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534A4D-E274-4E03-B6B2-C3190311D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0.12966</cdr:x>
      <cdr:y>0.87228</cdr:y>
    </cdr:from>
    <cdr:to>
      <cdr:x>0.15614</cdr:x>
      <cdr:y>0.92202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CA7C39D-CD90-EFEF-F16C-6FABF39F7022}"/>
            </a:ext>
          </a:extLst>
        </cdr:cNvPr>
        <cdr:cNvSpPr/>
      </cdr:nvSpPr>
      <cdr:spPr>
        <a:xfrm xmlns:a="http://schemas.openxmlformats.org/drawingml/2006/main">
          <a:off x="897000" y="4175982"/>
          <a:ext cx="183173" cy="2381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600074</xdr:colOff>
      <xdr:row>3</xdr:row>
      <xdr:rowOff>19050</xdr:rowOff>
    </xdr:from>
    <xdr:to>
      <xdr:col>31</xdr:col>
      <xdr:colOff>114299</xdr:colOff>
      <xdr:row>28</xdr:row>
      <xdr:rowOff>51371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E89873-3CED-4D66-B064-11383905D0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0.12966</cdr:x>
      <cdr:y>0.87228</cdr:y>
    </cdr:from>
    <cdr:to>
      <cdr:x>0.15614</cdr:x>
      <cdr:y>0.92202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CA7C39D-CD90-EFEF-F16C-6FABF39F7022}"/>
            </a:ext>
          </a:extLst>
        </cdr:cNvPr>
        <cdr:cNvSpPr/>
      </cdr:nvSpPr>
      <cdr:spPr>
        <a:xfrm xmlns:a="http://schemas.openxmlformats.org/drawingml/2006/main">
          <a:off x="897000" y="4175982"/>
          <a:ext cx="183173" cy="2381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 kern="12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6244</xdr:colOff>
      <xdr:row>15</xdr:row>
      <xdr:rowOff>758</xdr:rowOff>
    </xdr:from>
    <xdr:to>
      <xdr:col>32</xdr:col>
      <xdr:colOff>180439</xdr:colOff>
      <xdr:row>40</xdr:row>
      <xdr:rowOff>113800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51E85D-DD86-4EEF-BB47-F4094B93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0.12966</cdr:x>
      <cdr:y>0.87228</cdr:y>
    </cdr:from>
    <cdr:to>
      <cdr:x>0.15614</cdr:x>
      <cdr:y>0.92202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CA7C39D-CD90-EFEF-F16C-6FABF39F7022}"/>
            </a:ext>
          </a:extLst>
        </cdr:cNvPr>
        <cdr:cNvSpPr/>
      </cdr:nvSpPr>
      <cdr:spPr>
        <a:xfrm xmlns:a="http://schemas.openxmlformats.org/drawingml/2006/main">
          <a:off x="897000" y="4175982"/>
          <a:ext cx="183173" cy="2381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 kern="1200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114300</xdr:rowOff>
    </xdr:to>
    <xdr:sp macro="" textlink="">
      <xdr:nvSpPr>
        <xdr:cNvPr id="10241" name="AutoShape 1">
          <a:extLst>
            <a:ext uri="{FF2B5EF4-FFF2-40B4-BE49-F238E27FC236}">
              <a16:creationId xmlns:a16="http://schemas.microsoft.com/office/drawing/2014/main" id="{B1F17D67-13F2-D0E1-F0E4-1210FC0E90FF}"/>
            </a:ext>
          </a:extLst>
        </xdr:cNvPr>
        <xdr:cNvSpPr>
          <a:spLocks noChangeAspect="1" noChangeArrowheads="1"/>
        </xdr:cNvSpPr>
      </xdr:nvSpPr>
      <xdr:spPr bwMode="auto">
        <a:xfrm>
          <a:off x="0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9525</xdr:rowOff>
    </xdr:from>
    <xdr:to>
      <xdr:col>10</xdr:col>
      <xdr:colOff>458115</xdr:colOff>
      <xdr:row>21</xdr:row>
      <xdr:rowOff>19557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394140-5C92-3AAE-1C8B-E3B9FC8CF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0525"/>
          <a:ext cx="6554115" cy="3629532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5</xdr:row>
      <xdr:rowOff>0</xdr:rowOff>
    </xdr:from>
    <xdr:to>
      <xdr:col>66</xdr:col>
      <xdr:colOff>174195</xdr:colOff>
      <xdr:row>30</xdr:row>
      <xdr:rowOff>113041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7FC584-6916-4751-98E5-77DA70182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100</xdr:col>
      <xdr:colOff>0</xdr:colOff>
      <xdr:row>6</xdr:row>
      <xdr:rowOff>0</xdr:rowOff>
    </xdr:from>
    <xdr:to>
      <xdr:col>112</xdr:col>
      <xdr:colOff>174195</xdr:colOff>
      <xdr:row>31</xdr:row>
      <xdr:rowOff>113041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4B309E9-6226-478C-A96F-8D2A39574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20499-A685-49D6-8F5C-45D1A7A8B876}">
  <sheetPr codeName="Sheet2"/>
  <dimension ref="A1:V1348"/>
  <sheetViews>
    <sheetView showGridLines="0" zoomScale="89" zoomScaleNormal="89" workbookViewId="0">
      <selection activeCell="M4" sqref="M4:N5"/>
    </sheetView>
  </sheetViews>
  <sheetFormatPr defaultRowHeight="15" x14ac:dyDescent="0.25"/>
  <cols>
    <col min="1" max="1" width="9.140625" style="1"/>
    <col min="3" max="3" width="10.5703125" style="1" customWidth="1"/>
    <col min="6" max="9" width="9.140625" style="1"/>
    <col min="10" max="11" width="9.140625" style="15"/>
    <col min="13" max="14" width="9.140625" style="15"/>
  </cols>
  <sheetData>
    <row r="1" spans="1:19" x14ac:dyDescent="0.25">
      <c r="A1" s="14" t="s">
        <v>718</v>
      </c>
      <c r="E1" t="s">
        <v>717</v>
      </c>
    </row>
    <row r="2" spans="1:19" x14ac:dyDescent="0.25">
      <c r="E2" t="s">
        <v>716</v>
      </c>
    </row>
    <row r="3" spans="1:19" x14ac:dyDescent="0.25">
      <c r="A3" s="16" t="s">
        <v>715</v>
      </c>
      <c r="B3" s="16" t="s">
        <v>714</v>
      </c>
      <c r="C3" s="16" t="s">
        <v>713</v>
      </c>
      <c r="D3" s="16" t="s">
        <v>719</v>
      </c>
      <c r="E3" t="s">
        <v>712</v>
      </c>
    </row>
    <row r="4" spans="1:19" x14ac:dyDescent="0.25">
      <c r="A4" s="13" t="s">
        <v>711</v>
      </c>
      <c r="B4">
        <v>59.597535934291578</v>
      </c>
      <c r="C4" s="1">
        <v>1</v>
      </c>
      <c r="D4">
        <v>1</v>
      </c>
      <c r="F4" s="107" t="s">
        <v>721</v>
      </c>
      <c r="G4" s="107"/>
      <c r="H4" s="107"/>
      <c r="I4" s="107"/>
      <c r="J4" s="107"/>
      <c r="K4" s="107"/>
      <c r="M4" s="106" t="s">
        <v>720</v>
      </c>
      <c r="N4" s="106"/>
    </row>
    <row r="5" spans="1:19" x14ac:dyDescent="0.25">
      <c r="A5" s="13" t="s">
        <v>710</v>
      </c>
      <c r="B5">
        <v>66.299794661190958</v>
      </c>
      <c r="C5" s="1">
        <v>1</v>
      </c>
      <c r="D5">
        <v>1</v>
      </c>
      <c r="F5" s="17" t="str" cm="1">
        <f t="array" ref="F5:K579">KMTableFastW(B4:B689,C4:C689,D4:D689)</f>
        <v>time</v>
      </c>
      <c r="G5" s="17" t="str">
        <v>n_risk</v>
      </c>
      <c r="H5" s="17" t="str">
        <v>n_event</v>
      </c>
      <c r="I5" s="17" t="str">
        <v>n_censor</v>
      </c>
      <c r="J5" s="18" t="str">
        <v>step_surv</v>
      </c>
      <c r="K5" s="18" t="str">
        <v>km_surv</v>
      </c>
      <c r="M5" s="18" t="str" cm="1">
        <f t="array" ref="M5:N547">KMStepPlotTrim(F6:F579,K6:K579)</f>
        <v>plot_time</v>
      </c>
      <c r="N5" s="18" t="str">
        <v>plot_surv</v>
      </c>
    </row>
    <row r="6" spans="1:19" x14ac:dyDescent="0.25">
      <c r="A6" s="13" t="s">
        <v>709</v>
      </c>
      <c r="B6">
        <v>23.392197125256672</v>
      </c>
      <c r="C6" s="1">
        <v>1</v>
      </c>
      <c r="D6">
        <v>1</v>
      </c>
      <c r="F6" s="15">
        <v>0.26283367556468173</v>
      </c>
      <c r="G6" s="1">
        <v>686</v>
      </c>
      <c r="H6" s="1">
        <v>0</v>
      </c>
      <c r="I6" s="1">
        <v>1</v>
      </c>
      <c r="J6" s="15">
        <v>1</v>
      </c>
      <c r="K6" s="15">
        <v>1</v>
      </c>
      <c r="M6" s="15">
        <v>0</v>
      </c>
      <c r="N6" s="15">
        <v>1</v>
      </c>
      <c r="Q6" s="38" t="str" cm="1">
        <f t="array" ref="Q6:R21">KMRiskAtIntervalStart(F6:F579,G6:G579,6)</f>
        <v>time</v>
      </c>
      <c r="R6" s="38" t="str">
        <v>n_risk</v>
      </c>
      <c r="S6" s="38" t="s">
        <v>722</v>
      </c>
    </row>
    <row r="7" spans="1:19" x14ac:dyDescent="0.25">
      <c r="A7" s="13" t="s">
        <v>708</v>
      </c>
      <c r="B7">
        <v>59.367556468172488</v>
      </c>
      <c r="C7" s="1">
        <v>1</v>
      </c>
      <c r="D7">
        <v>1</v>
      </c>
      <c r="F7" s="15">
        <v>0.49281314168377821</v>
      </c>
      <c r="G7" s="1">
        <v>685</v>
      </c>
      <c r="H7" s="1">
        <v>0</v>
      </c>
      <c r="I7" s="1">
        <v>1</v>
      </c>
      <c r="J7" s="15">
        <v>1</v>
      </c>
      <c r="K7" s="15">
        <v>1</v>
      </c>
      <c r="M7" s="15">
        <v>2.3655030800821355</v>
      </c>
      <c r="N7" s="15">
        <v>1</v>
      </c>
      <c r="Q7" s="1">
        <v>0</v>
      </c>
      <c r="R7" s="1">
        <v>686</v>
      </c>
      <c r="S7" s="1">
        <v>0.02</v>
      </c>
    </row>
    <row r="8" spans="1:19" x14ac:dyDescent="0.25">
      <c r="A8" s="13" t="s">
        <v>707</v>
      </c>
      <c r="B8">
        <v>25.363449691991786</v>
      </c>
      <c r="C8" s="1">
        <v>1</v>
      </c>
      <c r="D8">
        <v>1</v>
      </c>
      <c r="F8" s="15">
        <v>0.52566735112936347</v>
      </c>
      <c r="G8" s="1">
        <v>684</v>
      </c>
      <c r="H8" s="1">
        <v>0</v>
      </c>
      <c r="I8" s="1">
        <v>1</v>
      </c>
      <c r="J8" s="15">
        <v>1</v>
      </c>
      <c r="K8" s="15">
        <v>1</v>
      </c>
      <c r="M8" s="15">
        <v>2.3655030800821355</v>
      </c>
      <c r="N8" s="15">
        <v>0.99851190476190477</v>
      </c>
      <c r="Q8" s="1">
        <v>6</v>
      </c>
      <c r="R8" s="1">
        <v>655</v>
      </c>
      <c r="S8" s="1">
        <v>0.02</v>
      </c>
    </row>
    <row r="9" spans="1:19" x14ac:dyDescent="0.25">
      <c r="A9" s="13" t="s">
        <v>706</v>
      </c>
      <c r="B9">
        <v>14.718685831622176</v>
      </c>
      <c r="C9" s="1">
        <v>1</v>
      </c>
      <c r="D9">
        <v>1</v>
      </c>
      <c r="F9" s="15">
        <v>0.55852156057494862</v>
      </c>
      <c r="G9" s="1">
        <v>683</v>
      </c>
      <c r="H9" s="1">
        <v>0</v>
      </c>
      <c r="I9" s="1">
        <v>2</v>
      </c>
      <c r="J9" s="15">
        <v>1</v>
      </c>
      <c r="K9" s="15">
        <v>1</v>
      </c>
      <c r="M9" s="15">
        <v>3.2197125256673513</v>
      </c>
      <c r="N9" s="15">
        <v>0.99851190476190477</v>
      </c>
      <c r="Q9" s="1">
        <v>12</v>
      </c>
      <c r="R9" s="1">
        <v>602</v>
      </c>
      <c r="S9" s="1">
        <v>0.02</v>
      </c>
    </row>
    <row r="10" spans="1:19" x14ac:dyDescent="0.25">
      <c r="A10" s="13" t="s">
        <v>705</v>
      </c>
      <c r="B10">
        <v>71.359342915811084</v>
      </c>
      <c r="C10" s="1">
        <v>0</v>
      </c>
      <c r="D10">
        <v>1</v>
      </c>
      <c r="F10" s="15">
        <v>0.59137577002053388</v>
      </c>
      <c r="G10" s="1">
        <v>681</v>
      </c>
      <c r="H10" s="1">
        <v>0</v>
      </c>
      <c r="I10" s="1">
        <v>1</v>
      </c>
      <c r="J10" s="15">
        <v>1</v>
      </c>
      <c r="K10" s="15">
        <v>1</v>
      </c>
      <c r="M10" s="15">
        <v>3.2197125256673513</v>
      </c>
      <c r="N10" s="15">
        <v>0.99702380952380953</v>
      </c>
      <c r="Q10" s="1">
        <v>18</v>
      </c>
      <c r="R10" s="1">
        <v>530</v>
      </c>
      <c r="S10" s="1">
        <v>0.02</v>
      </c>
    </row>
    <row r="11" spans="1:19" x14ac:dyDescent="0.25">
      <c r="A11" s="13" t="s">
        <v>704</v>
      </c>
      <c r="B11">
        <v>70.997946611909654</v>
      </c>
      <c r="C11" s="1">
        <v>0</v>
      </c>
      <c r="D11">
        <v>1</v>
      </c>
      <c r="F11" s="15">
        <v>0.95277207392197127</v>
      </c>
      <c r="G11" s="1">
        <v>680</v>
      </c>
      <c r="H11" s="1">
        <v>0</v>
      </c>
      <c r="I11" s="1">
        <v>1</v>
      </c>
      <c r="J11" s="15">
        <v>1</v>
      </c>
      <c r="K11" s="15">
        <v>1</v>
      </c>
      <c r="M11" s="15">
        <v>3.7125256673511293</v>
      </c>
      <c r="N11" s="15">
        <v>0.99702380952380953</v>
      </c>
      <c r="Q11" s="1">
        <v>24</v>
      </c>
      <c r="R11" s="1">
        <v>458</v>
      </c>
      <c r="S11" s="1">
        <v>0.02</v>
      </c>
    </row>
    <row r="12" spans="1:19" x14ac:dyDescent="0.25">
      <c r="A12" s="13" t="s">
        <v>703</v>
      </c>
      <c r="B12">
        <v>15.474332648870636</v>
      </c>
      <c r="C12" s="1">
        <v>1</v>
      </c>
      <c r="D12">
        <v>1</v>
      </c>
      <c r="F12" s="15">
        <v>1.3798767967145791</v>
      </c>
      <c r="G12" s="1">
        <v>679</v>
      </c>
      <c r="H12" s="1">
        <v>0</v>
      </c>
      <c r="I12" s="1">
        <v>1</v>
      </c>
      <c r="J12" s="15">
        <v>1</v>
      </c>
      <c r="K12" s="15">
        <v>1</v>
      </c>
      <c r="M12" s="15">
        <v>3.7125256673511293</v>
      </c>
      <c r="N12" s="15">
        <v>0.9955357142857143</v>
      </c>
      <c r="Q12" s="1">
        <v>30</v>
      </c>
      <c r="R12" s="1">
        <v>383</v>
      </c>
      <c r="S12" s="1">
        <v>0.02</v>
      </c>
    </row>
    <row r="13" spans="1:19" x14ac:dyDescent="0.25">
      <c r="A13" s="13" t="s">
        <v>702</v>
      </c>
      <c r="B13">
        <v>66.168377823408619</v>
      </c>
      <c r="C13" s="1">
        <v>0</v>
      </c>
      <c r="D13">
        <v>1</v>
      </c>
      <c r="F13" s="15">
        <v>1.5112936344969199</v>
      </c>
      <c r="G13" s="1">
        <v>678</v>
      </c>
      <c r="H13" s="1">
        <v>0</v>
      </c>
      <c r="I13" s="1">
        <v>1</v>
      </c>
      <c r="J13" s="15">
        <v>1</v>
      </c>
      <c r="K13" s="15">
        <v>1</v>
      </c>
      <c r="M13" s="15">
        <v>3.9425051334702257</v>
      </c>
      <c r="N13" s="15">
        <v>0.9955357142857143</v>
      </c>
      <c r="Q13" s="1">
        <v>36</v>
      </c>
      <c r="R13" s="1">
        <v>331</v>
      </c>
      <c r="S13" s="1">
        <v>0.02</v>
      </c>
    </row>
    <row r="14" spans="1:19" x14ac:dyDescent="0.25">
      <c r="A14" s="13" t="s">
        <v>701</v>
      </c>
      <c r="B14">
        <v>18.956878850102669</v>
      </c>
      <c r="C14" s="1">
        <v>1</v>
      </c>
      <c r="D14">
        <v>1</v>
      </c>
      <c r="F14" s="15">
        <v>1.8726899383983573</v>
      </c>
      <c r="G14" s="1">
        <v>677</v>
      </c>
      <c r="H14" s="1">
        <v>0</v>
      </c>
      <c r="I14" s="1">
        <v>1</v>
      </c>
      <c r="J14" s="15">
        <v>1</v>
      </c>
      <c r="K14" s="15">
        <v>1</v>
      </c>
      <c r="M14" s="15">
        <v>3.9425051334702257</v>
      </c>
      <c r="N14" s="15">
        <v>0.99404539136013692</v>
      </c>
      <c r="Q14" s="1">
        <v>42</v>
      </c>
      <c r="R14" s="1">
        <v>277</v>
      </c>
      <c r="S14" s="1">
        <v>0.02</v>
      </c>
    </row>
    <row r="15" spans="1:19" x14ac:dyDescent="0.25">
      <c r="A15" s="13" t="s">
        <v>700</v>
      </c>
      <c r="B15">
        <v>6.0451745379876796</v>
      </c>
      <c r="C15" s="1">
        <v>1</v>
      </c>
      <c r="D15">
        <v>1</v>
      </c>
      <c r="F15" s="15">
        <v>2.0698151950718686</v>
      </c>
      <c r="G15" s="1">
        <v>676</v>
      </c>
      <c r="H15" s="1">
        <v>0</v>
      </c>
      <c r="I15" s="1">
        <v>1</v>
      </c>
      <c r="J15" s="15">
        <v>1</v>
      </c>
      <c r="K15" s="15">
        <v>1</v>
      </c>
      <c r="M15" s="15">
        <v>5.2566735112936342</v>
      </c>
      <c r="N15" s="15">
        <v>0.99404539136013692</v>
      </c>
      <c r="Q15" s="1">
        <v>48</v>
      </c>
      <c r="R15" s="1">
        <v>228</v>
      </c>
      <c r="S15" s="1">
        <v>0.02</v>
      </c>
    </row>
    <row r="16" spans="1:19" x14ac:dyDescent="0.25">
      <c r="A16" s="13" t="s">
        <v>699</v>
      </c>
      <c r="B16">
        <v>60.451745379876797</v>
      </c>
      <c r="C16" s="1">
        <v>0</v>
      </c>
      <c r="D16">
        <v>1</v>
      </c>
      <c r="F16" s="15">
        <v>2.1355236139630391</v>
      </c>
      <c r="G16" s="1">
        <v>675</v>
      </c>
      <c r="H16" s="1">
        <v>0</v>
      </c>
      <c r="I16" s="1">
        <v>1</v>
      </c>
      <c r="J16" s="15">
        <v>1</v>
      </c>
      <c r="K16" s="15">
        <v>1</v>
      </c>
      <c r="M16" s="15">
        <v>5.2566735112936342</v>
      </c>
      <c r="N16" s="15">
        <v>0.99255283071244904</v>
      </c>
      <c r="Q16" s="1">
        <v>54</v>
      </c>
      <c r="R16" s="1">
        <v>183</v>
      </c>
      <c r="S16" s="1">
        <v>0.02</v>
      </c>
    </row>
    <row r="17" spans="1:19" x14ac:dyDescent="0.25">
      <c r="A17" s="13" t="s">
        <v>698</v>
      </c>
      <c r="B17">
        <v>60.517453798767967</v>
      </c>
      <c r="C17" s="1">
        <v>0</v>
      </c>
      <c r="D17">
        <v>1</v>
      </c>
      <c r="F17" s="15">
        <v>2.2012320328542097</v>
      </c>
      <c r="G17" s="1">
        <v>674</v>
      </c>
      <c r="H17" s="1">
        <v>0</v>
      </c>
      <c r="I17" s="1">
        <v>1</v>
      </c>
      <c r="J17" s="15">
        <v>1</v>
      </c>
      <c r="K17" s="15">
        <v>1</v>
      </c>
      <c r="M17" s="15">
        <v>5.5523613963039011</v>
      </c>
      <c r="N17" s="15">
        <v>0.99255283071244904</v>
      </c>
      <c r="Q17" s="1">
        <v>60</v>
      </c>
      <c r="R17" s="1">
        <v>121</v>
      </c>
      <c r="S17" s="1">
        <v>0.02</v>
      </c>
    </row>
    <row r="18" spans="1:19" x14ac:dyDescent="0.25">
      <c r="A18" s="13" t="s">
        <v>697</v>
      </c>
      <c r="B18">
        <v>59.827515400410675</v>
      </c>
      <c r="C18" s="1">
        <v>0</v>
      </c>
      <c r="D18">
        <v>1</v>
      </c>
      <c r="F18" s="15">
        <v>2.3326488706365502</v>
      </c>
      <c r="G18" s="1">
        <v>673</v>
      </c>
      <c r="H18" s="1">
        <v>0</v>
      </c>
      <c r="I18" s="1">
        <v>1</v>
      </c>
      <c r="J18" s="15">
        <v>1</v>
      </c>
      <c r="K18" s="15">
        <v>1</v>
      </c>
      <c r="M18" s="15">
        <v>5.5523613963039011</v>
      </c>
      <c r="N18" s="15">
        <v>0.99105802223246042</v>
      </c>
      <c r="Q18" s="1">
        <v>66</v>
      </c>
      <c r="R18" s="1">
        <v>74</v>
      </c>
      <c r="S18" s="1">
        <v>0.02</v>
      </c>
    </row>
    <row r="19" spans="1:19" x14ac:dyDescent="0.25">
      <c r="A19" s="13" t="s">
        <v>696</v>
      </c>
      <c r="B19">
        <v>45.043121149897331</v>
      </c>
      <c r="C19" s="1">
        <v>1</v>
      </c>
      <c r="D19">
        <v>1</v>
      </c>
      <c r="F19" s="15">
        <v>2.3655030800821355</v>
      </c>
      <c r="G19" s="1">
        <v>672</v>
      </c>
      <c r="H19" s="1">
        <v>1</v>
      </c>
      <c r="I19" s="1">
        <v>0</v>
      </c>
      <c r="J19" s="15">
        <v>0.99851190476190477</v>
      </c>
      <c r="K19" s="15">
        <v>0.99851190476190477</v>
      </c>
      <c r="M19" s="15">
        <v>5.6180698151950716</v>
      </c>
      <c r="N19" s="15">
        <v>0.99105802223246042</v>
      </c>
      <c r="Q19" s="1">
        <v>72</v>
      </c>
      <c r="R19" s="1">
        <v>36</v>
      </c>
      <c r="S19" s="1">
        <v>0.02</v>
      </c>
    </row>
    <row r="20" spans="1:19" x14ac:dyDescent="0.25">
      <c r="A20" s="13" t="s">
        <v>695</v>
      </c>
      <c r="B20">
        <v>23.227926078028748</v>
      </c>
      <c r="C20" s="1">
        <v>1</v>
      </c>
      <c r="D20">
        <v>1</v>
      </c>
      <c r="F20" s="15">
        <v>3.2197125256673513</v>
      </c>
      <c r="G20" s="1">
        <v>671</v>
      </c>
      <c r="H20" s="1">
        <v>1</v>
      </c>
      <c r="I20" s="1">
        <v>0</v>
      </c>
      <c r="J20" s="15">
        <v>0.99850968703427723</v>
      </c>
      <c r="K20" s="15">
        <v>0.99702380952380953</v>
      </c>
      <c r="M20" s="15">
        <v>5.6180698151950716</v>
      </c>
      <c r="N20" s="15">
        <v>0.9895632137524718</v>
      </c>
      <c r="Q20" s="1">
        <v>78</v>
      </c>
      <c r="R20" s="1">
        <v>16</v>
      </c>
      <c r="S20" s="1">
        <v>0.02</v>
      </c>
    </row>
    <row r="21" spans="1:19" x14ac:dyDescent="0.25">
      <c r="A21" s="13" t="s">
        <v>694</v>
      </c>
      <c r="B21">
        <v>57.264887063655031</v>
      </c>
      <c r="C21" s="1">
        <v>0</v>
      </c>
      <c r="D21">
        <v>1</v>
      </c>
      <c r="F21" s="15">
        <v>3.7125256673511293</v>
      </c>
      <c r="G21" s="1">
        <v>670</v>
      </c>
      <c r="H21" s="1">
        <v>1</v>
      </c>
      <c r="I21" s="1">
        <v>0</v>
      </c>
      <c r="J21" s="15">
        <v>0.9985074626865672</v>
      </c>
      <c r="K21" s="15">
        <v>0.9955357142857143</v>
      </c>
      <c r="M21" s="15">
        <v>5.6837782340862422</v>
      </c>
      <c r="N21" s="15">
        <v>0.9895632137524718</v>
      </c>
      <c r="Q21" s="1">
        <v>84</v>
      </c>
      <c r="R21" s="1">
        <v>3</v>
      </c>
      <c r="S21" s="1">
        <v>0.02</v>
      </c>
    </row>
    <row r="22" spans="1:19" x14ac:dyDescent="0.25">
      <c r="A22" s="13" t="s">
        <v>693</v>
      </c>
      <c r="B22">
        <v>58.513347022587268</v>
      </c>
      <c r="C22" s="1">
        <v>0</v>
      </c>
      <c r="D22">
        <v>1</v>
      </c>
      <c r="F22" s="15">
        <v>3.7453798767967146</v>
      </c>
      <c r="G22" s="1">
        <v>669</v>
      </c>
      <c r="H22" s="1">
        <v>0</v>
      </c>
      <c r="I22" s="1">
        <v>1</v>
      </c>
      <c r="J22" s="15">
        <v>1</v>
      </c>
      <c r="K22" s="15">
        <v>0.9955357142857143</v>
      </c>
      <c r="M22" s="15">
        <v>5.6837782340862422</v>
      </c>
      <c r="N22" s="15">
        <v>0.98806840527248319</v>
      </c>
      <c r="Q22" s="1">
        <v>90</v>
      </c>
      <c r="R22" s="1">
        <v>0</v>
      </c>
      <c r="S22" s="1">
        <v>0.02</v>
      </c>
    </row>
    <row r="23" spans="1:19" x14ac:dyDescent="0.25">
      <c r="A23" s="13" t="s">
        <v>692</v>
      </c>
      <c r="B23">
        <v>28.418891170431213</v>
      </c>
      <c r="C23" s="1">
        <v>1</v>
      </c>
      <c r="D23">
        <v>1</v>
      </c>
      <c r="F23" s="15">
        <v>3.9425051334702257</v>
      </c>
      <c r="G23" s="1">
        <v>668</v>
      </c>
      <c r="H23" s="1">
        <v>1</v>
      </c>
      <c r="I23" s="1">
        <v>0</v>
      </c>
      <c r="J23" s="15">
        <v>0.99850299401197606</v>
      </c>
      <c r="K23" s="15">
        <v>0.99404539136013692</v>
      </c>
      <c r="M23" s="15">
        <v>5.7494866529774127</v>
      </c>
      <c r="N23" s="15">
        <v>0.98806840527248319</v>
      </c>
    </row>
    <row r="24" spans="1:19" x14ac:dyDescent="0.25">
      <c r="A24" s="13" t="s">
        <v>691</v>
      </c>
      <c r="B24">
        <v>55.326488706365502</v>
      </c>
      <c r="C24" s="1">
        <v>1</v>
      </c>
      <c r="D24">
        <v>1</v>
      </c>
      <c r="F24" s="15">
        <v>4.862422997946612</v>
      </c>
      <c r="G24" s="1">
        <v>667</v>
      </c>
      <c r="H24" s="1">
        <v>0</v>
      </c>
      <c r="I24" s="1">
        <v>1</v>
      </c>
      <c r="J24" s="15">
        <v>1</v>
      </c>
      <c r="K24" s="15">
        <v>0.99404539136013692</v>
      </c>
      <c r="M24" s="15">
        <v>5.7494866529774127</v>
      </c>
      <c r="N24" s="15">
        <v>0.98657359679249457</v>
      </c>
    </row>
    <row r="25" spans="1:19" x14ac:dyDescent="0.25">
      <c r="A25" s="13" t="s">
        <v>690</v>
      </c>
      <c r="B25">
        <v>55.885010266940455</v>
      </c>
      <c r="C25" s="1">
        <v>0</v>
      </c>
      <c r="D25">
        <v>1</v>
      </c>
      <c r="F25" s="15">
        <v>5.2566735112936342</v>
      </c>
      <c r="G25" s="1">
        <v>666</v>
      </c>
      <c r="H25" s="1">
        <v>1</v>
      </c>
      <c r="I25" s="1">
        <v>0</v>
      </c>
      <c r="J25" s="15">
        <v>0.99849849849849848</v>
      </c>
      <c r="K25" s="15">
        <v>0.99255283071244904</v>
      </c>
      <c r="M25" s="15">
        <v>5.8151950718685832</v>
      </c>
      <c r="N25" s="15">
        <v>0.98657359679249457</v>
      </c>
    </row>
    <row r="26" spans="1:19" x14ac:dyDescent="0.25">
      <c r="A26" s="13" t="s">
        <v>689</v>
      </c>
      <c r="B26">
        <v>55.885010266940455</v>
      </c>
      <c r="C26" s="1">
        <v>0</v>
      </c>
      <c r="D26">
        <v>1</v>
      </c>
      <c r="F26" s="15">
        <v>5.5195071868583163</v>
      </c>
      <c r="G26" s="1">
        <v>665</v>
      </c>
      <c r="H26" s="1">
        <v>0</v>
      </c>
      <c r="I26" s="1">
        <v>1</v>
      </c>
      <c r="J26" s="15">
        <v>1</v>
      </c>
      <c r="K26" s="15">
        <v>0.99255283071244904</v>
      </c>
      <c r="M26" s="15">
        <v>5.8151950718685832</v>
      </c>
      <c r="N26" s="15">
        <v>0.98358397983251733</v>
      </c>
    </row>
    <row r="27" spans="1:19" x14ac:dyDescent="0.25">
      <c r="A27" s="13" t="s">
        <v>688</v>
      </c>
      <c r="B27">
        <v>55.622176591375769</v>
      </c>
      <c r="C27" s="1">
        <v>0</v>
      </c>
      <c r="D27">
        <v>1</v>
      </c>
      <c r="F27" s="15">
        <v>5.5523613963039011</v>
      </c>
      <c r="G27" s="1">
        <v>664</v>
      </c>
      <c r="H27" s="1">
        <v>1</v>
      </c>
      <c r="I27" s="1">
        <v>0</v>
      </c>
      <c r="J27" s="15">
        <v>0.99849397590361444</v>
      </c>
      <c r="K27" s="15">
        <v>0.99105802223246042</v>
      </c>
      <c r="M27" s="15">
        <v>5.9137577002053385</v>
      </c>
      <c r="N27" s="15">
        <v>0.98358397983251733</v>
      </c>
    </row>
    <row r="28" spans="1:19" x14ac:dyDescent="0.25">
      <c r="A28" s="13" t="s">
        <v>687</v>
      </c>
      <c r="B28">
        <v>12.451745379876797</v>
      </c>
      <c r="C28" s="1">
        <v>1</v>
      </c>
      <c r="D28">
        <v>1</v>
      </c>
      <c r="F28" s="15">
        <v>5.6180698151950716</v>
      </c>
      <c r="G28" s="1">
        <v>663</v>
      </c>
      <c r="H28" s="1">
        <v>1</v>
      </c>
      <c r="I28" s="1">
        <v>0</v>
      </c>
      <c r="J28" s="15">
        <v>0.99849170437405732</v>
      </c>
      <c r="K28" s="15">
        <v>0.9895632137524718</v>
      </c>
      <c r="M28" s="15">
        <v>5.9137577002053385</v>
      </c>
      <c r="N28" s="15">
        <v>0.98208689614936273</v>
      </c>
    </row>
    <row r="29" spans="1:19" x14ac:dyDescent="0.25">
      <c r="A29" s="13" t="s">
        <v>686</v>
      </c>
      <c r="B29">
        <v>36.303901437371664</v>
      </c>
      <c r="C29" s="1">
        <v>1</v>
      </c>
      <c r="D29">
        <v>1</v>
      </c>
      <c r="F29" s="15">
        <v>5.6837782340862422</v>
      </c>
      <c r="G29" s="1">
        <v>662</v>
      </c>
      <c r="H29" s="1">
        <v>1</v>
      </c>
      <c r="I29" s="1">
        <v>0</v>
      </c>
      <c r="J29" s="15">
        <v>0.99848942598187307</v>
      </c>
      <c r="K29" s="15">
        <v>0.98806840527248319</v>
      </c>
      <c r="M29" s="15">
        <v>5.9466119096509242</v>
      </c>
      <c r="N29" s="15">
        <v>0.98208689614936273</v>
      </c>
    </row>
    <row r="30" spans="1:19" x14ac:dyDescent="0.25">
      <c r="A30" s="13" t="s">
        <v>685</v>
      </c>
      <c r="B30">
        <v>18.004106776180699</v>
      </c>
      <c r="C30" s="1">
        <v>1</v>
      </c>
      <c r="D30">
        <v>1</v>
      </c>
      <c r="F30" s="15">
        <v>5.7494866529774127</v>
      </c>
      <c r="G30" s="1">
        <v>661</v>
      </c>
      <c r="H30" s="1">
        <v>1</v>
      </c>
      <c r="I30" s="1">
        <v>0</v>
      </c>
      <c r="J30" s="15">
        <v>0.99848714069591527</v>
      </c>
      <c r="K30" s="15">
        <v>0.98657359679249457</v>
      </c>
      <c r="M30" s="15">
        <v>5.9466119096509242</v>
      </c>
      <c r="N30" s="15">
        <v>0.98058981246620824</v>
      </c>
    </row>
    <row r="31" spans="1:19" x14ac:dyDescent="0.25">
      <c r="A31" s="13" t="s">
        <v>684</v>
      </c>
      <c r="B31">
        <v>42.579055441478438</v>
      </c>
      <c r="C31" s="1">
        <v>1</v>
      </c>
      <c r="D31">
        <v>1</v>
      </c>
      <c r="F31" s="15">
        <v>5.8151950718685832</v>
      </c>
      <c r="G31" s="1">
        <v>660</v>
      </c>
      <c r="H31" s="1">
        <v>2</v>
      </c>
      <c r="I31" s="1">
        <v>1</v>
      </c>
      <c r="J31" s="15">
        <v>0.99696969696969695</v>
      </c>
      <c r="K31" s="15">
        <v>0.98358397983251733</v>
      </c>
      <c r="M31" s="15">
        <v>6.0451745379876796</v>
      </c>
      <c r="N31" s="15">
        <v>0.98058981246620824</v>
      </c>
    </row>
    <row r="32" spans="1:19" x14ac:dyDescent="0.25">
      <c r="A32" s="13" t="s">
        <v>750</v>
      </c>
      <c r="B32">
        <v>48.722792607802873</v>
      </c>
      <c r="C32" s="1">
        <v>0</v>
      </c>
      <c r="D32">
        <v>1</v>
      </c>
      <c r="F32" s="15">
        <v>5.9137577002053385</v>
      </c>
      <c r="G32" s="1">
        <v>657</v>
      </c>
      <c r="H32" s="1">
        <v>1</v>
      </c>
      <c r="I32" s="1">
        <v>0</v>
      </c>
      <c r="J32" s="15">
        <v>0.99847792998477924</v>
      </c>
      <c r="K32" s="15">
        <v>0.98208689614936273</v>
      </c>
      <c r="M32" s="15">
        <v>6.0451745379876796</v>
      </c>
      <c r="N32" s="15">
        <v>0.97909272878305376</v>
      </c>
    </row>
    <row r="33" spans="1:14" x14ac:dyDescent="0.25">
      <c r="A33" s="13" t="s">
        <v>683</v>
      </c>
      <c r="B33">
        <v>51.581108829568791</v>
      </c>
      <c r="C33" s="1">
        <v>0</v>
      </c>
      <c r="D33">
        <v>1</v>
      </c>
      <c r="F33" s="15">
        <v>5.9466119096509242</v>
      </c>
      <c r="G33" s="1">
        <v>656</v>
      </c>
      <c r="H33" s="1">
        <v>1</v>
      </c>
      <c r="I33" s="1">
        <v>0</v>
      </c>
      <c r="J33" s="15">
        <v>0.99847560975609762</v>
      </c>
      <c r="K33" s="15">
        <v>0.98058981246620824</v>
      </c>
      <c r="M33" s="15">
        <v>6.2751540041067759</v>
      </c>
      <c r="N33" s="15">
        <v>0.97909272878305376</v>
      </c>
    </row>
    <row r="34" spans="1:14" x14ac:dyDescent="0.25">
      <c r="A34" s="13" t="s">
        <v>682</v>
      </c>
      <c r="B34">
        <v>48.262833675564679</v>
      </c>
      <c r="C34" s="1">
        <v>0</v>
      </c>
      <c r="D34">
        <v>1</v>
      </c>
      <c r="F34" s="15">
        <v>6.0451745379876796</v>
      </c>
      <c r="G34" s="1">
        <v>655</v>
      </c>
      <c r="H34" s="1">
        <v>1</v>
      </c>
      <c r="I34" s="1">
        <v>0</v>
      </c>
      <c r="J34" s="15">
        <v>0.99847328244274813</v>
      </c>
      <c r="K34" s="15">
        <v>0.97909272878305376</v>
      </c>
      <c r="M34" s="15">
        <v>6.2751540041067759</v>
      </c>
      <c r="N34" s="15">
        <v>0.97759335247557588</v>
      </c>
    </row>
    <row r="35" spans="1:14" x14ac:dyDescent="0.25">
      <c r="A35" s="13" t="s">
        <v>681</v>
      </c>
      <c r="B35">
        <v>48.361396303901437</v>
      </c>
      <c r="C35" s="1">
        <v>0</v>
      </c>
      <c r="D35">
        <v>1</v>
      </c>
      <c r="F35" s="15">
        <v>6.1108829568788501</v>
      </c>
      <c r="G35" s="1">
        <v>654</v>
      </c>
      <c r="H35" s="1">
        <v>0</v>
      </c>
      <c r="I35" s="1">
        <v>1</v>
      </c>
      <c r="J35" s="15">
        <v>1</v>
      </c>
      <c r="K35" s="15">
        <v>0.97909272878305376</v>
      </c>
      <c r="M35" s="15">
        <v>6.406570841889117</v>
      </c>
      <c r="N35" s="15">
        <v>0.97759335247557588</v>
      </c>
    </row>
    <row r="36" spans="1:14" x14ac:dyDescent="0.25">
      <c r="A36" s="13" t="s">
        <v>680</v>
      </c>
      <c r="B36">
        <v>44.090349075975361</v>
      </c>
      <c r="C36" s="1">
        <v>0</v>
      </c>
      <c r="D36">
        <v>1</v>
      </c>
      <c r="F36" s="15">
        <v>6.2751540041067759</v>
      </c>
      <c r="G36" s="1">
        <v>653</v>
      </c>
      <c r="H36" s="1">
        <v>1</v>
      </c>
      <c r="I36" s="1">
        <v>0</v>
      </c>
      <c r="J36" s="15">
        <v>0.99846860643185298</v>
      </c>
      <c r="K36" s="15">
        <v>0.97759335247557588</v>
      </c>
      <c r="M36" s="15">
        <v>6.406570841889117</v>
      </c>
      <c r="N36" s="15">
        <v>0.97609397616809801</v>
      </c>
    </row>
    <row r="37" spans="1:14" x14ac:dyDescent="0.25">
      <c r="A37" s="13" t="s">
        <v>679</v>
      </c>
      <c r="B37">
        <v>44.320328542094458</v>
      </c>
      <c r="C37" s="1">
        <v>0</v>
      </c>
      <c r="D37">
        <v>1</v>
      </c>
      <c r="F37" s="15">
        <v>6.406570841889117</v>
      </c>
      <c r="G37" s="1">
        <v>652</v>
      </c>
      <c r="H37" s="1">
        <v>1</v>
      </c>
      <c r="I37" s="1">
        <v>1</v>
      </c>
      <c r="J37" s="15">
        <v>0.99846625766871167</v>
      </c>
      <c r="K37" s="15">
        <v>0.97609397616809801</v>
      </c>
      <c r="M37" s="15">
        <v>6.7351129363449695</v>
      </c>
      <c r="N37" s="15">
        <v>0.97609397616809801</v>
      </c>
    </row>
    <row r="38" spans="1:14" x14ac:dyDescent="0.25">
      <c r="A38" s="13" t="s">
        <v>678</v>
      </c>
      <c r="B38">
        <v>38.176591375770023</v>
      </c>
      <c r="C38" s="1">
        <v>1</v>
      </c>
      <c r="D38">
        <v>1</v>
      </c>
      <c r="F38" s="15">
        <v>6.7351129363449695</v>
      </c>
      <c r="G38" s="1">
        <v>650</v>
      </c>
      <c r="H38" s="1">
        <v>1</v>
      </c>
      <c r="I38" s="1">
        <v>0</v>
      </c>
      <c r="J38" s="15">
        <v>0.99846153846153851</v>
      </c>
      <c r="K38" s="15">
        <v>0.97459229312783946</v>
      </c>
      <c r="M38" s="15">
        <v>6.7351129363449695</v>
      </c>
      <c r="N38" s="15">
        <v>0.97459229312783946</v>
      </c>
    </row>
    <row r="39" spans="1:14" x14ac:dyDescent="0.25">
      <c r="A39" s="13" t="s">
        <v>677</v>
      </c>
      <c r="B39">
        <v>44.090349075975361</v>
      </c>
      <c r="C39" s="1">
        <v>0</v>
      </c>
      <c r="D39">
        <v>1</v>
      </c>
      <c r="F39" s="15">
        <v>6.9979466119096507</v>
      </c>
      <c r="G39" s="1">
        <v>649</v>
      </c>
      <c r="H39" s="1">
        <v>0</v>
      </c>
      <c r="I39" s="1">
        <v>1</v>
      </c>
      <c r="J39" s="15">
        <v>1</v>
      </c>
      <c r="K39" s="15">
        <v>0.97459229312783946</v>
      </c>
      <c r="M39" s="15">
        <v>7.3264887063655033</v>
      </c>
      <c r="N39" s="15">
        <v>0.97459229312783946</v>
      </c>
    </row>
    <row r="40" spans="1:14" x14ac:dyDescent="0.25">
      <c r="A40" s="13" t="s">
        <v>676</v>
      </c>
      <c r="B40">
        <v>26.184804928131417</v>
      </c>
      <c r="C40" s="1">
        <v>1</v>
      </c>
      <c r="D40">
        <v>1</v>
      </c>
      <c r="F40" s="15">
        <v>7.3264887063655033</v>
      </c>
      <c r="G40" s="1">
        <v>648</v>
      </c>
      <c r="H40" s="1">
        <v>1</v>
      </c>
      <c r="I40" s="1">
        <v>0</v>
      </c>
      <c r="J40" s="15">
        <v>0.99845679012345678</v>
      </c>
      <c r="K40" s="15">
        <v>0.97308829267548169</v>
      </c>
      <c r="M40" s="15">
        <v>7.3264887063655033</v>
      </c>
      <c r="N40" s="15">
        <v>0.97308829267548169</v>
      </c>
    </row>
    <row r="41" spans="1:14" x14ac:dyDescent="0.25">
      <c r="A41" s="13" t="s">
        <v>675</v>
      </c>
      <c r="B41">
        <v>40.476386036960989</v>
      </c>
      <c r="C41" s="1">
        <v>0</v>
      </c>
      <c r="D41">
        <v>1</v>
      </c>
      <c r="F41" s="15">
        <v>7.4579055441478443</v>
      </c>
      <c r="G41" s="1">
        <v>647</v>
      </c>
      <c r="H41" s="1">
        <v>1</v>
      </c>
      <c r="I41" s="1">
        <v>0</v>
      </c>
      <c r="J41" s="15">
        <v>0.99845440494590421</v>
      </c>
      <c r="K41" s="15">
        <v>0.97158429222312392</v>
      </c>
      <c r="M41" s="15">
        <v>7.4579055441478443</v>
      </c>
      <c r="N41" s="15">
        <v>0.97308829267548169</v>
      </c>
    </row>
    <row r="42" spans="1:14" x14ac:dyDescent="0.25">
      <c r="A42" s="13" t="s">
        <v>674</v>
      </c>
      <c r="B42">
        <v>40.410677618069812</v>
      </c>
      <c r="C42" s="1">
        <v>0</v>
      </c>
      <c r="D42">
        <v>1</v>
      </c>
      <c r="F42" s="15">
        <v>7.523613963039014</v>
      </c>
      <c r="G42" s="1">
        <v>646</v>
      </c>
      <c r="H42" s="1">
        <v>0</v>
      </c>
      <c r="I42" s="1">
        <v>1</v>
      </c>
      <c r="J42" s="15">
        <v>1</v>
      </c>
      <c r="K42" s="15">
        <v>0.97158429222312392</v>
      </c>
      <c r="M42" s="15">
        <v>7.4579055441478443</v>
      </c>
      <c r="N42" s="15">
        <v>0.97158429222312392</v>
      </c>
    </row>
    <row r="43" spans="1:14" x14ac:dyDescent="0.25">
      <c r="A43" s="13" t="s">
        <v>673</v>
      </c>
      <c r="B43">
        <v>39.589322381930188</v>
      </c>
      <c r="C43" s="1">
        <v>0</v>
      </c>
      <c r="D43">
        <v>1</v>
      </c>
      <c r="F43" s="15">
        <v>7.655030800821355</v>
      </c>
      <c r="G43" s="1">
        <v>645</v>
      </c>
      <c r="H43" s="1">
        <v>1</v>
      </c>
      <c r="I43" s="1">
        <v>0</v>
      </c>
      <c r="J43" s="15">
        <v>0.99844961240310082</v>
      </c>
      <c r="K43" s="15">
        <v>0.9700779599871191</v>
      </c>
      <c r="M43" s="15">
        <v>7.655030800821355</v>
      </c>
      <c r="N43" s="15">
        <v>0.97158429222312392</v>
      </c>
    </row>
    <row r="44" spans="1:14" x14ac:dyDescent="0.25">
      <c r="A44" s="13" t="s">
        <v>672</v>
      </c>
      <c r="B44">
        <v>35.811088295687888</v>
      </c>
      <c r="C44" s="1">
        <v>0</v>
      </c>
      <c r="D44">
        <v>1</v>
      </c>
      <c r="F44" s="15">
        <v>7.8193018480492817</v>
      </c>
      <c r="G44" s="1">
        <v>644</v>
      </c>
      <c r="H44" s="1">
        <v>1</v>
      </c>
      <c r="I44" s="1">
        <v>0</v>
      </c>
      <c r="J44" s="15">
        <v>0.99844720496894412</v>
      </c>
      <c r="K44" s="15">
        <v>0.96857162775111427</v>
      </c>
      <c r="M44" s="15">
        <v>7.655030800821355</v>
      </c>
      <c r="N44" s="15">
        <v>0.9700779599871191</v>
      </c>
    </row>
    <row r="45" spans="1:14" x14ac:dyDescent="0.25">
      <c r="A45" s="13" t="s">
        <v>671</v>
      </c>
      <c r="B45">
        <v>35.975359342915809</v>
      </c>
      <c r="C45" s="1">
        <v>0</v>
      </c>
      <c r="D45">
        <v>1</v>
      </c>
      <c r="F45" s="15">
        <v>7.9178644763860371</v>
      </c>
      <c r="G45" s="1">
        <v>643</v>
      </c>
      <c r="H45" s="1">
        <v>1</v>
      </c>
      <c r="I45" s="1">
        <v>0</v>
      </c>
      <c r="J45" s="15">
        <v>0.99844479004665632</v>
      </c>
      <c r="K45" s="15">
        <v>0.96706529551510945</v>
      </c>
      <c r="M45" s="15">
        <v>7.8193018480492817</v>
      </c>
      <c r="N45" s="15">
        <v>0.9700779599871191</v>
      </c>
    </row>
    <row r="46" spans="1:14" x14ac:dyDescent="0.25">
      <c r="A46" s="13" t="s">
        <v>670</v>
      </c>
      <c r="B46">
        <v>14.751540041067761</v>
      </c>
      <c r="C46" s="1">
        <v>1</v>
      </c>
      <c r="D46">
        <v>1</v>
      </c>
      <c r="F46" s="15">
        <v>7.9507186858316219</v>
      </c>
      <c r="G46" s="1">
        <v>642</v>
      </c>
      <c r="H46" s="1">
        <v>1</v>
      </c>
      <c r="I46" s="1">
        <v>0</v>
      </c>
      <c r="J46" s="15">
        <v>0.99844236760124616</v>
      </c>
      <c r="K46" s="15">
        <v>0.96555896327910462</v>
      </c>
      <c r="M46" s="15">
        <v>7.8193018480492817</v>
      </c>
      <c r="N46" s="15">
        <v>0.96857162775111427</v>
      </c>
    </row>
    <row r="47" spans="1:14" x14ac:dyDescent="0.25">
      <c r="A47" s="13" t="s">
        <v>669</v>
      </c>
      <c r="B47">
        <v>31.93429158110883</v>
      </c>
      <c r="C47" s="1">
        <v>0</v>
      </c>
      <c r="D47">
        <v>1</v>
      </c>
      <c r="F47" s="15">
        <v>8.1149897330595486</v>
      </c>
      <c r="G47" s="1">
        <v>641</v>
      </c>
      <c r="H47" s="1">
        <v>1</v>
      </c>
      <c r="I47" s="1">
        <v>0</v>
      </c>
      <c r="J47" s="15">
        <v>0.99843993759750393</v>
      </c>
      <c r="K47" s="15">
        <v>0.96405263104309979</v>
      </c>
      <c r="M47" s="15">
        <v>7.9178644763860371</v>
      </c>
      <c r="N47" s="15">
        <v>0.96857162775111427</v>
      </c>
    </row>
    <row r="48" spans="1:14" x14ac:dyDescent="0.25">
      <c r="A48" s="13" t="s">
        <v>668</v>
      </c>
      <c r="B48">
        <v>27.104722792607802</v>
      </c>
      <c r="C48" s="1">
        <v>0</v>
      </c>
      <c r="D48">
        <v>1</v>
      </c>
      <c r="F48" s="15">
        <v>8.1806981519507183</v>
      </c>
      <c r="G48" s="1">
        <v>640</v>
      </c>
      <c r="H48" s="1">
        <v>1</v>
      </c>
      <c r="I48" s="1">
        <v>0</v>
      </c>
      <c r="J48" s="15">
        <v>0.99843749999999998</v>
      </c>
      <c r="K48" s="15">
        <v>0.96254629880709497</v>
      </c>
      <c r="M48" s="15">
        <v>7.9178644763860371</v>
      </c>
      <c r="N48" s="15">
        <v>0.96706529551510945</v>
      </c>
    </row>
    <row r="49" spans="1:14" x14ac:dyDescent="0.25">
      <c r="A49" s="13" t="s">
        <v>667</v>
      </c>
      <c r="B49">
        <v>80.098562628336751</v>
      </c>
      <c r="C49" s="1">
        <v>0</v>
      </c>
      <c r="D49">
        <v>1</v>
      </c>
      <c r="F49" s="15">
        <v>8.2464065708418897</v>
      </c>
      <c r="G49" s="1">
        <v>639</v>
      </c>
      <c r="H49" s="1">
        <v>1</v>
      </c>
      <c r="I49" s="1">
        <v>0</v>
      </c>
      <c r="J49" s="15">
        <v>0.99843505477308292</v>
      </c>
      <c r="K49" s="15">
        <v>0.96103996657109014</v>
      </c>
      <c r="M49" s="15">
        <v>7.9507186858316219</v>
      </c>
      <c r="N49" s="15">
        <v>0.96706529551510945</v>
      </c>
    </row>
    <row r="50" spans="1:14" x14ac:dyDescent="0.25">
      <c r="A50" s="13" t="s">
        <v>666</v>
      </c>
      <c r="B50">
        <v>73.363449691991789</v>
      </c>
      <c r="C50" s="1">
        <v>0</v>
      </c>
      <c r="D50">
        <v>1</v>
      </c>
      <c r="F50" s="15">
        <v>8.9363449691991779</v>
      </c>
      <c r="G50" s="1">
        <v>638</v>
      </c>
      <c r="H50" s="1">
        <v>2</v>
      </c>
      <c r="I50" s="1">
        <v>0</v>
      </c>
      <c r="J50" s="15">
        <v>0.99686520376175547</v>
      </c>
      <c r="K50" s="15">
        <v>0.95802730209908049</v>
      </c>
      <c r="M50" s="15">
        <v>7.9507186858316219</v>
      </c>
      <c r="N50" s="15">
        <v>0.96555896327910462</v>
      </c>
    </row>
    <row r="51" spans="1:14" x14ac:dyDescent="0.25">
      <c r="A51" s="13" t="s">
        <v>665</v>
      </c>
      <c r="B51">
        <v>9.3963039014373724</v>
      </c>
      <c r="C51" s="1">
        <v>1</v>
      </c>
      <c r="D51">
        <v>1</v>
      </c>
      <c r="F51" s="15">
        <v>8.9691991786447645</v>
      </c>
      <c r="G51" s="1">
        <v>636</v>
      </c>
      <c r="H51" s="1">
        <v>0</v>
      </c>
      <c r="I51" s="1">
        <v>1</v>
      </c>
      <c r="J51" s="15">
        <v>1</v>
      </c>
      <c r="K51" s="15">
        <v>0.95802730209908049</v>
      </c>
      <c r="M51" s="15">
        <v>8.1149897330595486</v>
      </c>
      <c r="N51" s="15">
        <v>0.96555896327910462</v>
      </c>
    </row>
    <row r="52" spans="1:14" x14ac:dyDescent="0.25">
      <c r="A52" s="13" t="s">
        <v>664</v>
      </c>
      <c r="B52">
        <v>61.141683778234089</v>
      </c>
      <c r="C52" s="1">
        <v>0</v>
      </c>
      <c r="D52">
        <v>1</v>
      </c>
      <c r="F52" s="15">
        <v>9.0349075975359341</v>
      </c>
      <c r="G52" s="1">
        <v>635</v>
      </c>
      <c r="H52" s="1">
        <v>1</v>
      </c>
      <c r="I52" s="1">
        <v>0</v>
      </c>
      <c r="J52" s="15">
        <v>0.99842519685039366</v>
      </c>
      <c r="K52" s="15">
        <v>0.95651859768632597</v>
      </c>
      <c r="M52" s="15">
        <v>8.1149897330595486</v>
      </c>
      <c r="N52" s="15">
        <v>0.96405263104309979</v>
      </c>
    </row>
    <row r="53" spans="1:14" x14ac:dyDescent="0.25">
      <c r="A53" s="13" t="s">
        <v>663</v>
      </c>
      <c r="B53">
        <v>35.482546201232033</v>
      </c>
      <c r="C53" s="1">
        <v>1</v>
      </c>
      <c r="D53">
        <v>1</v>
      </c>
      <c r="F53" s="15">
        <v>9.0677618069815189</v>
      </c>
      <c r="G53" s="1">
        <v>634</v>
      </c>
      <c r="H53" s="1">
        <v>0</v>
      </c>
      <c r="I53" s="1">
        <v>1</v>
      </c>
      <c r="J53" s="15">
        <v>1</v>
      </c>
      <c r="K53" s="15">
        <v>0.95651859768632597</v>
      </c>
      <c r="M53" s="15">
        <v>8.1806981519507183</v>
      </c>
      <c r="N53" s="15">
        <v>0.96405263104309979</v>
      </c>
    </row>
    <row r="54" spans="1:14" x14ac:dyDescent="0.25">
      <c r="A54" s="13" t="s">
        <v>662</v>
      </c>
      <c r="B54">
        <v>49.97125256673511</v>
      </c>
      <c r="C54" s="1">
        <v>1</v>
      </c>
      <c r="D54">
        <v>1</v>
      </c>
      <c r="F54" s="15">
        <v>9.2320328542094447</v>
      </c>
      <c r="G54" s="1">
        <v>633</v>
      </c>
      <c r="H54" s="1">
        <v>2</v>
      </c>
      <c r="I54" s="1">
        <v>0</v>
      </c>
      <c r="J54" s="15">
        <v>0.99684044233807267</v>
      </c>
      <c r="K54" s="15">
        <v>0.95349642202223017</v>
      </c>
      <c r="M54" s="15">
        <v>8.1806981519507183</v>
      </c>
      <c r="N54" s="15">
        <v>0.96254629880709497</v>
      </c>
    </row>
    <row r="55" spans="1:14" x14ac:dyDescent="0.25">
      <c r="A55" s="13" t="s">
        <v>661</v>
      </c>
      <c r="B55">
        <v>55.622176591375769</v>
      </c>
      <c r="C55" s="1">
        <v>0</v>
      </c>
      <c r="D55">
        <v>1</v>
      </c>
      <c r="F55" s="15">
        <v>9.3634496919917858</v>
      </c>
      <c r="G55" s="1">
        <v>631</v>
      </c>
      <c r="H55" s="1">
        <v>2</v>
      </c>
      <c r="I55" s="1">
        <v>0</v>
      </c>
      <c r="J55" s="15">
        <v>0.99683042789223453</v>
      </c>
      <c r="K55" s="15">
        <v>0.95047424635813438</v>
      </c>
      <c r="M55" s="15">
        <v>8.2464065708418897</v>
      </c>
      <c r="N55" s="15">
        <v>0.96254629880709497</v>
      </c>
    </row>
    <row r="56" spans="1:14" x14ac:dyDescent="0.25">
      <c r="A56" s="13" t="s">
        <v>660</v>
      </c>
      <c r="B56">
        <v>50.201232032854207</v>
      </c>
      <c r="C56" s="1">
        <v>1</v>
      </c>
      <c r="D56">
        <v>1</v>
      </c>
      <c r="F56" s="15">
        <v>9.3963039014373724</v>
      </c>
      <c r="G56" s="1">
        <v>629</v>
      </c>
      <c r="H56" s="1">
        <v>1</v>
      </c>
      <c r="I56" s="1">
        <v>0</v>
      </c>
      <c r="J56" s="15">
        <v>0.99841017488076311</v>
      </c>
      <c r="K56" s="15">
        <v>0.94896315852608648</v>
      </c>
      <c r="M56" s="15">
        <v>8.2464065708418897</v>
      </c>
      <c r="N56" s="15">
        <v>0.96103996657109014</v>
      </c>
    </row>
    <row r="57" spans="1:14" x14ac:dyDescent="0.25">
      <c r="A57" s="13" t="s">
        <v>659</v>
      </c>
      <c r="B57">
        <v>5.5523613963039011</v>
      </c>
      <c r="C57" s="1">
        <v>1</v>
      </c>
      <c r="D57">
        <v>1</v>
      </c>
      <c r="F57" s="15">
        <v>9.462012320328542</v>
      </c>
      <c r="G57" s="1">
        <v>628</v>
      </c>
      <c r="H57" s="1">
        <v>1</v>
      </c>
      <c r="I57" s="1">
        <v>0</v>
      </c>
      <c r="J57" s="15">
        <v>0.99840764331210186</v>
      </c>
      <c r="K57" s="15">
        <v>0.94745207069403847</v>
      </c>
      <c r="M57" s="15">
        <v>8.9363449691991779</v>
      </c>
      <c r="N57" s="15">
        <v>0.96103996657109014</v>
      </c>
    </row>
    <row r="58" spans="1:14" x14ac:dyDescent="0.25">
      <c r="A58" s="13" t="s">
        <v>658</v>
      </c>
      <c r="B58">
        <v>8.9363449691991779</v>
      </c>
      <c r="C58" s="1">
        <v>1</v>
      </c>
      <c r="D58">
        <v>1</v>
      </c>
      <c r="F58" s="15">
        <v>9.6262833675564679</v>
      </c>
      <c r="G58" s="1">
        <v>627</v>
      </c>
      <c r="H58" s="1">
        <v>1</v>
      </c>
      <c r="I58" s="1">
        <v>0</v>
      </c>
      <c r="J58" s="15">
        <v>0.99840510366826152</v>
      </c>
      <c r="K58" s="15">
        <v>0.94594098286199058</v>
      </c>
      <c r="M58" s="15">
        <v>8.9363449691991779</v>
      </c>
      <c r="N58" s="15">
        <v>0.95802730209908049</v>
      </c>
    </row>
    <row r="59" spans="1:14" x14ac:dyDescent="0.25">
      <c r="A59" s="13" t="s">
        <v>657</v>
      </c>
      <c r="B59">
        <v>24.016427104722794</v>
      </c>
      <c r="C59" s="1">
        <v>1</v>
      </c>
      <c r="D59">
        <v>1</v>
      </c>
      <c r="F59" s="15">
        <v>9.7248459958932241</v>
      </c>
      <c r="G59" s="1">
        <v>626</v>
      </c>
      <c r="H59" s="1">
        <v>0</v>
      </c>
      <c r="I59" s="1">
        <v>1</v>
      </c>
      <c r="J59" s="15">
        <v>1</v>
      </c>
      <c r="K59" s="15">
        <v>0.94594098286199058</v>
      </c>
      <c r="M59" s="15">
        <v>9.0349075975359341</v>
      </c>
      <c r="N59" s="15">
        <v>0.95802730209908049</v>
      </c>
    </row>
    <row r="60" spans="1:14" x14ac:dyDescent="0.25">
      <c r="A60" s="13" t="s">
        <v>656</v>
      </c>
      <c r="B60">
        <v>67.646817248459953</v>
      </c>
      <c r="C60" s="1">
        <v>0</v>
      </c>
      <c r="D60">
        <v>1</v>
      </c>
      <c r="F60" s="15">
        <v>10.020533880903491</v>
      </c>
      <c r="G60" s="1">
        <v>625</v>
      </c>
      <c r="H60" s="1">
        <v>1</v>
      </c>
      <c r="I60" s="1">
        <v>0</v>
      </c>
      <c r="J60" s="15">
        <v>0.99839999999999995</v>
      </c>
      <c r="K60" s="15">
        <v>0.94442747728941134</v>
      </c>
      <c r="M60" s="15">
        <v>9.0349075975359341</v>
      </c>
      <c r="N60" s="15">
        <v>0.95651859768632597</v>
      </c>
    </row>
    <row r="61" spans="1:14" x14ac:dyDescent="0.25">
      <c r="A61" s="13" t="s">
        <v>655</v>
      </c>
      <c r="B61">
        <v>60.878850102669404</v>
      </c>
      <c r="C61" s="1">
        <v>0</v>
      </c>
      <c r="D61">
        <v>1</v>
      </c>
      <c r="F61" s="15">
        <v>10.086242299794661</v>
      </c>
      <c r="G61" s="1">
        <v>624</v>
      </c>
      <c r="H61" s="1">
        <v>1</v>
      </c>
      <c r="I61" s="1">
        <v>0</v>
      </c>
      <c r="J61" s="15">
        <v>0.9983974358974359</v>
      </c>
      <c r="K61" s="15">
        <v>0.94291397171683211</v>
      </c>
      <c r="M61" s="15">
        <v>9.2320328542094447</v>
      </c>
      <c r="N61" s="15">
        <v>0.95651859768632597</v>
      </c>
    </row>
    <row r="62" spans="1:14" x14ac:dyDescent="0.25">
      <c r="A62" s="13" t="s">
        <v>654</v>
      </c>
      <c r="B62">
        <v>60.911704312114992</v>
      </c>
      <c r="C62" s="1">
        <v>0</v>
      </c>
      <c r="D62">
        <v>1</v>
      </c>
      <c r="F62" s="15">
        <v>10.119096509240247</v>
      </c>
      <c r="G62" s="1">
        <v>623</v>
      </c>
      <c r="H62" s="1">
        <v>2</v>
      </c>
      <c r="I62" s="1">
        <v>0</v>
      </c>
      <c r="J62" s="15">
        <v>0.9967897271268058</v>
      </c>
      <c r="K62" s="15">
        <v>0.93988696057167376</v>
      </c>
      <c r="M62" s="15">
        <v>9.2320328542094447</v>
      </c>
      <c r="N62" s="15">
        <v>0.95349642202223017</v>
      </c>
    </row>
    <row r="63" spans="1:14" x14ac:dyDescent="0.25">
      <c r="A63" s="13" t="s">
        <v>653</v>
      </c>
      <c r="B63">
        <v>54.045174537987677</v>
      </c>
      <c r="C63" s="1">
        <v>0</v>
      </c>
      <c r="D63">
        <v>1</v>
      </c>
      <c r="F63" s="15">
        <v>10.184804928131417</v>
      </c>
      <c r="G63" s="1">
        <v>621</v>
      </c>
      <c r="H63" s="1">
        <v>0</v>
      </c>
      <c r="I63" s="1">
        <v>1</v>
      </c>
      <c r="J63" s="15">
        <v>1</v>
      </c>
      <c r="K63" s="15">
        <v>0.93988696057167376</v>
      </c>
      <c r="M63" s="15">
        <v>9.3634496919917858</v>
      </c>
      <c r="N63" s="15">
        <v>0.95349642202223017</v>
      </c>
    </row>
    <row r="64" spans="1:14" x14ac:dyDescent="0.25">
      <c r="A64" s="13" t="s">
        <v>652</v>
      </c>
      <c r="B64">
        <v>17.872689938398356</v>
      </c>
      <c r="C64" s="1">
        <v>1</v>
      </c>
      <c r="D64">
        <v>1</v>
      </c>
      <c r="F64" s="15">
        <v>10.381930184804927</v>
      </c>
      <c r="G64" s="1">
        <v>620</v>
      </c>
      <c r="H64" s="1">
        <v>1</v>
      </c>
      <c r="I64" s="1">
        <v>0</v>
      </c>
      <c r="J64" s="15">
        <v>0.99838709677419357</v>
      </c>
      <c r="K64" s="15">
        <v>0.93837101386107435</v>
      </c>
      <c r="M64" s="15">
        <v>9.3634496919917858</v>
      </c>
      <c r="N64" s="15">
        <v>0.95047424635813438</v>
      </c>
    </row>
    <row r="65" spans="1:14" x14ac:dyDescent="0.25">
      <c r="A65" s="13" t="s">
        <v>651</v>
      </c>
      <c r="B65">
        <v>54.735112936344969</v>
      </c>
      <c r="C65" s="1">
        <v>0</v>
      </c>
      <c r="D65">
        <v>1</v>
      </c>
      <c r="F65" s="15">
        <v>10.480492813141684</v>
      </c>
      <c r="G65" s="1">
        <v>619</v>
      </c>
      <c r="H65" s="1">
        <v>0</v>
      </c>
      <c r="I65" s="1">
        <v>1</v>
      </c>
      <c r="J65" s="15">
        <v>1</v>
      </c>
      <c r="K65" s="15">
        <v>0.93837101386107435</v>
      </c>
      <c r="M65" s="15">
        <v>9.3963039014373724</v>
      </c>
      <c r="N65" s="15">
        <v>0.95047424635813438</v>
      </c>
    </row>
    <row r="66" spans="1:14" x14ac:dyDescent="0.25">
      <c r="A66" s="13" t="s">
        <v>650</v>
      </c>
      <c r="B66">
        <v>11.597535934291582</v>
      </c>
      <c r="C66" s="1">
        <v>1</v>
      </c>
      <c r="D66">
        <v>1</v>
      </c>
      <c r="F66" s="15">
        <v>10.57905544147844</v>
      </c>
      <c r="G66" s="1">
        <v>618</v>
      </c>
      <c r="H66" s="1">
        <v>0</v>
      </c>
      <c r="I66" s="1">
        <v>1</v>
      </c>
      <c r="J66" s="15">
        <v>1</v>
      </c>
      <c r="K66" s="15">
        <v>0.93837101386107435</v>
      </c>
      <c r="M66" s="15">
        <v>9.3963039014373724</v>
      </c>
      <c r="N66" s="15">
        <v>0.94896315852608648</v>
      </c>
    </row>
    <row r="67" spans="1:14" x14ac:dyDescent="0.25">
      <c r="A67" s="13" t="s">
        <v>649</v>
      </c>
      <c r="B67">
        <v>58.841889117043124</v>
      </c>
      <c r="C67" s="1">
        <v>0</v>
      </c>
      <c r="D67">
        <v>1</v>
      </c>
      <c r="F67" s="15">
        <v>10.809034907597535</v>
      </c>
      <c r="G67" s="1">
        <v>617</v>
      </c>
      <c r="H67" s="1">
        <v>1</v>
      </c>
      <c r="I67" s="1">
        <v>0</v>
      </c>
      <c r="J67" s="15">
        <v>0.99837925445705022</v>
      </c>
      <c r="K67" s="15">
        <v>0.9368501532227258</v>
      </c>
      <c r="M67" s="15">
        <v>9.462012320328542</v>
      </c>
      <c r="N67" s="15">
        <v>0.94896315852608648</v>
      </c>
    </row>
    <row r="68" spans="1:14" x14ac:dyDescent="0.25">
      <c r="A68" s="13" t="s">
        <v>648</v>
      </c>
      <c r="B68">
        <v>55.359342915811091</v>
      </c>
      <c r="C68" s="1">
        <v>0</v>
      </c>
      <c r="D68">
        <v>1</v>
      </c>
      <c r="F68" s="15">
        <v>11.039014373716633</v>
      </c>
      <c r="G68" s="1">
        <v>616</v>
      </c>
      <c r="H68" s="1">
        <v>1</v>
      </c>
      <c r="I68" s="1">
        <v>0</v>
      </c>
      <c r="J68" s="15">
        <v>0.99837662337662336</v>
      </c>
      <c r="K68" s="15">
        <v>0.93532929258437725</v>
      </c>
      <c r="M68" s="15">
        <v>9.462012320328542</v>
      </c>
      <c r="N68" s="15">
        <v>0.94745207069403847</v>
      </c>
    </row>
    <row r="69" spans="1:14" x14ac:dyDescent="0.25">
      <c r="A69" s="13" t="s">
        <v>647</v>
      </c>
      <c r="B69">
        <v>6.2751540041067759</v>
      </c>
      <c r="C69" s="1">
        <v>1</v>
      </c>
      <c r="D69">
        <v>1</v>
      </c>
      <c r="F69" s="15">
        <v>11.104722792607802</v>
      </c>
      <c r="G69" s="1">
        <v>615</v>
      </c>
      <c r="H69" s="1">
        <v>3</v>
      </c>
      <c r="I69" s="1">
        <v>0</v>
      </c>
      <c r="J69" s="15">
        <v>0.99512195121951219</v>
      </c>
      <c r="K69" s="15">
        <v>0.93076671066933148</v>
      </c>
      <c r="M69" s="15">
        <v>9.6262833675564679</v>
      </c>
      <c r="N69" s="15">
        <v>0.94745207069403847</v>
      </c>
    </row>
    <row r="70" spans="1:14" x14ac:dyDescent="0.25">
      <c r="A70" s="13" t="s">
        <v>646</v>
      </c>
      <c r="B70">
        <v>12.156057494866531</v>
      </c>
      <c r="C70" s="1">
        <v>1</v>
      </c>
      <c r="D70">
        <v>1</v>
      </c>
      <c r="F70" s="15">
        <v>11.268993839835728</v>
      </c>
      <c r="G70" s="1">
        <v>612</v>
      </c>
      <c r="H70" s="1">
        <v>1</v>
      </c>
      <c r="I70" s="1">
        <v>0</v>
      </c>
      <c r="J70" s="15">
        <v>0.99836601307189543</v>
      </c>
      <c r="K70" s="15">
        <v>0.92924585003098292</v>
      </c>
      <c r="M70" s="15">
        <v>9.6262833675564679</v>
      </c>
      <c r="N70" s="15">
        <v>0.94594098286199058</v>
      </c>
    </row>
    <row r="71" spans="1:14" x14ac:dyDescent="0.25">
      <c r="A71" s="13" t="s">
        <v>645</v>
      </c>
      <c r="B71">
        <v>5.6837782340862422</v>
      </c>
      <c r="C71" s="1">
        <v>1</v>
      </c>
      <c r="D71">
        <v>1</v>
      </c>
      <c r="F71" s="15">
        <v>11.301848049281315</v>
      </c>
      <c r="G71" s="1">
        <v>611</v>
      </c>
      <c r="H71" s="1">
        <v>1</v>
      </c>
      <c r="I71" s="1">
        <v>0</v>
      </c>
      <c r="J71" s="15">
        <v>0.99836333878887074</v>
      </c>
      <c r="K71" s="15">
        <v>0.92772498939263437</v>
      </c>
      <c r="M71" s="15">
        <v>10.020533880903491</v>
      </c>
      <c r="N71" s="15">
        <v>0.94594098286199058</v>
      </c>
    </row>
    <row r="72" spans="1:14" x14ac:dyDescent="0.25">
      <c r="A72" s="13" t="s">
        <v>644</v>
      </c>
      <c r="B72">
        <v>7.9507186858316219</v>
      </c>
      <c r="C72" s="1">
        <v>1</v>
      </c>
      <c r="D72">
        <v>1</v>
      </c>
      <c r="F72" s="15">
        <v>11.433264887063656</v>
      </c>
      <c r="G72" s="1">
        <v>610</v>
      </c>
      <c r="H72" s="1">
        <v>1</v>
      </c>
      <c r="I72" s="1">
        <v>0</v>
      </c>
      <c r="J72" s="15">
        <v>0.99836065573770494</v>
      </c>
      <c r="K72" s="15">
        <v>0.92620412875428582</v>
      </c>
      <c r="M72" s="15">
        <v>10.020533880903491</v>
      </c>
      <c r="N72" s="15">
        <v>0.94442747728941134</v>
      </c>
    </row>
    <row r="73" spans="1:14" x14ac:dyDescent="0.25">
      <c r="A73" s="13" t="s">
        <v>643</v>
      </c>
      <c r="B73">
        <v>13.798767967145791</v>
      </c>
      <c r="C73" s="1">
        <v>1</v>
      </c>
      <c r="D73">
        <v>1</v>
      </c>
      <c r="F73" s="15">
        <v>11.498973305954825</v>
      </c>
      <c r="G73" s="1">
        <v>609</v>
      </c>
      <c r="H73" s="1">
        <v>1</v>
      </c>
      <c r="I73" s="1">
        <v>0</v>
      </c>
      <c r="J73" s="15">
        <v>0.99835796387520526</v>
      </c>
      <c r="K73" s="15">
        <v>0.92468326811593726</v>
      </c>
      <c r="M73" s="15">
        <v>10.086242299794661</v>
      </c>
      <c r="N73" s="15">
        <v>0.94442747728941134</v>
      </c>
    </row>
    <row r="74" spans="1:14" x14ac:dyDescent="0.25">
      <c r="A74" s="13" t="s">
        <v>642</v>
      </c>
      <c r="B74">
        <v>14.390143737166325</v>
      </c>
      <c r="C74" s="1">
        <v>1</v>
      </c>
      <c r="D74">
        <v>1</v>
      </c>
      <c r="F74" s="15">
        <v>11.597535934291582</v>
      </c>
      <c r="G74" s="1">
        <v>608</v>
      </c>
      <c r="H74" s="1">
        <v>1</v>
      </c>
      <c r="I74" s="1">
        <v>0</v>
      </c>
      <c r="J74" s="15">
        <v>0.99835526315789469</v>
      </c>
      <c r="K74" s="15">
        <v>0.9231624074775886</v>
      </c>
      <c r="M74" s="15">
        <v>10.086242299794661</v>
      </c>
      <c r="N74" s="15">
        <v>0.94291397171683211</v>
      </c>
    </row>
    <row r="75" spans="1:14" x14ac:dyDescent="0.25">
      <c r="A75" s="13" t="s">
        <v>641</v>
      </c>
      <c r="B75">
        <v>53.355236139630392</v>
      </c>
      <c r="C75" s="1">
        <v>0</v>
      </c>
      <c r="D75">
        <v>1</v>
      </c>
      <c r="F75" s="15">
        <v>11.728952772073923</v>
      </c>
      <c r="G75" s="1">
        <v>607</v>
      </c>
      <c r="H75" s="1">
        <v>1</v>
      </c>
      <c r="I75" s="1">
        <v>0</v>
      </c>
      <c r="J75" s="15">
        <v>0.99835255354200991</v>
      </c>
      <c r="K75" s="15">
        <v>0.92164154683924004</v>
      </c>
      <c r="M75" s="15">
        <v>10.119096509240247</v>
      </c>
      <c r="N75" s="15">
        <v>0.94291397171683211</v>
      </c>
    </row>
    <row r="76" spans="1:14" x14ac:dyDescent="0.25">
      <c r="A76" s="13" t="s">
        <v>640</v>
      </c>
      <c r="B76">
        <v>34.036960985626287</v>
      </c>
      <c r="C76" s="1">
        <v>1</v>
      </c>
      <c r="D76">
        <v>1</v>
      </c>
      <c r="F76" s="15">
        <v>11.761806981519507</v>
      </c>
      <c r="G76" s="1">
        <v>606</v>
      </c>
      <c r="H76" s="1">
        <v>1</v>
      </c>
      <c r="I76" s="1">
        <v>0</v>
      </c>
      <c r="J76" s="15">
        <v>0.99834983498349839</v>
      </c>
      <c r="K76" s="15">
        <v>0.92012068620089149</v>
      </c>
      <c r="M76" s="15">
        <v>10.119096509240247</v>
      </c>
      <c r="N76" s="15">
        <v>0.93988696057167376</v>
      </c>
    </row>
    <row r="77" spans="1:14" x14ac:dyDescent="0.25">
      <c r="A77" s="13" t="s">
        <v>639</v>
      </c>
      <c r="B77">
        <v>11.794661190965092</v>
      </c>
      <c r="C77" s="1">
        <v>1</v>
      </c>
      <c r="D77">
        <v>1</v>
      </c>
      <c r="F77" s="15">
        <v>11.794661190965092</v>
      </c>
      <c r="G77" s="1">
        <v>605</v>
      </c>
      <c r="H77" s="1">
        <v>2</v>
      </c>
      <c r="I77" s="1">
        <v>0</v>
      </c>
      <c r="J77" s="15">
        <v>0.99669421487603305</v>
      </c>
      <c r="K77" s="15">
        <v>0.91707896492419427</v>
      </c>
      <c r="M77" s="15">
        <v>10.381930184804927</v>
      </c>
      <c r="N77" s="15">
        <v>0.93988696057167376</v>
      </c>
    </row>
    <row r="78" spans="1:14" x14ac:dyDescent="0.25">
      <c r="A78" s="13" t="s">
        <v>638</v>
      </c>
      <c r="B78">
        <v>5.6180698151950716</v>
      </c>
      <c r="C78" s="1">
        <v>1</v>
      </c>
      <c r="D78">
        <v>1</v>
      </c>
      <c r="F78" s="15">
        <v>11.827515400410677</v>
      </c>
      <c r="G78" s="1">
        <v>603</v>
      </c>
      <c r="H78" s="1">
        <v>1</v>
      </c>
      <c r="I78" s="1">
        <v>0</v>
      </c>
      <c r="J78" s="15">
        <v>0.99834162520729686</v>
      </c>
      <c r="K78" s="15">
        <v>0.91555810428584572</v>
      </c>
      <c r="M78" s="15">
        <v>10.381930184804927</v>
      </c>
      <c r="N78" s="15">
        <v>0.93837101386107435</v>
      </c>
    </row>
    <row r="79" spans="1:14" x14ac:dyDescent="0.25">
      <c r="A79" s="13" t="s">
        <v>637</v>
      </c>
      <c r="B79">
        <v>31.507186858316221</v>
      </c>
      <c r="C79" s="1">
        <v>1</v>
      </c>
      <c r="D79">
        <v>1</v>
      </c>
      <c r="F79" s="15">
        <v>12.090349075975359</v>
      </c>
      <c r="G79" s="1">
        <v>602</v>
      </c>
      <c r="H79" s="1">
        <v>0</v>
      </c>
      <c r="I79" s="1">
        <v>1</v>
      </c>
      <c r="J79" s="15">
        <v>1</v>
      </c>
      <c r="K79" s="15">
        <v>0.91555810428584572</v>
      </c>
      <c r="M79" s="15">
        <v>10.809034907597535</v>
      </c>
      <c r="N79" s="15">
        <v>0.93837101386107435</v>
      </c>
    </row>
    <row r="80" spans="1:14" x14ac:dyDescent="0.25">
      <c r="A80" s="13" t="s">
        <v>636</v>
      </c>
      <c r="B80">
        <v>44.386036960985628</v>
      </c>
      <c r="C80" s="1">
        <v>0</v>
      </c>
      <c r="D80">
        <v>1</v>
      </c>
      <c r="F80" s="15">
        <v>12.123203285420944</v>
      </c>
      <c r="G80" s="1">
        <v>601</v>
      </c>
      <c r="H80" s="1">
        <v>1</v>
      </c>
      <c r="I80" s="1">
        <v>0</v>
      </c>
      <c r="J80" s="15">
        <v>0.99833610648918469</v>
      </c>
      <c r="K80" s="15">
        <v>0.91403471309735018</v>
      </c>
      <c r="M80" s="15">
        <v>10.809034907597535</v>
      </c>
      <c r="N80" s="15">
        <v>0.9368501532227258</v>
      </c>
    </row>
    <row r="81" spans="1:14" x14ac:dyDescent="0.25">
      <c r="A81" s="13" t="s">
        <v>635</v>
      </c>
      <c r="B81">
        <v>15.967145790554415</v>
      </c>
      <c r="C81" s="1">
        <v>1</v>
      </c>
      <c r="D81">
        <v>1</v>
      </c>
      <c r="F81" s="15">
        <v>12.156057494866531</v>
      </c>
      <c r="G81" s="1">
        <v>600</v>
      </c>
      <c r="H81" s="1">
        <v>2</v>
      </c>
      <c r="I81" s="1">
        <v>0</v>
      </c>
      <c r="J81" s="15">
        <v>0.9966666666666667</v>
      </c>
      <c r="K81" s="15">
        <v>0.910987930720359</v>
      </c>
      <c r="M81" s="15">
        <v>11.039014373716633</v>
      </c>
      <c r="N81" s="15">
        <v>0.9368501532227258</v>
      </c>
    </row>
    <row r="82" spans="1:14" x14ac:dyDescent="0.25">
      <c r="A82" s="13" t="s">
        <v>634</v>
      </c>
      <c r="B82">
        <v>17.248459958932237</v>
      </c>
      <c r="C82" s="1">
        <v>1</v>
      </c>
      <c r="D82">
        <v>1</v>
      </c>
      <c r="F82" s="15">
        <v>12.188911704312115</v>
      </c>
      <c r="G82" s="1">
        <v>598</v>
      </c>
      <c r="H82" s="1">
        <v>1</v>
      </c>
      <c r="I82" s="1">
        <v>0</v>
      </c>
      <c r="J82" s="15">
        <v>0.99832775919732442</v>
      </c>
      <c r="K82" s="15">
        <v>0.90946453953186346</v>
      </c>
      <c r="M82" s="15">
        <v>11.039014373716633</v>
      </c>
      <c r="N82" s="15">
        <v>0.93532929258437725</v>
      </c>
    </row>
    <row r="83" spans="1:14" x14ac:dyDescent="0.25">
      <c r="A83" s="13" t="s">
        <v>633</v>
      </c>
      <c r="B83">
        <v>25.034907597535934</v>
      </c>
      <c r="C83" s="1">
        <v>1</v>
      </c>
      <c r="D83">
        <v>1</v>
      </c>
      <c r="F83" s="15">
        <v>12.2217659137577</v>
      </c>
      <c r="G83" s="1">
        <v>597</v>
      </c>
      <c r="H83" s="1">
        <v>1</v>
      </c>
      <c r="I83" s="1">
        <v>0</v>
      </c>
      <c r="J83" s="15">
        <v>0.99832495812395305</v>
      </c>
      <c r="K83" s="15">
        <v>0.90794114834336781</v>
      </c>
      <c r="M83" s="15">
        <v>11.104722792607802</v>
      </c>
      <c r="N83" s="15">
        <v>0.93532929258437725</v>
      </c>
    </row>
    <row r="84" spans="1:14" x14ac:dyDescent="0.25">
      <c r="A84" s="13" t="s">
        <v>632</v>
      </c>
      <c r="B84">
        <v>5.7494866529774127</v>
      </c>
      <c r="C84" s="1">
        <v>1</v>
      </c>
      <c r="D84">
        <v>1</v>
      </c>
      <c r="F84" s="15">
        <v>12.28747433264887</v>
      </c>
      <c r="G84" s="1">
        <v>596</v>
      </c>
      <c r="H84" s="1">
        <v>1</v>
      </c>
      <c r="I84" s="1">
        <v>0</v>
      </c>
      <c r="J84" s="15">
        <v>0.99832214765100669</v>
      </c>
      <c r="K84" s="15">
        <v>0.90641775715487216</v>
      </c>
      <c r="M84" s="15">
        <v>11.104722792607802</v>
      </c>
      <c r="N84" s="15">
        <v>0.93076671066933148</v>
      </c>
    </row>
    <row r="85" spans="1:14" x14ac:dyDescent="0.25">
      <c r="A85" s="13" t="s">
        <v>631</v>
      </c>
      <c r="B85">
        <v>39.260780287474333</v>
      </c>
      <c r="C85" s="1">
        <v>0</v>
      </c>
      <c r="D85">
        <v>1</v>
      </c>
      <c r="F85" s="15">
        <v>12.320328542094456</v>
      </c>
      <c r="G85" s="1">
        <v>595</v>
      </c>
      <c r="H85" s="1">
        <v>1</v>
      </c>
      <c r="I85" s="1">
        <v>0</v>
      </c>
      <c r="J85" s="15">
        <v>0.99831932773109244</v>
      </c>
      <c r="K85" s="15">
        <v>0.90489436596637662</v>
      </c>
      <c r="M85" s="15">
        <v>11.268993839835728</v>
      </c>
      <c r="N85" s="15">
        <v>0.93076671066933148</v>
      </c>
    </row>
    <row r="86" spans="1:14" x14ac:dyDescent="0.25">
      <c r="A86" s="13" t="s">
        <v>630</v>
      </c>
      <c r="B86">
        <v>11.104722792607802</v>
      </c>
      <c r="C86" s="1">
        <v>1</v>
      </c>
      <c r="D86">
        <v>1</v>
      </c>
      <c r="F86" s="15">
        <v>12.386036960985626</v>
      </c>
      <c r="G86" s="1">
        <v>594</v>
      </c>
      <c r="H86" s="1">
        <v>1</v>
      </c>
      <c r="I86" s="1">
        <v>0</v>
      </c>
      <c r="J86" s="15">
        <v>0.99831649831649827</v>
      </c>
      <c r="K86" s="15">
        <v>0.90337097477788098</v>
      </c>
      <c r="M86" s="15">
        <v>11.268993839835728</v>
      </c>
      <c r="N86" s="15">
        <v>0.92924585003098292</v>
      </c>
    </row>
    <row r="87" spans="1:14" x14ac:dyDescent="0.25">
      <c r="A87" s="13" t="s">
        <v>629</v>
      </c>
      <c r="B87">
        <v>36.960985626283367</v>
      </c>
      <c r="C87" s="1">
        <v>0</v>
      </c>
      <c r="D87">
        <v>1</v>
      </c>
      <c r="F87" s="15">
        <v>12.451745379876797</v>
      </c>
      <c r="G87" s="1">
        <v>593</v>
      </c>
      <c r="H87" s="1">
        <v>1</v>
      </c>
      <c r="I87" s="1">
        <v>0</v>
      </c>
      <c r="J87" s="15">
        <v>0.99831365935919059</v>
      </c>
      <c r="K87" s="15">
        <v>0.90184758358938544</v>
      </c>
      <c r="M87" s="15">
        <v>11.301848049281315</v>
      </c>
      <c r="N87" s="15">
        <v>0.92924585003098292</v>
      </c>
    </row>
    <row r="88" spans="1:14" x14ac:dyDescent="0.25">
      <c r="A88" s="13" t="s">
        <v>628</v>
      </c>
      <c r="B88">
        <v>30.094455852156056</v>
      </c>
      <c r="C88" s="1">
        <v>0</v>
      </c>
      <c r="D88">
        <v>1</v>
      </c>
      <c r="F88" s="15">
        <v>12.648870636550308</v>
      </c>
      <c r="G88" s="1">
        <v>592</v>
      </c>
      <c r="H88" s="1">
        <v>1</v>
      </c>
      <c r="I88" s="1">
        <v>0</v>
      </c>
      <c r="J88" s="15">
        <v>0.99831081081081086</v>
      </c>
      <c r="K88" s="15">
        <v>0.9003241924008899</v>
      </c>
      <c r="M88" s="15">
        <v>11.301848049281315</v>
      </c>
      <c r="N88" s="15">
        <v>0.92772498939263437</v>
      </c>
    </row>
    <row r="89" spans="1:14" x14ac:dyDescent="0.25">
      <c r="A89" s="13" t="s">
        <v>627</v>
      </c>
      <c r="B89">
        <v>31.93429158110883</v>
      </c>
      <c r="C89" s="1">
        <v>0</v>
      </c>
      <c r="D89">
        <v>1</v>
      </c>
      <c r="F89" s="15">
        <v>12.878850102669405</v>
      </c>
      <c r="G89" s="1">
        <v>591</v>
      </c>
      <c r="H89" s="1">
        <v>1</v>
      </c>
      <c r="I89" s="1">
        <v>0</v>
      </c>
      <c r="J89" s="15">
        <v>0.99830795262267347</v>
      </c>
      <c r="K89" s="15">
        <v>0.89880080121239436</v>
      </c>
      <c r="M89" s="15">
        <v>11.433264887063656</v>
      </c>
      <c r="N89" s="15">
        <v>0.92772498939263437</v>
      </c>
    </row>
    <row r="90" spans="1:14" x14ac:dyDescent="0.25">
      <c r="A90" s="13" t="s">
        <v>626</v>
      </c>
      <c r="B90">
        <v>28.484599589322382</v>
      </c>
      <c r="C90" s="1">
        <v>0</v>
      </c>
      <c r="D90">
        <v>1</v>
      </c>
      <c r="F90" s="15">
        <v>12.944558521560575</v>
      </c>
      <c r="G90" s="1">
        <v>590</v>
      </c>
      <c r="H90" s="1">
        <v>1</v>
      </c>
      <c r="I90" s="1">
        <v>0</v>
      </c>
      <c r="J90" s="15">
        <v>0.99830508474576274</v>
      </c>
      <c r="K90" s="15">
        <v>0.89727741002389882</v>
      </c>
      <c r="M90" s="15">
        <v>11.433264887063656</v>
      </c>
      <c r="N90" s="15">
        <v>0.92620412875428582</v>
      </c>
    </row>
    <row r="91" spans="1:14" x14ac:dyDescent="0.25">
      <c r="A91" s="13" t="s">
        <v>625</v>
      </c>
      <c r="B91">
        <v>8.1806981519507183</v>
      </c>
      <c r="C91" s="1">
        <v>1</v>
      </c>
      <c r="D91">
        <v>1</v>
      </c>
      <c r="F91" s="15">
        <v>13.240246406570842</v>
      </c>
      <c r="G91" s="1">
        <v>589</v>
      </c>
      <c r="H91" s="1">
        <v>1</v>
      </c>
      <c r="I91" s="1">
        <v>0</v>
      </c>
      <c r="J91" s="15">
        <v>0.99830220713073003</v>
      </c>
      <c r="K91" s="15">
        <v>0.89575401883540318</v>
      </c>
      <c r="M91" s="15">
        <v>11.498973305954825</v>
      </c>
      <c r="N91" s="15">
        <v>0.92620412875428582</v>
      </c>
    </row>
    <row r="92" spans="1:14" x14ac:dyDescent="0.25">
      <c r="A92" s="13" t="s">
        <v>624</v>
      </c>
      <c r="B92">
        <v>9.2320328542094447</v>
      </c>
      <c r="C92" s="1">
        <v>1</v>
      </c>
      <c r="D92">
        <v>1</v>
      </c>
      <c r="F92" s="15">
        <v>13.470225872689939</v>
      </c>
      <c r="G92" s="1">
        <v>588</v>
      </c>
      <c r="H92" s="1">
        <v>1</v>
      </c>
      <c r="I92" s="1">
        <v>0</v>
      </c>
      <c r="J92" s="15">
        <v>0.99829931972789121</v>
      </c>
      <c r="K92" s="15">
        <v>0.89423062764690764</v>
      </c>
      <c r="M92" s="15">
        <v>11.498973305954825</v>
      </c>
      <c r="N92" s="15">
        <v>0.92468326811593726</v>
      </c>
    </row>
    <row r="93" spans="1:14" x14ac:dyDescent="0.25">
      <c r="A93" s="13" t="s">
        <v>623</v>
      </c>
      <c r="B93">
        <v>24.903490759753595</v>
      </c>
      <c r="C93" s="1">
        <v>0</v>
      </c>
      <c r="D93">
        <v>1</v>
      </c>
      <c r="F93" s="15">
        <v>13.634496919917865</v>
      </c>
      <c r="G93" s="1">
        <v>587</v>
      </c>
      <c r="H93" s="1">
        <v>1</v>
      </c>
      <c r="I93" s="1">
        <v>0</v>
      </c>
      <c r="J93" s="15">
        <v>0.99829642248722317</v>
      </c>
      <c r="K93" s="15">
        <v>0.8927072364584121</v>
      </c>
      <c r="M93" s="15">
        <v>11.597535934291582</v>
      </c>
      <c r="N93" s="15">
        <v>0.92468326811593726</v>
      </c>
    </row>
    <row r="94" spans="1:14" x14ac:dyDescent="0.25">
      <c r="A94" s="13" t="s">
        <v>622</v>
      </c>
      <c r="B94">
        <v>12.386036960985626</v>
      </c>
      <c r="C94" s="1">
        <v>1</v>
      </c>
      <c r="D94">
        <v>1</v>
      </c>
      <c r="F94" s="15">
        <v>13.700205338809035</v>
      </c>
      <c r="G94" s="1">
        <v>586</v>
      </c>
      <c r="H94" s="1">
        <v>1</v>
      </c>
      <c r="I94" s="1">
        <v>0</v>
      </c>
      <c r="J94" s="15">
        <v>0.99829351535836175</v>
      </c>
      <c r="K94" s="15">
        <v>0.89118384526991645</v>
      </c>
      <c r="M94" s="15">
        <v>11.597535934291582</v>
      </c>
      <c r="N94" s="15">
        <v>0.9231624074775886</v>
      </c>
    </row>
    <row r="95" spans="1:14" x14ac:dyDescent="0.25">
      <c r="A95" s="13" t="s">
        <v>621</v>
      </c>
      <c r="B95">
        <v>64.919917864476389</v>
      </c>
      <c r="C95" s="1">
        <v>0</v>
      </c>
      <c r="D95">
        <v>1</v>
      </c>
      <c r="F95" s="15">
        <v>13.798767967145791</v>
      </c>
      <c r="G95" s="1">
        <v>585</v>
      </c>
      <c r="H95" s="1">
        <v>2</v>
      </c>
      <c r="I95" s="1">
        <v>0</v>
      </c>
      <c r="J95" s="15">
        <v>0.99658119658119659</v>
      </c>
      <c r="K95" s="15">
        <v>0.88813706289292527</v>
      </c>
      <c r="M95" s="15">
        <v>11.728952772073923</v>
      </c>
      <c r="N95" s="15">
        <v>0.9231624074775886</v>
      </c>
    </row>
    <row r="96" spans="1:14" x14ac:dyDescent="0.25">
      <c r="A96" s="13" t="s">
        <v>620</v>
      </c>
      <c r="B96">
        <v>83.416837782340863</v>
      </c>
      <c r="C96" s="1">
        <v>0</v>
      </c>
      <c r="D96">
        <v>1</v>
      </c>
      <c r="F96" s="15">
        <v>13.930184804928132</v>
      </c>
      <c r="G96" s="1">
        <v>583</v>
      </c>
      <c r="H96" s="1">
        <v>0</v>
      </c>
      <c r="I96" s="1">
        <v>1</v>
      </c>
      <c r="J96" s="15">
        <v>1</v>
      </c>
      <c r="K96" s="15">
        <v>0.88813706289292527</v>
      </c>
      <c r="M96" s="15">
        <v>11.728952772073923</v>
      </c>
      <c r="N96" s="15">
        <v>0.92164154683924004</v>
      </c>
    </row>
    <row r="97" spans="1:14" x14ac:dyDescent="0.25">
      <c r="A97" s="13" t="s">
        <v>619</v>
      </c>
      <c r="B97">
        <v>81.051334702258728</v>
      </c>
      <c r="C97" s="1">
        <v>0</v>
      </c>
      <c r="D97">
        <v>1</v>
      </c>
      <c r="F97" s="15">
        <v>13.995893223819301</v>
      </c>
      <c r="G97" s="1">
        <v>582</v>
      </c>
      <c r="H97" s="1">
        <v>2</v>
      </c>
      <c r="I97" s="1">
        <v>0</v>
      </c>
      <c r="J97" s="15">
        <v>0.99656357388316152</v>
      </c>
      <c r="K97" s="15">
        <v>0.88508504549466782</v>
      </c>
      <c r="M97" s="15">
        <v>11.761806981519507</v>
      </c>
      <c r="N97" s="15">
        <v>0.92164154683924004</v>
      </c>
    </row>
    <row r="98" spans="1:14" x14ac:dyDescent="0.25">
      <c r="A98" s="13" t="s">
        <v>618</v>
      </c>
      <c r="B98">
        <v>28.780287474332649</v>
      </c>
      <c r="C98" s="1">
        <v>1</v>
      </c>
      <c r="D98">
        <v>1</v>
      </c>
      <c r="F98" s="15">
        <v>14.094455852156058</v>
      </c>
      <c r="G98" s="1">
        <v>580</v>
      </c>
      <c r="H98" s="1">
        <v>0</v>
      </c>
      <c r="I98" s="1">
        <v>1</v>
      </c>
      <c r="J98" s="15">
        <v>1</v>
      </c>
      <c r="K98" s="15">
        <v>0.88508504549466782</v>
      </c>
      <c r="M98" s="15">
        <v>11.761806981519507</v>
      </c>
      <c r="N98" s="15">
        <v>0.92012068620089149</v>
      </c>
    </row>
    <row r="99" spans="1:14" x14ac:dyDescent="0.25">
      <c r="A99" s="13" t="s">
        <v>617</v>
      </c>
      <c r="B99">
        <v>70.045174537987677</v>
      </c>
      <c r="C99" s="1">
        <v>0</v>
      </c>
      <c r="D99">
        <v>1</v>
      </c>
      <c r="F99" s="15">
        <v>14.193018480492814</v>
      </c>
      <c r="G99" s="1">
        <v>579</v>
      </c>
      <c r="H99" s="1">
        <v>0</v>
      </c>
      <c r="I99" s="1">
        <v>1</v>
      </c>
      <c r="J99" s="15">
        <v>1</v>
      </c>
      <c r="K99" s="15">
        <v>0.88508504549466782</v>
      </c>
      <c r="M99" s="15">
        <v>11.794661190965092</v>
      </c>
      <c r="N99" s="15">
        <v>0.92012068620089149</v>
      </c>
    </row>
    <row r="100" spans="1:14" x14ac:dyDescent="0.25">
      <c r="A100" s="13" t="s">
        <v>616</v>
      </c>
      <c r="B100">
        <v>13.995893223819301</v>
      </c>
      <c r="C100" s="1">
        <v>1</v>
      </c>
      <c r="D100">
        <v>1</v>
      </c>
      <c r="F100" s="15">
        <v>14.324435318275153</v>
      </c>
      <c r="G100" s="1">
        <v>578</v>
      </c>
      <c r="H100" s="1">
        <v>1</v>
      </c>
      <c r="I100" s="1">
        <v>0</v>
      </c>
      <c r="J100" s="15">
        <v>0.9982698961937716</v>
      </c>
      <c r="K100" s="15">
        <v>0.88355375648862167</v>
      </c>
      <c r="M100" s="15">
        <v>11.794661190965092</v>
      </c>
      <c r="N100" s="15">
        <v>0.91707896492419427</v>
      </c>
    </row>
    <row r="101" spans="1:14" x14ac:dyDescent="0.25">
      <c r="A101" s="13" t="s">
        <v>615</v>
      </c>
      <c r="B101">
        <v>18.201232032854211</v>
      </c>
      <c r="C101" s="1">
        <v>1</v>
      </c>
      <c r="D101">
        <v>1</v>
      </c>
      <c r="F101" s="15">
        <v>14.390143737166325</v>
      </c>
      <c r="G101" s="1">
        <v>577</v>
      </c>
      <c r="H101" s="1">
        <v>1</v>
      </c>
      <c r="I101" s="1">
        <v>0</v>
      </c>
      <c r="J101" s="15">
        <v>0.99826689774696709</v>
      </c>
      <c r="K101" s="15">
        <v>0.88202246748257551</v>
      </c>
      <c r="M101" s="15">
        <v>11.827515400410677</v>
      </c>
      <c r="N101" s="15">
        <v>0.91707896492419427</v>
      </c>
    </row>
    <row r="102" spans="1:14" x14ac:dyDescent="0.25">
      <c r="A102" s="13" t="s">
        <v>614</v>
      </c>
      <c r="B102">
        <v>40.936344969199176</v>
      </c>
      <c r="C102" s="1">
        <v>1</v>
      </c>
      <c r="D102">
        <v>1</v>
      </c>
      <c r="F102" s="15">
        <v>14.652977412731007</v>
      </c>
      <c r="G102" s="1">
        <v>576</v>
      </c>
      <c r="H102" s="1">
        <v>1</v>
      </c>
      <c r="I102" s="1">
        <v>0</v>
      </c>
      <c r="J102" s="15">
        <v>0.99826388888888884</v>
      </c>
      <c r="K102" s="15">
        <v>0.88049117847652936</v>
      </c>
      <c r="M102" s="15">
        <v>11.827515400410677</v>
      </c>
      <c r="N102" s="15">
        <v>0.91555810428584572</v>
      </c>
    </row>
    <row r="103" spans="1:14" x14ac:dyDescent="0.25">
      <c r="A103" s="13" t="s">
        <v>613</v>
      </c>
      <c r="B103">
        <v>63.277207392197127</v>
      </c>
      <c r="C103" s="1">
        <v>0</v>
      </c>
      <c r="D103">
        <v>1</v>
      </c>
      <c r="F103" s="15">
        <v>14.718685831622176</v>
      </c>
      <c r="G103" s="1">
        <v>575</v>
      </c>
      <c r="H103" s="1">
        <v>1</v>
      </c>
      <c r="I103" s="1">
        <v>0</v>
      </c>
      <c r="J103" s="15">
        <v>0.99826086956521742</v>
      </c>
      <c r="K103" s="15">
        <v>0.8789598894704832</v>
      </c>
      <c r="M103" s="15">
        <v>12.123203285420944</v>
      </c>
      <c r="N103" s="15">
        <v>0.91555810428584572</v>
      </c>
    </row>
    <row r="104" spans="1:14" x14ac:dyDescent="0.25">
      <c r="A104" s="13" t="s">
        <v>612</v>
      </c>
      <c r="B104">
        <v>39.655030800821358</v>
      </c>
      <c r="C104" s="1">
        <v>1</v>
      </c>
      <c r="D104">
        <v>1</v>
      </c>
      <c r="F104" s="15">
        <v>14.751540041067761</v>
      </c>
      <c r="G104" s="1">
        <v>574</v>
      </c>
      <c r="H104" s="1">
        <v>1</v>
      </c>
      <c r="I104" s="1">
        <v>0</v>
      </c>
      <c r="J104" s="15">
        <v>0.99825783972125437</v>
      </c>
      <c r="K104" s="15">
        <v>0.87742860046443705</v>
      </c>
      <c r="M104" s="15">
        <v>12.123203285420944</v>
      </c>
      <c r="N104" s="15">
        <v>0.91403471309735018</v>
      </c>
    </row>
    <row r="105" spans="1:14" x14ac:dyDescent="0.25">
      <c r="A105" s="13" t="s">
        <v>611</v>
      </c>
      <c r="B105">
        <v>60.845995893223822</v>
      </c>
      <c r="C105" s="1">
        <v>0</v>
      </c>
      <c r="D105">
        <v>1</v>
      </c>
      <c r="F105" s="15">
        <v>14.948665297741274</v>
      </c>
      <c r="G105" s="1">
        <v>573</v>
      </c>
      <c r="H105" s="1">
        <v>1</v>
      </c>
      <c r="I105" s="1">
        <v>0</v>
      </c>
      <c r="J105" s="15">
        <v>0.99825479930191974</v>
      </c>
      <c r="K105" s="15">
        <v>0.87589731145839089</v>
      </c>
      <c r="M105" s="15">
        <v>12.156057494866531</v>
      </c>
      <c r="N105" s="15">
        <v>0.91403471309735018</v>
      </c>
    </row>
    <row r="106" spans="1:14" x14ac:dyDescent="0.25">
      <c r="A106" s="13" t="s">
        <v>610</v>
      </c>
      <c r="B106">
        <v>38.570841889117041</v>
      </c>
      <c r="C106" s="1">
        <v>1</v>
      </c>
      <c r="D106">
        <v>1</v>
      </c>
      <c r="F106" s="15">
        <v>14.981519507186858</v>
      </c>
      <c r="G106" s="1">
        <v>572</v>
      </c>
      <c r="H106" s="1">
        <v>1</v>
      </c>
      <c r="I106" s="1">
        <v>0</v>
      </c>
      <c r="J106" s="15">
        <v>0.99825174825174823</v>
      </c>
      <c r="K106" s="15">
        <v>0.87436602245234474</v>
      </c>
      <c r="M106" s="15">
        <v>12.156057494866531</v>
      </c>
      <c r="N106" s="15">
        <v>0.910987930720359</v>
      </c>
    </row>
    <row r="107" spans="1:14" x14ac:dyDescent="0.25">
      <c r="A107" s="13" t="s">
        <v>609</v>
      </c>
      <c r="B107">
        <v>41.067761806981522</v>
      </c>
      <c r="C107" s="1">
        <v>0</v>
      </c>
      <c r="D107">
        <v>1</v>
      </c>
      <c r="F107" s="15">
        <v>15.112936344969199</v>
      </c>
      <c r="G107" s="1">
        <v>571</v>
      </c>
      <c r="H107" s="1">
        <v>1</v>
      </c>
      <c r="I107" s="1">
        <v>0</v>
      </c>
      <c r="J107" s="15">
        <v>0.99824868651488619</v>
      </c>
      <c r="K107" s="15">
        <v>0.87283473344629858</v>
      </c>
      <c r="M107" s="15">
        <v>12.188911704312115</v>
      </c>
      <c r="N107" s="15">
        <v>0.910987930720359</v>
      </c>
    </row>
    <row r="108" spans="1:14" x14ac:dyDescent="0.25">
      <c r="A108" s="13" t="s">
        <v>608</v>
      </c>
      <c r="B108">
        <v>17.412731006160165</v>
      </c>
      <c r="C108" s="1">
        <v>1</v>
      </c>
      <c r="D108">
        <v>1</v>
      </c>
      <c r="F108" s="15">
        <v>15.145790554414784</v>
      </c>
      <c r="G108" s="1">
        <v>570</v>
      </c>
      <c r="H108" s="1">
        <v>0</v>
      </c>
      <c r="I108" s="1">
        <v>1</v>
      </c>
      <c r="J108" s="15">
        <v>1</v>
      </c>
      <c r="K108" s="15">
        <v>0.87283473344629858</v>
      </c>
      <c r="M108" s="15">
        <v>12.188911704312115</v>
      </c>
      <c r="N108" s="15">
        <v>0.90946453953186346</v>
      </c>
    </row>
    <row r="109" spans="1:14" x14ac:dyDescent="0.25">
      <c r="A109" s="13" t="s">
        <v>607</v>
      </c>
      <c r="B109">
        <v>49.347022587268995</v>
      </c>
      <c r="C109" s="1">
        <v>0</v>
      </c>
      <c r="D109">
        <v>1</v>
      </c>
      <c r="F109" s="15">
        <v>15.211498973305956</v>
      </c>
      <c r="G109" s="1">
        <v>569</v>
      </c>
      <c r="H109" s="1">
        <v>0</v>
      </c>
      <c r="I109" s="1">
        <v>1</v>
      </c>
      <c r="J109" s="15">
        <v>1</v>
      </c>
      <c r="K109" s="15">
        <v>0.87283473344629858</v>
      </c>
      <c r="M109" s="15">
        <v>12.2217659137577</v>
      </c>
      <c r="N109" s="15">
        <v>0.90946453953186346</v>
      </c>
    </row>
    <row r="110" spans="1:14" x14ac:dyDescent="0.25">
      <c r="A110" s="13" t="s">
        <v>606</v>
      </c>
      <c r="B110">
        <v>44.813141683778234</v>
      </c>
      <c r="C110" s="1">
        <v>0</v>
      </c>
      <c r="D110">
        <v>1</v>
      </c>
      <c r="F110" s="15">
        <v>15.277207392197125</v>
      </c>
      <c r="G110" s="1">
        <v>568</v>
      </c>
      <c r="H110" s="1">
        <v>1</v>
      </c>
      <c r="I110" s="1">
        <v>0</v>
      </c>
      <c r="J110" s="15">
        <v>0.99823943661971826</v>
      </c>
      <c r="K110" s="15">
        <v>0.8712980525775551</v>
      </c>
      <c r="M110" s="15">
        <v>12.2217659137577</v>
      </c>
      <c r="N110" s="15">
        <v>0.90794114834336781</v>
      </c>
    </row>
    <row r="111" spans="1:14" x14ac:dyDescent="0.25">
      <c r="A111" s="13" t="s">
        <v>605</v>
      </c>
      <c r="B111">
        <v>38.439425051334702</v>
      </c>
      <c r="C111" s="1">
        <v>1</v>
      </c>
      <c r="D111">
        <v>1</v>
      </c>
      <c r="F111" s="15">
        <v>15.474332648870636</v>
      </c>
      <c r="G111" s="1">
        <v>567</v>
      </c>
      <c r="H111" s="1">
        <v>1</v>
      </c>
      <c r="I111" s="1">
        <v>0</v>
      </c>
      <c r="J111" s="15">
        <v>0.99823633156966485</v>
      </c>
      <c r="K111" s="15">
        <v>0.86976137170881163</v>
      </c>
      <c r="M111" s="15">
        <v>12.28747433264887</v>
      </c>
      <c r="N111" s="15">
        <v>0.90794114834336781</v>
      </c>
    </row>
    <row r="112" spans="1:14" x14ac:dyDescent="0.25">
      <c r="A112" s="13" t="s">
        <v>604</v>
      </c>
      <c r="B112">
        <v>56.804928131416837</v>
      </c>
      <c r="C112" s="1">
        <v>0</v>
      </c>
      <c r="D112">
        <v>1</v>
      </c>
      <c r="F112" s="15">
        <v>15.540041067761807</v>
      </c>
      <c r="G112" s="1">
        <v>566</v>
      </c>
      <c r="H112" s="1">
        <v>1</v>
      </c>
      <c r="I112" s="1">
        <v>0</v>
      </c>
      <c r="J112" s="15">
        <v>0.99823321554770317</v>
      </c>
      <c r="K112" s="15">
        <v>0.86822469084006815</v>
      </c>
      <c r="M112" s="15">
        <v>12.28747433264887</v>
      </c>
      <c r="N112" s="15">
        <v>0.90641775715487216</v>
      </c>
    </row>
    <row r="113" spans="1:14" x14ac:dyDescent="0.25">
      <c r="A113" s="13" t="s">
        <v>603</v>
      </c>
      <c r="B113">
        <v>53.946611909650926</v>
      </c>
      <c r="C113" s="1">
        <v>0</v>
      </c>
      <c r="D113">
        <v>1</v>
      </c>
      <c r="F113" s="15">
        <v>15.605749486652977</v>
      </c>
      <c r="G113" s="1">
        <v>565</v>
      </c>
      <c r="H113" s="1">
        <v>1</v>
      </c>
      <c r="I113" s="1">
        <v>0</v>
      </c>
      <c r="J113" s="15">
        <v>0.99823008849557526</v>
      </c>
      <c r="K113" s="15">
        <v>0.86668800997132467</v>
      </c>
      <c r="M113" s="15">
        <v>12.320328542094456</v>
      </c>
      <c r="N113" s="15">
        <v>0.90641775715487216</v>
      </c>
    </row>
    <row r="114" spans="1:14" x14ac:dyDescent="0.25">
      <c r="A114" s="13" t="s">
        <v>602</v>
      </c>
      <c r="B114">
        <v>40.016427104722794</v>
      </c>
      <c r="C114" s="1">
        <v>1</v>
      </c>
      <c r="D114">
        <v>1</v>
      </c>
      <c r="F114" s="15">
        <v>15.638603696098563</v>
      </c>
      <c r="G114" s="1">
        <v>564</v>
      </c>
      <c r="H114" s="1">
        <v>2</v>
      </c>
      <c r="I114" s="1">
        <v>0</v>
      </c>
      <c r="J114" s="15">
        <v>0.99645390070921991</v>
      </c>
      <c r="K114" s="15">
        <v>0.86361464823383771</v>
      </c>
      <c r="M114" s="15">
        <v>12.320328542094456</v>
      </c>
      <c r="N114" s="15">
        <v>0.90489436596637662</v>
      </c>
    </row>
    <row r="115" spans="1:14" x14ac:dyDescent="0.25">
      <c r="A115" s="13" t="s">
        <v>601</v>
      </c>
      <c r="B115">
        <v>44.616016427104725</v>
      </c>
      <c r="C115" s="1">
        <v>0</v>
      </c>
      <c r="D115">
        <v>1</v>
      </c>
      <c r="F115" s="15">
        <v>15.802874743326489</v>
      </c>
      <c r="G115" s="1">
        <v>562</v>
      </c>
      <c r="H115" s="1">
        <v>1</v>
      </c>
      <c r="I115" s="1">
        <v>0</v>
      </c>
      <c r="J115" s="15">
        <v>0.99822064056939497</v>
      </c>
      <c r="K115" s="15">
        <v>0.86207796736509423</v>
      </c>
      <c r="M115" s="15">
        <v>12.386036960985626</v>
      </c>
      <c r="N115" s="15">
        <v>0.90489436596637662</v>
      </c>
    </row>
    <row r="116" spans="1:14" x14ac:dyDescent="0.25">
      <c r="A116" s="13" t="s">
        <v>600</v>
      </c>
      <c r="B116">
        <v>11.827515400410677</v>
      </c>
      <c r="C116" s="1">
        <v>1</v>
      </c>
      <c r="D116">
        <v>1</v>
      </c>
      <c r="F116" s="15">
        <v>15.967145790554415</v>
      </c>
      <c r="G116" s="1">
        <v>561</v>
      </c>
      <c r="H116" s="1">
        <v>1</v>
      </c>
      <c r="I116" s="1">
        <v>0</v>
      </c>
      <c r="J116" s="15">
        <v>0.99821746880570406</v>
      </c>
      <c r="K116" s="15">
        <v>0.86054128649635075</v>
      </c>
      <c r="M116" s="15">
        <v>12.386036960985626</v>
      </c>
      <c r="N116" s="15">
        <v>0.90337097477788098</v>
      </c>
    </row>
    <row r="117" spans="1:14" x14ac:dyDescent="0.25">
      <c r="A117" s="13" t="s">
        <v>599</v>
      </c>
      <c r="B117">
        <v>18.069815195071868</v>
      </c>
      <c r="C117" s="1">
        <v>1</v>
      </c>
      <c r="D117">
        <v>1</v>
      </c>
      <c r="F117" s="15">
        <v>16.032854209445585</v>
      </c>
      <c r="G117" s="1">
        <v>560</v>
      </c>
      <c r="H117" s="1">
        <v>0</v>
      </c>
      <c r="I117" s="1">
        <v>1</v>
      </c>
      <c r="J117" s="15">
        <v>1</v>
      </c>
      <c r="K117" s="15">
        <v>0.86054128649635075</v>
      </c>
      <c r="M117" s="15">
        <v>12.451745379876797</v>
      </c>
      <c r="N117" s="15">
        <v>0.90337097477788098</v>
      </c>
    </row>
    <row r="118" spans="1:14" x14ac:dyDescent="0.25">
      <c r="A118" s="13" t="s">
        <v>598</v>
      </c>
      <c r="B118">
        <v>28.156057494866531</v>
      </c>
      <c r="C118" s="1">
        <v>0</v>
      </c>
      <c r="D118">
        <v>1</v>
      </c>
      <c r="F118" s="15">
        <v>16.098562628336754</v>
      </c>
      <c r="G118" s="1">
        <v>559</v>
      </c>
      <c r="H118" s="1">
        <v>1</v>
      </c>
      <c r="I118" s="1">
        <v>0</v>
      </c>
      <c r="J118" s="15">
        <v>0.99821109123434704</v>
      </c>
      <c r="K118" s="15">
        <v>0.85900185664573114</v>
      </c>
      <c r="M118" s="15">
        <v>12.451745379876797</v>
      </c>
      <c r="N118" s="15">
        <v>0.90184758358938544</v>
      </c>
    </row>
    <row r="119" spans="1:14" x14ac:dyDescent="0.25">
      <c r="A119" s="13" t="s">
        <v>597</v>
      </c>
      <c r="B119">
        <v>25.232032854209447</v>
      </c>
      <c r="C119" s="1">
        <v>0</v>
      </c>
      <c r="D119">
        <v>1</v>
      </c>
      <c r="F119" s="15">
        <v>16.131416837782339</v>
      </c>
      <c r="G119" s="1">
        <v>558</v>
      </c>
      <c r="H119" s="1">
        <v>3</v>
      </c>
      <c r="I119" s="1">
        <v>0</v>
      </c>
      <c r="J119" s="15">
        <v>0.9946236559139785</v>
      </c>
      <c r="K119" s="15">
        <v>0.85438356709387242</v>
      </c>
      <c r="M119" s="15">
        <v>12.648870636550308</v>
      </c>
      <c r="N119" s="15">
        <v>0.90184758358938544</v>
      </c>
    </row>
    <row r="120" spans="1:14" x14ac:dyDescent="0.25">
      <c r="A120" s="13" t="s">
        <v>596</v>
      </c>
      <c r="B120">
        <v>28.188911704312115</v>
      </c>
      <c r="C120" s="1">
        <v>0</v>
      </c>
      <c r="D120">
        <v>1</v>
      </c>
      <c r="F120" s="15">
        <v>16.262833675564682</v>
      </c>
      <c r="G120" s="1">
        <v>555</v>
      </c>
      <c r="H120" s="1">
        <v>1</v>
      </c>
      <c r="I120" s="1">
        <v>0</v>
      </c>
      <c r="J120" s="15">
        <v>0.99819819819819822</v>
      </c>
      <c r="K120" s="15">
        <v>0.85284413724325281</v>
      </c>
      <c r="M120" s="15">
        <v>12.648870636550308</v>
      </c>
      <c r="N120" s="15">
        <v>0.9003241924008899</v>
      </c>
    </row>
    <row r="121" spans="1:14" x14ac:dyDescent="0.25">
      <c r="A121" s="13" t="s">
        <v>595</v>
      </c>
      <c r="B121">
        <v>25.297741273100616</v>
      </c>
      <c r="C121" s="1">
        <v>0</v>
      </c>
      <c r="D121">
        <v>1</v>
      </c>
      <c r="F121" s="15">
        <v>16.361396303901437</v>
      </c>
      <c r="G121" s="1">
        <v>554</v>
      </c>
      <c r="H121" s="1">
        <v>1</v>
      </c>
      <c r="I121" s="1">
        <v>0</v>
      </c>
      <c r="J121" s="15">
        <v>0.99819494584837543</v>
      </c>
      <c r="K121" s="15">
        <v>0.8513047073926332</v>
      </c>
      <c r="M121" s="15">
        <v>12.878850102669405</v>
      </c>
      <c r="N121" s="15">
        <v>0.9003241924008899</v>
      </c>
    </row>
    <row r="122" spans="1:14" x14ac:dyDescent="0.25">
      <c r="A122" s="13" t="s">
        <v>594</v>
      </c>
      <c r="B122">
        <v>22.308008213552363</v>
      </c>
      <c r="C122" s="1">
        <v>1</v>
      </c>
      <c r="D122">
        <v>1</v>
      </c>
      <c r="F122" s="15">
        <v>16.427104722792606</v>
      </c>
      <c r="G122" s="1">
        <v>553</v>
      </c>
      <c r="H122" s="1">
        <v>1</v>
      </c>
      <c r="I122" s="1">
        <v>0</v>
      </c>
      <c r="J122" s="15">
        <v>0.99819168173598549</v>
      </c>
      <c r="K122" s="15">
        <v>0.84976527754201359</v>
      </c>
      <c r="M122" s="15">
        <v>12.878850102669405</v>
      </c>
      <c r="N122" s="15">
        <v>0.89880080121239436</v>
      </c>
    </row>
    <row r="123" spans="1:14" x14ac:dyDescent="0.25">
      <c r="A123" s="13" t="s">
        <v>593</v>
      </c>
      <c r="B123">
        <v>38.242299794661193</v>
      </c>
      <c r="C123" s="1">
        <v>1</v>
      </c>
      <c r="D123">
        <v>1</v>
      </c>
      <c r="F123" s="15">
        <v>16.492813141683779</v>
      </c>
      <c r="G123" s="1">
        <v>552</v>
      </c>
      <c r="H123" s="1">
        <v>1</v>
      </c>
      <c r="I123" s="1">
        <v>0</v>
      </c>
      <c r="J123" s="15">
        <v>0.99818840579710144</v>
      </c>
      <c r="K123" s="15">
        <v>0.84822584769139397</v>
      </c>
      <c r="M123" s="15">
        <v>12.944558521560575</v>
      </c>
      <c r="N123" s="15">
        <v>0.89880080121239436</v>
      </c>
    </row>
    <row r="124" spans="1:14" x14ac:dyDescent="0.25">
      <c r="A124" s="13" t="s">
        <v>592</v>
      </c>
      <c r="B124">
        <v>11.498973305954825</v>
      </c>
      <c r="C124" s="1">
        <v>1</v>
      </c>
      <c r="D124">
        <v>1</v>
      </c>
      <c r="F124" s="15">
        <v>16.525667351129364</v>
      </c>
      <c r="G124" s="1">
        <v>551</v>
      </c>
      <c r="H124" s="1">
        <v>1</v>
      </c>
      <c r="I124" s="1">
        <v>0</v>
      </c>
      <c r="J124" s="15">
        <v>0.99818511796733211</v>
      </c>
      <c r="K124" s="15">
        <v>0.84668641784077436</v>
      </c>
      <c r="M124" s="15">
        <v>12.944558521560575</v>
      </c>
      <c r="N124" s="15">
        <v>0.89727741002389882</v>
      </c>
    </row>
    <row r="125" spans="1:14" x14ac:dyDescent="0.25">
      <c r="A125" s="13" t="s">
        <v>591</v>
      </c>
      <c r="B125">
        <v>18.989733059548254</v>
      </c>
      <c r="C125" s="1">
        <v>1</v>
      </c>
      <c r="D125">
        <v>1</v>
      </c>
      <c r="F125" s="15">
        <v>16.558521560574949</v>
      </c>
      <c r="G125" s="1">
        <v>550</v>
      </c>
      <c r="H125" s="1">
        <v>1</v>
      </c>
      <c r="I125" s="1">
        <v>0</v>
      </c>
      <c r="J125" s="15">
        <v>0.99818181818181817</v>
      </c>
      <c r="K125" s="15">
        <v>0.84514698799015475</v>
      </c>
      <c r="M125" s="15">
        <v>13.240246406570842</v>
      </c>
      <c r="N125" s="15">
        <v>0.89727741002389882</v>
      </c>
    </row>
    <row r="126" spans="1:14" x14ac:dyDescent="0.25">
      <c r="A126" s="13" t="s">
        <v>590</v>
      </c>
      <c r="B126">
        <v>47.967145790554412</v>
      </c>
      <c r="C126" s="1">
        <v>1</v>
      </c>
      <c r="D126">
        <v>1</v>
      </c>
      <c r="F126" s="15">
        <v>16.919917864476385</v>
      </c>
      <c r="G126" s="1">
        <v>549</v>
      </c>
      <c r="H126" s="1">
        <v>1</v>
      </c>
      <c r="I126" s="1">
        <v>0</v>
      </c>
      <c r="J126" s="15">
        <v>0.99817850637522765</v>
      </c>
      <c r="K126" s="15">
        <v>0.84360755813953514</v>
      </c>
      <c r="M126" s="15">
        <v>13.240246406570842</v>
      </c>
      <c r="N126" s="15">
        <v>0.89575401883540318</v>
      </c>
    </row>
    <row r="127" spans="1:14" x14ac:dyDescent="0.25">
      <c r="A127" s="13" t="s">
        <v>589</v>
      </c>
      <c r="B127">
        <v>47.112936344969199</v>
      </c>
      <c r="C127" s="1">
        <v>0</v>
      </c>
      <c r="D127">
        <v>1</v>
      </c>
      <c r="F127" s="15">
        <v>17.018480492813143</v>
      </c>
      <c r="G127" s="1">
        <v>548</v>
      </c>
      <c r="H127" s="1">
        <v>1</v>
      </c>
      <c r="I127" s="1">
        <v>0</v>
      </c>
      <c r="J127" s="15">
        <v>0.99817518248175185</v>
      </c>
      <c r="K127" s="15">
        <v>0.84206812828891553</v>
      </c>
      <c r="M127" s="15">
        <v>13.470225872689939</v>
      </c>
      <c r="N127" s="15">
        <v>0.89575401883540318</v>
      </c>
    </row>
    <row r="128" spans="1:14" x14ac:dyDescent="0.25">
      <c r="A128" s="13" t="s">
        <v>588</v>
      </c>
      <c r="B128">
        <v>57.921971252566735</v>
      </c>
      <c r="C128" s="1">
        <v>1</v>
      </c>
      <c r="D128">
        <v>1</v>
      </c>
      <c r="F128" s="15">
        <v>17.248459958932237</v>
      </c>
      <c r="G128" s="1">
        <v>547</v>
      </c>
      <c r="H128" s="1">
        <v>1</v>
      </c>
      <c r="I128" s="1">
        <v>0</v>
      </c>
      <c r="J128" s="15">
        <v>0.9981718464351006</v>
      </c>
      <c r="K128" s="15">
        <v>0.84052869843829603</v>
      </c>
      <c r="M128" s="15">
        <v>13.470225872689939</v>
      </c>
      <c r="N128" s="15">
        <v>0.89423062764690764</v>
      </c>
    </row>
    <row r="129" spans="1:14" x14ac:dyDescent="0.25">
      <c r="A129" s="13" t="s">
        <v>587</v>
      </c>
      <c r="B129">
        <v>29.207392197125255</v>
      </c>
      <c r="C129" s="1">
        <v>1</v>
      </c>
      <c r="D129">
        <v>1</v>
      </c>
      <c r="F129" s="15">
        <v>17.281314168377822</v>
      </c>
      <c r="G129" s="1">
        <v>546</v>
      </c>
      <c r="H129" s="1">
        <v>0</v>
      </c>
      <c r="I129" s="1">
        <v>1</v>
      </c>
      <c r="J129" s="15">
        <v>1</v>
      </c>
      <c r="K129" s="15">
        <v>0.84052869843829603</v>
      </c>
      <c r="M129" s="15">
        <v>13.634496919917865</v>
      </c>
      <c r="N129" s="15">
        <v>0.89423062764690764</v>
      </c>
    </row>
    <row r="130" spans="1:14" x14ac:dyDescent="0.25">
      <c r="A130" s="13" t="s">
        <v>586</v>
      </c>
      <c r="B130">
        <v>11.728952772073923</v>
      </c>
      <c r="C130" s="1">
        <v>1</v>
      </c>
      <c r="D130">
        <v>1</v>
      </c>
      <c r="F130" s="15">
        <v>17.37987679671458</v>
      </c>
      <c r="G130" s="1">
        <v>545</v>
      </c>
      <c r="H130" s="1">
        <v>1</v>
      </c>
      <c r="I130" s="1">
        <v>1</v>
      </c>
      <c r="J130" s="15">
        <v>0.99816513761467895</v>
      </c>
      <c r="K130" s="15">
        <v>0.83898644394574873</v>
      </c>
      <c r="M130" s="15">
        <v>13.634496919917865</v>
      </c>
      <c r="N130" s="15">
        <v>0.8927072364584121</v>
      </c>
    </row>
    <row r="131" spans="1:14" x14ac:dyDescent="0.25">
      <c r="A131" s="13" t="s">
        <v>585</v>
      </c>
      <c r="B131">
        <v>17.971252566735114</v>
      </c>
      <c r="C131" s="1">
        <v>1</v>
      </c>
      <c r="D131">
        <v>1</v>
      </c>
      <c r="F131" s="15">
        <v>17.412731006160165</v>
      </c>
      <c r="G131" s="1">
        <v>543</v>
      </c>
      <c r="H131" s="1">
        <v>1</v>
      </c>
      <c r="I131" s="1">
        <v>0</v>
      </c>
      <c r="J131" s="15">
        <v>0.99815837937384899</v>
      </c>
      <c r="K131" s="15">
        <v>0.83744134920551716</v>
      </c>
      <c r="M131" s="15">
        <v>13.700205338809035</v>
      </c>
      <c r="N131" s="15">
        <v>0.8927072364584121</v>
      </c>
    </row>
    <row r="132" spans="1:14" x14ac:dyDescent="0.25">
      <c r="A132" s="13" t="s">
        <v>584</v>
      </c>
      <c r="B132">
        <v>56.57494866529774</v>
      </c>
      <c r="C132" s="1">
        <v>0</v>
      </c>
      <c r="D132">
        <v>1</v>
      </c>
      <c r="F132" s="15">
        <v>17.511293634496919</v>
      </c>
      <c r="G132" s="1">
        <v>542</v>
      </c>
      <c r="H132" s="1">
        <v>1</v>
      </c>
      <c r="I132" s="1">
        <v>0</v>
      </c>
      <c r="J132" s="15">
        <v>0.99815498154981552</v>
      </c>
      <c r="K132" s="15">
        <v>0.83589625446528559</v>
      </c>
      <c r="M132" s="15">
        <v>13.700205338809035</v>
      </c>
      <c r="N132" s="15">
        <v>0.89118384526991645</v>
      </c>
    </row>
    <row r="133" spans="1:14" x14ac:dyDescent="0.25">
      <c r="A133" s="13" t="s">
        <v>583</v>
      </c>
      <c r="B133">
        <v>77.930184804928132</v>
      </c>
      <c r="C133" s="1">
        <v>0</v>
      </c>
      <c r="D133">
        <v>1</v>
      </c>
      <c r="F133" s="15">
        <v>17.577002053388089</v>
      </c>
      <c r="G133" s="1">
        <v>541</v>
      </c>
      <c r="H133" s="1">
        <v>1</v>
      </c>
      <c r="I133" s="1">
        <v>0</v>
      </c>
      <c r="J133" s="15">
        <v>0.99815157116451014</v>
      </c>
      <c r="K133" s="15">
        <v>0.83435115972505403</v>
      </c>
      <c r="M133" s="15">
        <v>13.798767967145791</v>
      </c>
      <c r="N133" s="15">
        <v>0.89118384526991645</v>
      </c>
    </row>
    <row r="134" spans="1:14" x14ac:dyDescent="0.25">
      <c r="A134" s="13" t="s">
        <v>582</v>
      </c>
      <c r="B134">
        <v>66.69404517453799</v>
      </c>
      <c r="C134" s="1">
        <v>1</v>
      </c>
      <c r="D134">
        <v>1</v>
      </c>
      <c r="F134" s="15">
        <v>17.609856262833677</v>
      </c>
      <c r="G134" s="1">
        <v>540</v>
      </c>
      <c r="H134" s="1">
        <v>1</v>
      </c>
      <c r="I134" s="1">
        <v>0</v>
      </c>
      <c r="J134" s="15">
        <v>0.99814814814814812</v>
      </c>
      <c r="K134" s="15">
        <v>0.83280606498482246</v>
      </c>
      <c r="M134" s="15">
        <v>13.798767967145791</v>
      </c>
      <c r="N134" s="15">
        <v>0.88813706289292527</v>
      </c>
    </row>
    <row r="135" spans="1:14" x14ac:dyDescent="0.25">
      <c r="A135" s="13" t="s">
        <v>581</v>
      </c>
      <c r="B135">
        <v>32.919917864476389</v>
      </c>
      <c r="C135" s="1">
        <v>1</v>
      </c>
      <c r="D135">
        <v>1</v>
      </c>
      <c r="F135" s="15">
        <v>17.642710472279262</v>
      </c>
      <c r="G135" s="1">
        <v>539</v>
      </c>
      <c r="H135" s="1">
        <v>1</v>
      </c>
      <c r="I135" s="1">
        <v>0</v>
      </c>
      <c r="J135" s="15">
        <v>0.99814471243042668</v>
      </c>
      <c r="K135" s="15">
        <v>0.83126097024459089</v>
      </c>
      <c r="M135" s="15">
        <v>13.995893223819301</v>
      </c>
      <c r="N135" s="15">
        <v>0.88813706289292527</v>
      </c>
    </row>
    <row r="136" spans="1:14" x14ac:dyDescent="0.25">
      <c r="A136" s="13" t="s">
        <v>580</v>
      </c>
      <c r="B136">
        <v>42.053388090349074</v>
      </c>
      <c r="C136" s="1">
        <v>1</v>
      </c>
      <c r="D136">
        <v>1</v>
      </c>
      <c r="F136" s="15">
        <v>17.741273100616016</v>
      </c>
      <c r="G136" s="1">
        <v>538</v>
      </c>
      <c r="H136" s="1">
        <v>1</v>
      </c>
      <c r="I136" s="1">
        <v>0</v>
      </c>
      <c r="J136" s="15">
        <v>0.9981412639405205</v>
      </c>
      <c r="K136" s="15">
        <v>0.82971587550435932</v>
      </c>
      <c r="M136" s="15">
        <v>13.995893223819301</v>
      </c>
      <c r="N136" s="15">
        <v>0.88508504549466782</v>
      </c>
    </row>
    <row r="137" spans="1:14" x14ac:dyDescent="0.25">
      <c r="A137" s="13" t="s">
        <v>579</v>
      </c>
      <c r="B137">
        <v>11.104722792607802</v>
      </c>
      <c r="C137" s="1">
        <v>1</v>
      </c>
      <c r="D137">
        <v>1</v>
      </c>
      <c r="F137" s="15">
        <v>17.774127310061601</v>
      </c>
      <c r="G137" s="1">
        <v>537</v>
      </c>
      <c r="H137" s="1">
        <v>0</v>
      </c>
      <c r="I137" s="1">
        <v>1</v>
      </c>
      <c r="J137" s="15">
        <v>1</v>
      </c>
      <c r="K137" s="15">
        <v>0.82971587550435932</v>
      </c>
      <c r="M137" s="15">
        <v>14.324435318275153</v>
      </c>
      <c r="N137" s="15">
        <v>0.88508504549466782</v>
      </c>
    </row>
    <row r="138" spans="1:14" x14ac:dyDescent="0.25">
      <c r="A138" s="13" t="s">
        <v>578</v>
      </c>
      <c r="B138">
        <v>17.511293634496919</v>
      </c>
      <c r="C138" s="1">
        <v>1</v>
      </c>
      <c r="D138">
        <v>1</v>
      </c>
      <c r="F138" s="15">
        <v>17.806981519507186</v>
      </c>
      <c r="G138" s="1">
        <v>536</v>
      </c>
      <c r="H138" s="1">
        <v>1</v>
      </c>
      <c r="I138" s="1">
        <v>0</v>
      </c>
      <c r="J138" s="15">
        <v>0.99813432835820892</v>
      </c>
      <c r="K138" s="15">
        <v>0.82816789812468694</v>
      </c>
      <c r="M138" s="15">
        <v>14.324435318275153</v>
      </c>
      <c r="N138" s="15">
        <v>0.88355375648862167</v>
      </c>
    </row>
    <row r="139" spans="1:14" x14ac:dyDescent="0.25">
      <c r="A139" s="13" t="s">
        <v>577</v>
      </c>
      <c r="B139">
        <v>5.5195071868583163</v>
      </c>
      <c r="C139" s="1">
        <v>0</v>
      </c>
      <c r="D139">
        <v>1</v>
      </c>
      <c r="F139" s="15">
        <v>17.872689938398356</v>
      </c>
      <c r="G139" s="1">
        <v>535</v>
      </c>
      <c r="H139" s="1">
        <v>2</v>
      </c>
      <c r="I139" s="1">
        <v>0</v>
      </c>
      <c r="J139" s="15">
        <v>0.99626168224299061</v>
      </c>
      <c r="K139" s="15">
        <v>0.82507194336534229</v>
      </c>
      <c r="M139" s="15">
        <v>14.390143737166325</v>
      </c>
      <c r="N139" s="15">
        <v>0.88355375648862167</v>
      </c>
    </row>
    <row r="140" spans="1:14" x14ac:dyDescent="0.25">
      <c r="A140" s="13" t="s">
        <v>576</v>
      </c>
      <c r="B140">
        <v>38.406570841889121</v>
      </c>
      <c r="C140" s="1">
        <v>0</v>
      </c>
      <c r="D140">
        <v>1</v>
      </c>
      <c r="F140" s="15">
        <v>17.905544147843944</v>
      </c>
      <c r="G140" s="1">
        <v>533</v>
      </c>
      <c r="H140" s="1">
        <v>1</v>
      </c>
      <c r="I140" s="1">
        <v>0</v>
      </c>
      <c r="J140" s="15">
        <v>0.99812382739212002</v>
      </c>
      <c r="K140" s="15">
        <v>0.8235239659856699</v>
      </c>
      <c r="M140" s="15">
        <v>14.390143737166325</v>
      </c>
      <c r="N140" s="15">
        <v>0.88202246748257551</v>
      </c>
    </row>
    <row r="141" spans="1:14" x14ac:dyDescent="0.25">
      <c r="A141" s="13" t="s">
        <v>575</v>
      </c>
      <c r="B141">
        <v>55.030800821355236</v>
      </c>
      <c r="C141" s="1">
        <v>1</v>
      </c>
      <c r="D141">
        <v>1</v>
      </c>
      <c r="F141" s="15">
        <v>17.938398357289529</v>
      </c>
      <c r="G141" s="1">
        <v>532</v>
      </c>
      <c r="H141" s="1">
        <v>0</v>
      </c>
      <c r="I141" s="1">
        <v>1</v>
      </c>
      <c r="J141" s="15">
        <v>1</v>
      </c>
      <c r="K141" s="15">
        <v>0.8235239659856699</v>
      </c>
      <c r="M141" s="15">
        <v>14.652977412731007</v>
      </c>
      <c r="N141" s="15">
        <v>0.88202246748257551</v>
      </c>
    </row>
    <row r="142" spans="1:14" x14ac:dyDescent="0.25">
      <c r="A142" s="13" t="s">
        <v>574</v>
      </c>
      <c r="B142">
        <v>61.17453798767967</v>
      </c>
      <c r="C142" s="1">
        <v>0</v>
      </c>
      <c r="D142">
        <v>1</v>
      </c>
      <c r="F142" s="15">
        <v>17.971252566735114</v>
      </c>
      <c r="G142" s="1">
        <v>531</v>
      </c>
      <c r="H142" s="1">
        <v>1</v>
      </c>
      <c r="I142" s="1">
        <v>0</v>
      </c>
      <c r="J142" s="15">
        <v>0.99811676082862522</v>
      </c>
      <c r="K142" s="15">
        <v>0.82197307339435977</v>
      </c>
      <c r="M142" s="15">
        <v>14.652977412731007</v>
      </c>
      <c r="N142" s="15">
        <v>0.88049117847652936</v>
      </c>
    </row>
    <row r="143" spans="1:14" x14ac:dyDescent="0.25">
      <c r="A143" s="13" t="s">
        <v>573</v>
      </c>
      <c r="B143">
        <v>20.6652977412731</v>
      </c>
      <c r="C143" s="1">
        <v>0</v>
      </c>
      <c r="D143">
        <v>1</v>
      </c>
      <c r="F143" s="15">
        <v>18.004106776180699</v>
      </c>
      <c r="G143" s="1">
        <v>530</v>
      </c>
      <c r="H143" s="1">
        <v>3</v>
      </c>
      <c r="I143" s="1">
        <v>0</v>
      </c>
      <c r="J143" s="15">
        <v>0.99433962264150944</v>
      </c>
      <c r="K143" s="15">
        <v>0.81732039562042946</v>
      </c>
      <c r="M143" s="15">
        <v>14.718685831622176</v>
      </c>
      <c r="N143" s="15">
        <v>0.88049117847652936</v>
      </c>
    </row>
    <row r="144" spans="1:14" x14ac:dyDescent="0.25">
      <c r="A144" s="13" t="s">
        <v>572</v>
      </c>
      <c r="B144">
        <v>38.340862422997944</v>
      </c>
      <c r="C144" s="1">
        <v>0</v>
      </c>
      <c r="D144">
        <v>1</v>
      </c>
      <c r="F144" s="15">
        <v>18.069815195071868</v>
      </c>
      <c r="G144" s="1">
        <v>527</v>
      </c>
      <c r="H144" s="1">
        <v>2</v>
      </c>
      <c r="I144" s="1">
        <v>0</v>
      </c>
      <c r="J144" s="15">
        <v>0.99620493358633777</v>
      </c>
      <c r="K144" s="15">
        <v>0.8142186104378093</v>
      </c>
      <c r="M144" s="15">
        <v>14.718685831622176</v>
      </c>
      <c r="N144" s="15">
        <v>0.8789598894704832</v>
      </c>
    </row>
    <row r="145" spans="1:14" x14ac:dyDescent="0.25">
      <c r="A145" s="13" t="s">
        <v>571</v>
      </c>
      <c r="B145">
        <v>16.262833675564682</v>
      </c>
      <c r="C145" s="1">
        <v>1</v>
      </c>
      <c r="D145">
        <v>1</v>
      </c>
      <c r="F145" s="15">
        <v>18.135523613963038</v>
      </c>
      <c r="G145" s="1">
        <v>525</v>
      </c>
      <c r="H145" s="1">
        <v>2</v>
      </c>
      <c r="I145" s="1">
        <v>0</v>
      </c>
      <c r="J145" s="15">
        <v>0.99619047619047618</v>
      </c>
      <c r="K145" s="15">
        <v>0.81111682525518902</v>
      </c>
      <c r="M145" s="15">
        <v>14.751540041067761</v>
      </c>
      <c r="N145" s="15">
        <v>0.8789598894704832</v>
      </c>
    </row>
    <row r="146" spans="1:14" x14ac:dyDescent="0.25">
      <c r="A146" s="13" t="s">
        <v>570</v>
      </c>
      <c r="B146">
        <v>31.770020533880903</v>
      </c>
      <c r="C146" s="1">
        <v>0</v>
      </c>
      <c r="D146">
        <v>1</v>
      </c>
      <c r="F146" s="15">
        <v>18.168377823408623</v>
      </c>
      <c r="G146" s="1">
        <v>523</v>
      </c>
      <c r="H146" s="1">
        <v>0</v>
      </c>
      <c r="I146" s="1">
        <v>1</v>
      </c>
      <c r="J146" s="15">
        <v>1</v>
      </c>
      <c r="K146" s="15">
        <v>0.81111682525518902</v>
      </c>
      <c r="M146" s="15">
        <v>14.751540041067761</v>
      </c>
      <c r="N146" s="15">
        <v>0.87742860046443705</v>
      </c>
    </row>
    <row r="147" spans="1:14" x14ac:dyDescent="0.25">
      <c r="A147" s="13" t="s">
        <v>569</v>
      </c>
      <c r="B147">
        <v>56.50924024640657</v>
      </c>
      <c r="C147" s="1">
        <v>0</v>
      </c>
      <c r="D147">
        <v>1</v>
      </c>
      <c r="F147" s="15">
        <v>18.201232032854211</v>
      </c>
      <c r="G147" s="1">
        <v>522</v>
      </c>
      <c r="H147" s="1">
        <v>2</v>
      </c>
      <c r="I147" s="1">
        <v>0</v>
      </c>
      <c r="J147" s="15">
        <v>0.99616858237547889</v>
      </c>
      <c r="K147" s="15">
        <v>0.80800909795536069</v>
      </c>
      <c r="M147" s="15">
        <v>14.948665297741274</v>
      </c>
      <c r="N147" s="15">
        <v>0.87742860046443705</v>
      </c>
    </row>
    <row r="148" spans="1:14" x14ac:dyDescent="0.25">
      <c r="A148" s="13" t="s">
        <v>568</v>
      </c>
      <c r="B148">
        <v>19.646817248459961</v>
      </c>
      <c r="C148" s="1">
        <v>1</v>
      </c>
      <c r="D148">
        <v>1</v>
      </c>
      <c r="F148" s="15">
        <v>18.299794661190965</v>
      </c>
      <c r="G148" s="1">
        <v>520</v>
      </c>
      <c r="H148" s="1">
        <v>1</v>
      </c>
      <c r="I148" s="1">
        <v>0</v>
      </c>
      <c r="J148" s="15">
        <v>0.99807692307692308</v>
      </c>
      <c r="K148" s="15">
        <v>0.80645523430544652</v>
      </c>
      <c r="M148" s="15">
        <v>14.948665297741274</v>
      </c>
      <c r="N148" s="15">
        <v>0.87589731145839089</v>
      </c>
    </row>
    <row r="149" spans="1:14" x14ac:dyDescent="0.25">
      <c r="A149" s="13" t="s">
        <v>567</v>
      </c>
      <c r="B149">
        <v>12.878850102669405</v>
      </c>
      <c r="C149" s="1">
        <v>1</v>
      </c>
      <c r="D149">
        <v>1</v>
      </c>
      <c r="F149" s="15">
        <v>18.365503080082135</v>
      </c>
      <c r="G149" s="1">
        <v>519</v>
      </c>
      <c r="H149" s="1">
        <v>1</v>
      </c>
      <c r="I149" s="1">
        <v>0</v>
      </c>
      <c r="J149" s="15">
        <v>0.9980732177263969</v>
      </c>
      <c r="K149" s="15">
        <v>0.80490137065553236</v>
      </c>
      <c r="M149" s="15">
        <v>14.981519507186858</v>
      </c>
      <c r="N149" s="15">
        <v>0.87589731145839089</v>
      </c>
    </row>
    <row r="150" spans="1:14" x14ac:dyDescent="0.25">
      <c r="A150" s="13" t="s">
        <v>566</v>
      </c>
      <c r="B150">
        <v>49.347022587268995</v>
      </c>
      <c r="C150" s="1">
        <v>0</v>
      </c>
      <c r="D150">
        <v>1</v>
      </c>
      <c r="F150" s="15">
        <v>18.496919917864478</v>
      </c>
      <c r="G150" s="1">
        <v>518</v>
      </c>
      <c r="H150" s="1">
        <v>1</v>
      </c>
      <c r="I150" s="1">
        <v>0</v>
      </c>
      <c r="J150" s="15">
        <v>0.99806949806949807</v>
      </c>
      <c r="K150" s="15">
        <v>0.80334750700561819</v>
      </c>
      <c r="M150" s="15">
        <v>14.981519507186858</v>
      </c>
      <c r="N150" s="15">
        <v>0.87436602245234474</v>
      </c>
    </row>
    <row r="151" spans="1:14" x14ac:dyDescent="0.25">
      <c r="A151" s="13" t="s">
        <v>565</v>
      </c>
      <c r="B151">
        <v>7.523613963039014</v>
      </c>
      <c r="C151" s="1">
        <v>0</v>
      </c>
      <c r="D151">
        <v>1</v>
      </c>
      <c r="F151" s="15">
        <v>18.529774127310063</v>
      </c>
      <c r="G151" s="1">
        <v>517</v>
      </c>
      <c r="H151" s="1">
        <v>1</v>
      </c>
      <c r="I151" s="1">
        <v>0</v>
      </c>
      <c r="J151" s="15">
        <v>0.99806576402321079</v>
      </c>
      <c r="K151" s="15">
        <v>0.80179364335570402</v>
      </c>
      <c r="M151" s="15">
        <v>15.112936344969199</v>
      </c>
      <c r="N151" s="15">
        <v>0.87436602245234474</v>
      </c>
    </row>
    <row r="152" spans="1:14" x14ac:dyDescent="0.25">
      <c r="A152" s="13" t="s">
        <v>564</v>
      </c>
      <c r="B152">
        <v>10.184804928131417</v>
      </c>
      <c r="C152" s="1">
        <v>0</v>
      </c>
      <c r="D152">
        <v>1</v>
      </c>
      <c r="F152" s="15">
        <v>18.595482546201232</v>
      </c>
      <c r="G152" s="1">
        <v>516</v>
      </c>
      <c r="H152" s="1">
        <v>0</v>
      </c>
      <c r="I152" s="1">
        <v>1</v>
      </c>
      <c r="J152" s="15">
        <v>1</v>
      </c>
      <c r="K152" s="15">
        <v>0.80179364335570402</v>
      </c>
      <c r="M152" s="15">
        <v>15.112936344969199</v>
      </c>
      <c r="N152" s="15">
        <v>0.87283473344629858</v>
      </c>
    </row>
    <row r="153" spans="1:14" x14ac:dyDescent="0.25">
      <c r="A153" s="13" t="s">
        <v>563</v>
      </c>
      <c r="B153">
        <v>42.579055441478438</v>
      </c>
      <c r="C153" s="1">
        <v>0</v>
      </c>
      <c r="D153">
        <v>1</v>
      </c>
      <c r="F153" s="15">
        <v>18.628336755646817</v>
      </c>
      <c r="G153" s="1">
        <v>515</v>
      </c>
      <c r="H153" s="1">
        <v>0</v>
      </c>
      <c r="I153" s="1">
        <v>1</v>
      </c>
      <c r="J153" s="15">
        <v>1</v>
      </c>
      <c r="K153" s="15">
        <v>0.80179364335570402</v>
      </c>
      <c r="M153" s="15">
        <v>15.277207392197125</v>
      </c>
      <c r="N153" s="15">
        <v>0.87283473344629858</v>
      </c>
    </row>
    <row r="154" spans="1:14" x14ac:dyDescent="0.25">
      <c r="A154" s="13" t="s">
        <v>562</v>
      </c>
      <c r="B154">
        <v>16.032854209445585</v>
      </c>
      <c r="C154" s="1">
        <v>0</v>
      </c>
      <c r="D154">
        <v>1</v>
      </c>
      <c r="F154" s="15">
        <v>18.726899383983572</v>
      </c>
      <c r="G154" s="1">
        <v>514</v>
      </c>
      <c r="H154" s="1">
        <v>0</v>
      </c>
      <c r="I154" s="1">
        <v>1</v>
      </c>
      <c r="J154" s="15">
        <v>1</v>
      </c>
      <c r="K154" s="15">
        <v>0.80179364335570402</v>
      </c>
      <c r="M154" s="15">
        <v>15.277207392197125</v>
      </c>
      <c r="N154" s="15">
        <v>0.8712980525775551</v>
      </c>
    </row>
    <row r="155" spans="1:14" x14ac:dyDescent="0.25">
      <c r="A155" s="13" t="s">
        <v>561</v>
      </c>
      <c r="B155">
        <v>30.948665297741272</v>
      </c>
      <c r="C155" s="1">
        <v>0</v>
      </c>
      <c r="D155">
        <v>1</v>
      </c>
      <c r="F155" s="15">
        <v>18.759753593429156</v>
      </c>
      <c r="G155" s="1">
        <v>513</v>
      </c>
      <c r="H155" s="1">
        <v>1</v>
      </c>
      <c r="I155" s="1">
        <v>0</v>
      </c>
      <c r="J155" s="15">
        <v>0.99805068226120852</v>
      </c>
      <c r="K155" s="15">
        <v>0.8002306927838605</v>
      </c>
      <c r="M155" s="15">
        <v>15.474332648870636</v>
      </c>
      <c r="N155" s="15">
        <v>0.8712980525775551</v>
      </c>
    </row>
    <row r="156" spans="1:14" x14ac:dyDescent="0.25">
      <c r="A156" s="13" t="s">
        <v>560</v>
      </c>
      <c r="B156">
        <v>18.726899383983572</v>
      </c>
      <c r="C156" s="1">
        <v>0</v>
      </c>
      <c r="D156">
        <v>1</v>
      </c>
      <c r="F156" s="15">
        <v>18.82546201232033</v>
      </c>
      <c r="G156" s="1">
        <v>512</v>
      </c>
      <c r="H156" s="1">
        <v>1</v>
      </c>
      <c r="I156" s="1">
        <v>0</v>
      </c>
      <c r="J156" s="15">
        <v>0.998046875</v>
      </c>
      <c r="K156" s="15">
        <v>0.79866774221201697</v>
      </c>
      <c r="M156" s="15">
        <v>15.474332648870636</v>
      </c>
      <c r="N156" s="15">
        <v>0.86976137170881163</v>
      </c>
    </row>
    <row r="157" spans="1:14" x14ac:dyDescent="0.25">
      <c r="A157" s="13" t="s">
        <v>559</v>
      </c>
      <c r="B157">
        <v>38.669404517453799</v>
      </c>
      <c r="C157" s="1">
        <v>0</v>
      </c>
      <c r="D157">
        <v>1</v>
      </c>
      <c r="F157" s="15">
        <v>18.891170431211499</v>
      </c>
      <c r="G157" s="1">
        <v>511</v>
      </c>
      <c r="H157" s="1">
        <v>1</v>
      </c>
      <c r="I157" s="1">
        <v>0</v>
      </c>
      <c r="J157" s="15">
        <v>0.99804305283757333</v>
      </c>
      <c r="K157" s="15">
        <v>0.79710479164017345</v>
      </c>
      <c r="M157" s="15">
        <v>15.540041067761807</v>
      </c>
      <c r="N157" s="15">
        <v>0.86976137170881163</v>
      </c>
    </row>
    <row r="158" spans="1:14" x14ac:dyDescent="0.25">
      <c r="A158" s="13" t="s">
        <v>558</v>
      </c>
      <c r="B158">
        <v>36.566735112936342</v>
      </c>
      <c r="C158" s="1">
        <v>0</v>
      </c>
      <c r="D158">
        <v>1</v>
      </c>
      <c r="F158" s="15">
        <v>18.956878850102669</v>
      </c>
      <c r="G158" s="1">
        <v>510</v>
      </c>
      <c r="H158" s="1">
        <v>1</v>
      </c>
      <c r="I158" s="1">
        <v>0</v>
      </c>
      <c r="J158" s="15">
        <v>0.99803921568627452</v>
      </c>
      <c r="K158" s="15">
        <v>0.79554184106832992</v>
      </c>
      <c r="M158" s="15">
        <v>15.540041067761807</v>
      </c>
      <c r="N158" s="15">
        <v>0.86822469084006815</v>
      </c>
    </row>
    <row r="159" spans="1:14" x14ac:dyDescent="0.25">
      <c r="A159" s="13" t="s">
        <v>557</v>
      </c>
      <c r="B159">
        <v>9.462012320328542</v>
      </c>
      <c r="C159" s="1">
        <v>1</v>
      </c>
      <c r="D159">
        <v>1</v>
      </c>
      <c r="F159" s="15">
        <v>18.989733059548254</v>
      </c>
      <c r="G159" s="1">
        <v>509</v>
      </c>
      <c r="H159" s="1">
        <v>1</v>
      </c>
      <c r="I159" s="1">
        <v>0</v>
      </c>
      <c r="J159" s="15">
        <v>0.99803536345776034</v>
      </c>
      <c r="K159" s="15">
        <v>0.79397889049648651</v>
      </c>
      <c r="M159" s="15">
        <v>15.605749486652977</v>
      </c>
      <c r="N159" s="15">
        <v>0.86822469084006815</v>
      </c>
    </row>
    <row r="160" spans="1:14" x14ac:dyDescent="0.25">
      <c r="A160" s="13" t="s">
        <v>556</v>
      </c>
      <c r="B160">
        <v>23.753593429158112</v>
      </c>
      <c r="C160" s="1">
        <v>0</v>
      </c>
      <c r="D160">
        <v>1</v>
      </c>
      <c r="F160" s="15">
        <v>19.022587268993838</v>
      </c>
      <c r="G160" s="1">
        <v>508</v>
      </c>
      <c r="H160" s="1">
        <v>1</v>
      </c>
      <c r="I160" s="1">
        <v>0</v>
      </c>
      <c r="J160" s="15">
        <v>0.99803149606299213</v>
      </c>
      <c r="K160" s="15">
        <v>0.79241593992464299</v>
      </c>
      <c r="M160" s="15">
        <v>15.605749486652977</v>
      </c>
      <c r="N160" s="15">
        <v>0.86668800997132467</v>
      </c>
    </row>
    <row r="161" spans="1:14" x14ac:dyDescent="0.25">
      <c r="A161" s="13" t="s">
        <v>555</v>
      </c>
      <c r="B161">
        <v>13.240246406570842</v>
      </c>
      <c r="C161" s="1">
        <v>1</v>
      </c>
      <c r="D161">
        <v>1</v>
      </c>
      <c r="F161" s="15">
        <v>19.252566735112936</v>
      </c>
      <c r="G161" s="1">
        <v>507</v>
      </c>
      <c r="H161" s="1">
        <v>1</v>
      </c>
      <c r="I161" s="1">
        <v>0</v>
      </c>
      <c r="J161" s="15">
        <v>0.99802761341222879</v>
      </c>
      <c r="K161" s="15">
        <v>0.79085298935279946</v>
      </c>
      <c r="M161" s="15">
        <v>15.638603696098563</v>
      </c>
      <c r="N161" s="15">
        <v>0.86668800997132467</v>
      </c>
    </row>
    <row r="162" spans="1:14" x14ac:dyDescent="0.25">
      <c r="A162" s="13" t="s">
        <v>554</v>
      </c>
      <c r="B162">
        <v>40.246406570841891</v>
      </c>
      <c r="C162" s="1">
        <v>1</v>
      </c>
      <c r="D162">
        <v>1</v>
      </c>
      <c r="F162" s="15">
        <v>19.515400410677618</v>
      </c>
      <c r="G162" s="1">
        <v>506</v>
      </c>
      <c r="H162" s="1">
        <v>2</v>
      </c>
      <c r="I162" s="1">
        <v>0</v>
      </c>
      <c r="J162" s="15">
        <v>0.99604743083003955</v>
      </c>
      <c r="K162" s="15">
        <v>0.78772708820911252</v>
      </c>
      <c r="M162" s="15">
        <v>15.638603696098563</v>
      </c>
      <c r="N162" s="15">
        <v>0.86361464823383771</v>
      </c>
    </row>
    <row r="163" spans="1:14" x14ac:dyDescent="0.25">
      <c r="A163" s="13" t="s">
        <v>553</v>
      </c>
      <c r="B163">
        <v>11.104722792607802</v>
      </c>
      <c r="C163" s="1">
        <v>1</v>
      </c>
      <c r="D163">
        <v>1</v>
      </c>
      <c r="F163" s="15">
        <v>19.548254620123203</v>
      </c>
      <c r="G163" s="1">
        <v>504</v>
      </c>
      <c r="H163" s="1">
        <v>1</v>
      </c>
      <c r="I163" s="1">
        <v>0</v>
      </c>
      <c r="J163" s="15">
        <v>0.99801587301587302</v>
      </c>
      <c r="K163" s="15">
        <v>0.786164137637269</v>
      </c>
      <c r="M163" s="15">
        <v>15.802874743326489</v>
      </c>
      <c r="N163" s="15">
        <v>0.86361464823383771</v>
      </c>
    </row>
    <row r="164" spans="1:14" x14ac:dyDescent="0.25">
      <c r="A164" s="13" t="s">
        <v>552</v>
      </c>
      <c r="B164">
        <v>43.926078028747433</v>
      </c>
      <c r="C164" s="1">
        <v>1</v>
      </c>
      <c r="D164">
        <v>1</v>
      </c>
      <c r="F164" s="15">
        <v>19.581108829568787</v>
      </c>
      <c r="G164" s="1">
        <v>503</v>
      </c>
      <c r="H164" s="1">
        <v>0</v>
      </c>
      <c r="I164" s="1">
        <v>1</v>
      </c>
      <c r="J164" s="15">
        <v>1</v>
      </c>
      <c r="K164" s="15">
        <v>0.786164137637269</v>
      </c>
      <c r="M164" s="15">
        <v>15.802874743326489</v>
      </c>
      <c r="N164" s="15">
        <v>0.86207796736509423</v>
      </c>
    </row>
    <row r="165" spans="1:14" x14ac:dyDescent="0.25">
      <c r="A165" s="13" t="s">
        <v>551</v>
      </c>
      <c r="B165">
        <v>46.652977412731005</v>
      </c>
      <c r="C165" s="1">
        <v>1</v>
      </c>
      <c r="D165">
        <v>1</v>
      </c>
      <c r="F165" s="15">
        <v>19.646817248459961</v>
      </c>
      <c r="G165" s="1">
        <v>502</v>
      </c>
      <c r="H165" s="1">
        <v>1</v>
      </c>
      <c r="I165" s="1">
        <v>0</v>
      </c>
      <c r="J165" s="15">
        <v>0.99800796812749004</v>
      </c>
      <c r="K165" s="15">
        <v>0.78459807361807121</v>
      </c>
      <c r="M165" s="15">
        <v>15.967145790554415</v>
      </c>
      <c r="N165" s="15">
        <v>0.86207796736509423</v>
      </c>
    </row>
    <row r="166" spans="1:14" x14ac:dyDescent="0.25">
      <c r="A166" s="13" t="s">
        <v>550</v>
      </c>
      <c r="B166">
        <v>67.285420944558524</v>
      </c>
      <c r="C166" s="1">
        <v>0</v>
      </c>
      <c r="D166">
        <v>1</v>
      </c>
      <c r="F166" s="15">
        <v>19.71252566735113</v>
      </c>
      <c r="G166" s="1">
        <v>501</v>
      </c>
      <c r="H166" s="1">
        <v>1</v>
      </c>
      <c r="I166" s="1">
        <v>0</v>
      </c>
      <c r="J166" s="15">
        <v>0.99800399201596801</v>
      </c>
      <c r="K166" s="15">
        <v>0.78303200959887342</v>
      </c>
      <c r="M166" s="15">
        <v>15.967145790554415</v>
      </c>
      <c r="N166" s="15">
        <v>0.86054128649635075</v>
      </c>
    </row>
    <row r="167" spans="1:14" x14ac:dyDescent="0.25">
      <c r="A167" s="13" t="s">
        <v>549</v>
      </c>
      <c r="B167">
        <v>19.71252566735113</v>
      </c>
      <c r="C167" s="1">
        <v>1</v>
      </c>
      <c r="D167">
        <v>1</v>
      </c>
      <c r="F167" s="15">
        <v>20.106776180698152</v>
      </c>
      <c r="G167" s="1">
        <v>500</v>
      </c>
      <c r="H167" s="1">
        <v>1</v>
      </c>
      <c r="I167" s="1">
        <v>0</v>
      </c>
      <c r="J167" s="15">
        <v>0.998</v>
      </c>
      <c r="K167" s="15">
        <v>0.78146594557967564</v>
      </c>
      <c r="M167" s="15">
        <v>16.098562628336754</v>
      </c>
      <c r="N167" s="15">
        <v>0.86054128649635075</v>
      </c>
    </row>
    <row r="168" spans="1:14" x14ac:dyDescent="0.25">
      <c r="A168" s="13" t="s">
        <v>548</v>
      </c>
      <c r="B168">
        <v>57.987679671457904</v>
      </c>
      <c r="C168" s="1">
        <v>0</v>
      </c>
      <c r="D168">
        <v>1</v>
      </c>
      <c r="F168" s="15">
        <v>20.205338809034906</v>
      </c>
      <c r="G168" s="1">
        <v>499</v>
      </c>
      <c r="H168" s="1">
        <v>0</v>
      </c>
      <c r="I168" s="1">
        <v>1</v>
      </c>
      <c r="J168" s="15">
        <v>1</v>
      </c>
      <c r="K168" s="15">
        <v>0.78146594557967564</v>
      </c>
      <c r="M168" s="15">
        <v>16.098562628336754</v>
      </c>
      <c r="N168" s="15">
        <v>0.85900185664573114</v>
      </c>
    </row>
    <row r="169" spans="1:14" x14ac:dyDescent="0.25">
      <c r="A169" s="13" t="s">
        <v>547</v>
      </c>
      <c r="B169">
        <v>16.131416837782339</v>
      </c>
      <c r="C169" s="1">
        <v>1</v>
      </c>
      <c r="D169">
        <v>1</v>
      </c>
      <c r="F169" s="15">
        <v>20.435318275154003</v>
      </c>
      <c r="G169" s="1">
        <v>498</v>
      </c>
      <c r="H169" s="1">
        <v>1</v>
      </c>
      <c r="I169" s="1">
        <v>0</v>
      </c>
      <c r="J169" s="15">
        <v>0.99799196787148592</v>
      </c>
      <c r="K169" s="15">
        <v>0.77989673685361205</v>
      </c>
      <c r="M169" s="15">
        <v>16.131416837782339</v>
      </c>
      <c r="N169" s="15">
        <v>0.85900185664573114</v>
      </c>
    </row>
    <row r="170" spans="1:14" x14ac:dyDescent="0.25">
      <c r="A170" s="13" t="s">
        <v>546</v>
      </c>
      <c r="B170">
        <v>10.020533880903491</v>
      </c>
      <c r="C170" s="1">
        <v>1</v>
      </c>
      <c r="D170">
        <v>1</v>
      </c>
      <c r="F170" s="15">
        <v>20.468172484599588</v>
      </c>
      <c r="G170" s="1">
        <v>497</v>
      </c>
      <c r="H170" s="1">
        <v>0</v>
      </c>
      <c r="I170" s="1">
        <v>2</v>
      </c>
      <c r="J170" s="15">
        <v>1</v>
      </c>
      <c r="K170" s="15">
        <v>0.77989673685361205</v>
      </c>
      <c r="M170" s="15">
        <v>16.131416837782339</v>
      </c>
      <c r="N170" s="15">
        <v>0.85438356709387242</v>
      </c>
    </row>
    <row r="171" spans="1:14" x14ac:dyDescent="0.25">
      <c r="A171" s="13" t="s">
        <v>545</v>
      </c>
      <c r="B171">
        <v>51.975359342915809</v>
      </c>
      <c r="C171" s="1">
        <v>0</v>
      </c>
      <c r="D171">
        <v>1</v>
      </c>
      <c r="F171" s="15">
        <v>20.501026694045173</v>
      </c>
      <c r="G171" s="1">
        <v>495</v>
      </c>
      <c r="H171" s="1">
        <v>2</v>
      </c>
      <c r="I171" s="1">
        <v>0</v>
      </c>
      <c r="J171" s="15">
        <v>0.99595959595959593</v>
      </c>
      <c r="K171" s="15">
        <v>0.77674563892693071</v>
      </c>
      <c r="M171" s="15">
        <v>16.262833675564682</v>
      </c>
      <c r="N171" s="15">
        <v>0.85438356709387242</v>
      </c>
    </row>
    <row r="172" spans="1:14" x14ac:dyDescent="0.25">
      <c r="A172" s="13" t="s">
        <v>544</v>
      </c>
      <c r="B172">
        <v>58.18480492813142</v>
      </c>
      <c r="C172" s="1">
        <v>0</v>
      </c>
      <c r="D172">
        <v>1</v>
      </c>
      <c r="F172" s="15">
        <v>20.632443531827516</v>
      </c>
      <c r="G172" s="1">
        <v>493</v>
      </c>
      <c r="H172" s="1">
        <v>0</v>
      </c>
      <c r="I172" s="1">
        <v>1</v>
      </c>
      <c r="J172" s="15">
        <v>1</v>
      </c>
      <c r="K172" s="15">
        <v>0.77674563892693071</v>
      </c>
      <c r="M172" s="15">
        <v>16.262833675564682</v>
      </c>
      <c r="N172" s="15">
        <v>0.85284413724325281</v>
      </c>
    </row>
    <row r="173" spans="1:14" x14ac:dyDescent="0.25">
      <c r="A173" s="13" t="s">
        <v>543</v>
      </c>
      <c r="B173">
        <v>31.540041067761805</v>
      </c>
      <c r="C173" s="1">
        <v>1</v>
      </c>
      <c r="D173">
        <v>1</v>
      </c>
      <c r="F173" s="15">
        <v>20.6652977412731</v>
      </c>
      <c r="G173" s="1">
        <v>492</v>
      </c>
      <c r="H173" s="1">
        <v>1</v>
      </c>
      <c r="I173" s="1">
        <v>1</v>
      </c>
      <c r="J173" s="15">
        <v>0.99796747967479671</v>
      </c>
      <c r="K173" s="15">
        <v>0.77516688762829866</v>
      </c>
      <c r="M173" s="15">
        <v>16.361396303901437</v>
      </c>
      <c r="N173" s="15">
        <v>0.85284413724325281</v>
      </c>
    </row>
    <row r="174" spans="1:14" x14ac:dyDescent="0.25">
      <c r="A174" s="13" t="s">
        <v>542</v>
      </c>
      <c r="B174">
        <v>18.759753593429156</v>
      </c>
      <c r="C174" s="1">
        <v>1</v>
      </c>
      <c r="D174">
        <v>1</v>
      </c>
      <c r="F174" s="15">
        <v>20.73100616016427</v>
      </c>
      <c r="G174" s="1">
        <v>490</v>
      </c>
      <c r="H174" s="1">
        <v>0</v>
      </c>
      <c r="I174" s="1">
        <v>1</v>
      </c>
      <c r="J174" s="15">
        <v>1</v>
      </c>
      <c r="K174" s="15">
        <v>0.77516688762829866</v>
      </c>
      <c r="M174" s="15">
        <v>16.361396303901437</v>
      </c>
      <c r="N174" s="15">
        <v>0.8513047073926332</v>
      </c>
    </row>
    <row r="175" spans="1:14" x14ac:dyDescent="0.25">
      <c r="A175" s="13" t="s">
        <v>541</v>
      </c>
      <c r="B175">
        <v>22.17659137577002</v>
      </c>
      <c r="C175" s="1">
        <v>0</v>
      </c>
      <c r="D175">
        <v>1</v>
      </c>
      <c r="F175" s="15">
        <v>20.763860369609855</v>
      </c>
      <c r="G175" s="1">
        <v>489</v>
      </c>
      <c r="H175" s="1">
        <v>1</v>
      </c>
      <c r="I175" s="1">
        <v>0</v>
      </c>
      <c r="J175" s="15">
        <v>0.99795501022494892</v>
      </c>
      <c r="K175" s="15">
        <v>0.77358167926914068</v>
      </c>
      <c r="M175" s="15">
        <v>16.427104722792606</v>
      </c>
      <c r="N175" s="15">
        <v>0.8513047073926332</v>
      </c>
    </row>
    <row r="176" spans="1:14" x14ac:dyDescent="0.25">
      <c r="A176" s="13" t="s">
        <v>540</v>
      </c>
      <c r="B176">
        <v>9.3634496919917858</v>
      </c>
      <c r="C176" s="1">
        <v>1</v>
      </c>
      <c r="D176">
        <v>1</v>
      </c>
      <c r="F176" s="15">
        <v>20.928131416837783</v>
      </c>
      <c r="G176" s="1">
        <v>488</v>
      </c>
      <c r="H176" s="1">
        <v>1</v>
      </c>
      <c r="I176" s="1">
        <v>1</v>
      </c>
      <c r="J176" s="15">
        <v>0.99795081967213117</v>
      </c>
      <c r="K176" s="15">
        <v>0.77199647090998258</v>
      </c>
      <c r="M176" s="15">
        <v>16.427104722792606</v>
      </c>
      <c r="N176" s="15">
        <v>0.84976527754201359</v>
      </c>
    </row>
    <row r="177" spans="1:14" x14ac:dyDescent="0.25">
      <c r="A177" s="13" t="s">
        <v>539</v>
      </c>
      <c r="B177">
        <v>48.361396303901437</v>
      </c>
      <c r="C177" s="1">
        <v>0</v>
      </c>
      <c r="D177">
        <v>1</v>
      </c>
      <c r="F177" s="15">
        <v>21.223819301848049</v>
      </c>
      <c r="G177" s="1">
        <v>486</v>
      </c>
      <c r="H177" s="1">
        <v>1</v>
      </c>
      <c r="I177" s="1">
        <v>0</v>
      </c>
      <c r="J177" s="15">
        <v>0.99794238683127567</v>
      </c>
      <c r="K177" s="15">
        <v>0.77040800080522953</v>
      </c>
      <c r="M177" s="15">
        <v>16.492813141683779</v>
      </c>
      <c r="N177" s="15">
        <v>0.84976527754201359</v>
      </c>
    </row>
    <row r="178" spans="1:14" x14ac:dyDescent="0.25">
      <c r="A178" s="13" t="s">
        <v>538</v>
      </c>
      <c r="B178">
        <v>42.020533880903493</v>
      </c>
      <c r="C178" s="1">
        <v>1</v>
      </c>
      <c r="D178">
        <v>1</v>
      </c>
      <c r="F178" s="15">
        <v>21.289527720739219</v>
      </c>
      <c r="G178" s="1">
        <v>485</v>
      </c>
      <c r="H178" s="1">
        <v>1</v>
      </c>
      <c r="I178" s="1">
        <v>0</v>
      </c>
      <c r="J178" s="15">
        <v>0.99793814432989691</v>
      </c>
      <c r="K178" s="15">
        <v>0.76881953070047648</v>
      </c>
      <c r="M178" s="15">
        <v>16.492813141683779</v>
      </c>
      <c r="N178" s="15">
        <v>0.84822584769139397</v>
      </c>
    </row>
    <row r="179" spans="1:14" x14ac:dyDescent="0.25">
      <c r="A179" s="13" t="s">
        <v>537</v>
      </c>
      <c r="B179">
        <v>4.862422997946612</v>
      </c>
      <c r="C179" s="1">
        <v>0</v>
      </c>
      <c r="D179">
        <v>1</v>
      </c>
      <c r="F179" s="15">
        <v>21.355236139630389</v>
      </c>
      <c r="G179" s="1">
        <v>484</v>
      </c>
      <c r="H179" s="1">
        <v>1</v>
      </c>
      <c r="I179" s="1">
        <v>1</v>
      </c>
      <c r="J179" s="15">
        <v>0.99793388429752061</v>
      </c>
      <c r="K179" s="15">
        <v>0.76723106059572344</v>
      </c>
      <c r="M179" s="15">
        <v>16.525667351129364</v>
      </c>
      <c r="N179" s="15">
        <v>0.84822584769139397</v>
      </c>
    </row>
    <row r="180" spans="1:14" x14ac:dyDescent="0.25">
      <c r="A180" s="13" t="s">
        <v>536</v>
      </c>
      <c r="B180">
        <v>61.207392197125259</v>
      </c>
      <c r="C180" s="1">
        <v>0</v>
      </c>
      <c r="D180">
        <v>1</v>
      </c>
      <c r="F180" s="15">
        <v>21.388090349075977</v>
      </c>
      <c r="G180" s="1">
        <v>482</v>
      </c>
      <c r="H180" s="1">
        <v>0</v>
      </c>
      <c r="I180" s="1">
        <v>1</v>
      </c>
      <c r="J180" s="15">
        <v>1</v>
      </c>
      <c r="K180" s="15">
        <v>0.76723106059572344</v>
      </c>
      <c r="M180" s="15">
        <v>16.525667351129364</v>
      </c>
      <c r="N180" s="15">
        <v>0.84668641784077436</v>
      </c>
    </row>
    <row r="181" spans="1:14" x14ac:dyDescent="0.25">
      <c r="A181" s="13" t="s">
        <v>535</v>
      </c>
      <c r="B181">
        <v>63.507186858316224</v>
      </c>
      <c r="C181" s="1">
        <v>0</v>
      </c>
      <c r="D181">
        <v>1</v>
      </c>
      <c r="F181" s="15">
        <v>21.420944558521562</v>
      </c>
      <c r="G181" s="1">
        <v>481</v>
      </c>
      <c r="H181" s="1">
        <v>0</v>
      </c>
      <c r="I181" s="1">
        <v>1</v>
      </c>
      <c r="J181" s="15">
        <v>1</v>
      </c>
      <c r="K181" s="15">
        <v>0.76723106059572344</v>
      </c>
      <c r="M181" s="15">
        <v>16.558521560574949</v>
      </c>
      <c r="N181" s="15">
        <v>0.84668641784077436</v>
      </c>
    </row>
    <row r="182" spans="1:14" x14ac:dyDescent="0.25">
      <c r="A182" s="13" t="s">
        <v>534</v>
      </c>
      <c r="B182">
        <v>11.761806981519507</v>
      </c>
      <c r="C182" s="1">
        <v>1</v>
      </c>
      <c r="D182">
        <v>1</v>
      </c>
      <c r="F182" s="15">
        <v>21.585215605749486</v>
      </c>
      <c r="G182" s="1">
        <v>480</v>
      </c>
      <c r="H182" s="1">
        <v>0</v>
      </c>
      <c r="I182" s="1">
        <v>1</v>
      </c>
      <c r="J182" s="15">
        <v>1</v>
      </c>
      <c r="K182" s="15">
        <v>0.76723106059572344</v>
      </c>
      <c r="M182" s="15">
        <v>16.558521560574949</v>
      </c>
      <c r="N182" s="15">
        <v>0.84514698799015475</v>
      </c>
    </row>
    <row r="183" spans="1:14" x14ac:dyDescent="0.25">
      <c r="A183" s="13" t="s">
        <v>533</v>
      </c>
      <c r="B183">
        <v>24.114989733059549</v>
      </c>
      <c r="C183" s="1">
        <v>0</v>
      </c>
      <c r="D183">
        <v>1</v>
      </c>
      <c r="F183" s="15">
        <v>21.749486652977414</v>
      </c>
      <c r="G183" s="1">
        <v>479</v>
      </c>
      <c r="H183" s="1">
        <v>1</v>
      </c>
      <c r="I183" s="1">
        <v>0</v>
      </c>
      <c r="J183" s="15">
        <v>0.9979123173277662</v>
      </c>
      <c r="K183" s="15">
        <v>0.76562932560491814</v>
      </c>
      <c r="M183" s="15">
        <v>16.919917864476385</v>
      </c>
      <c r="N183" s="15">
        <v>0.84514698799015475</v>
      </c>
    </row>
    <row r="184" spans="1:14" x14ac:dyDescent="0.25">
      <c r="A184" s="13" t="s">
        <v>532</v>
      </c>
      <c r="B184">
        <v>77.930184804928132</v>
      </c>
      <c r="C184" s="1">
        <v>1</v>
      </c>
      <c r="D184">
        <v>1</v>
      </c>
      <c r="F184" s="15">
        <v>21.782340862422998</v>
      </c>
      <c r="G184" s="1">
        <v>478</v>
      </c>
      <c r="H184" s="1">
        <v>0</v>
      </c>
      <c r="I184" s="1">
        <v>1</v>
      </c>
      <c r="J184" s="15">
        <v>1</v>
      </c>
      <c r="K184" s="15">
        <v>0.76562932560491814</v>
      </c>
      <c r="M184" s="15">
        <v>16.919917864476385</v>
      </c>
      <c r="N184" s="15">
        <v>0.84360755813953514</v>
      </c>
    </row>
    <row r="185" spans="1:14" x14ac:dyDescent="0.25">
      <c r="A185" s="13" t="s">
        <v>531</v>
      </c>
      <c r="B185">
        <v>84.205338809034913</v>
      </c>
      <c r="C185" s="1">
        <v>0</v>
      </c>
      <c r="D185">
        <v>1</v>
      </c>
      <c r="F185" s="15">
        <v>22.012320328542096</v>
      </c>
      <c r="G185" s="1">
        <v>477</v>
      </c>
      <c r="H185" s="1">
        <v>1</v>
      </c>
      <c r="I185" s="1">
        <v>0</v>
      </c>
      <c r="J185" s="15">
        <v>0.99790356394129975</v>
      </c>
      <c r="K185" s="15">
        <v>0.76402423267912167</v>
      </c>
      <c r="M185" s="15">
        <v>17.018480492813143</v>
      </c>
      <c r="N185" s="15">
        <v>0.84360755813953514</v>
      </c>
    </row>
    <row r="186" spans="1:14" x14ac:dyDescent="0.25">
      <c r="A186" s="13" t="s">
        <v>530</v>
      </c>
      <c r="B186">
        <v>77.930184804928132</v>
      </c>
      <c r="C186" s="1">
        <v>0</v>
      </c>
      <c r="D186">
        <v>1</v>
      </c>
      <c r="F186" s="15">
        <v>22.17659137577002</v>
      </c>
      <c r="G186" s="1">
        <v>476</v>
      </c>
      <c r="H186" s="1">
        <v>1</v>
      </c>
      <c r="I186" s="1">
        <v>1</v>
      </c>
      <c r="J186" s="15">
        <v>0.99789915966386555</v>
      </c>
      <c r="K186" s="15">
        <v>0.7624191397533252</v>
      </c>
      <c r="M186" s="15">
        <v>17.018480492813143</v>
      </c>
      <c r="N186" s="15">
        <v>0.84206812828891553</v>
      </c>
    </row>
    <row r="187" spans="1:14" x14ac:dyDescent="0.25">
      <c r="A187" s="13" t="s">
        <v>529</v>
      </c>
      <c r="B187">
        <v>65.347022587268995</v>
      </c>
      <c r="C187" s="1">
        <v>1</v>
      </c>
      <c r="D187">
        <v>1</v>
      </c>
      <c r="F187" s="15">
        <v>22.308008213552363</v>
      </c>
      <c r="G187" s="1">
        <v>474</v>
      </c>
      <c r="H187" s="1">
        <v>1</v>
      </c>
      <c r="I187" s="1">
        <v>0</v>
      </c>
      <c r="J187" s="15">
        <v>0.99789029535864981</v>
      </c>
      <c r="K187" s="15">
        <v>0.76081066055553337</v>
      </c>
      <c r="M187" s="15">
        <v>17.248459958932237</v>
      </c>
      <c r="N187" s="15">
        <v>0.84206812828891553</v>
      </c>
    </row>
    <row r="188" spans="1:14" x14ac:dyDescent="0.25">
      <c r="A188" s="13" t="s">
        <v>528</v>
      </c>
      <c r="B188">
        <v>66.201232032854207</v>
      </c>
      <c r="C188" s="1">
        <v>1</v>
      </c>
      <c r="D188">
        <v>1</v>
      </c>
      <c r="F188" s="15">
        <v>22.570841889117045</v>
      </c>
      <c r="G188" s="1">
        <v>473</v>
      </c>
      <c r="H188" s="1">
        <v>1</v>
      </c>
      <c r="I188" s="1">
        <v>0</v>
      </c>
      <c r="J188" s="15">
        <v>0.9978858350951374</v>
      </c>
      <c r="K188" s="15">
        <v>0.75920218135774153</v>
      </c>
      <c r="M188" s="15">
        <v>17.248459958932237</v>
      </c>
      <c r="N188" s="15">
        <v>0.84052869843829603</v>
      </c>
    </row>
    <row r="189" spans="1:14" x14ac:dyDescent="0.25">
      <c r="A189" s="13" t="s">
        <v>527</v>
      </c>
      <c r="B189">
        <v>64.262833675564679</v>
      </c>
      <c r="C189" s="1">
        <v>0</v>
      </c>
      <c r="D189">
        <v>1</v>
      </c>
      <c r="F189" s="15">
        <v>22.735112936344969</v>
      </c>
      <c r="G189" s="1">
        <v>472</v>
      </c>
      <c r="H189" s="1">
        <v>0</v>
      </c>
      <c r="I189" s="1">
        <v>1</v>
      </c>
      <c r="J189" s="15">
        <v>1</v>
      </c>
      <c r="K189" s="15">
        <v>0.75920218135774153</v>
      </c>
      <c r="M189" s="15">
        <v>17.37987679671458</v>
      </c>
      <c r="N189" s="15">
        <v>0.84052869843829603</v>
      </c>
    </row>
    <row r="190" spans="1:14" x14ac:dyDescent="0.25">
      <c r="A190" s="13" t="s">
        <v>526</v>
      </c>
      <c r="B190">
        <v>31.04722792607803</v>
      </c>
      <c r="C190" s="1">
        <v>1</v>
      </c>
      <c r="D190">
        <v>1</v>
      </c>
      <c r="F190" s="15">
        <v>22.833675564681723</v>
      </c>
      <c r="G190" s="1">
        <v>471</v>
      </c>
      <c r="H190" s="1">
        <v>0</v>
      </c>
      <c r="I190" s="1">
        <v>1</v>
      </c>
      <c r="J190" s="15">
        <v>1</v>
      </c>
      <c r="K190" s="15">
        <v>0.75920218135774153</v>
      </c>
      <c r="M190" s="15">
        <v>17.37987679671458</v>
      </c>
      <c r="N190" s="15">
        <v>0.83898644394574873</v>
      </c>
    </row>
    <row r="191" spans="1:14" x14ac:dyDescent="0.25">
      <c r="A191" s="13" t="s">
        <v>525</v>
      </c>
      <c r="B191">
        <v>70.735112936344976</v>
      </c>
      <c r="C191" s="1">
        <v>0</v>
      </c>
      <c r="D191">
        <v>1</v>
      </c>
      <c r="F191" s="15">
        <v>22.932238193018481</v>
      </c>
      <c r="G191" s="1">
        <v>470</v>
      </c>
      <c r="H191" s="1">
        <v>1</v>
      </c>
      <c r="I191" s="1">
        <v>0</v>
      </c>
      <c r="J191" s="15">
        <v>0.99787234042553197</v>
      </c>
      <c r="K191" s="15">
        <v>0.75758685756761868</v>
      </c>
      <c r="M191" s="15">
        <v>17.412731006160165</v>
      </c>
      <c r="N191" s="15">
        <v>0.83898644394574873</v>
      </c>
    </row>
    <row r="192" spans="1:14" x14ac:dyDescent="0.25">
      <c r="A192" s="13" t="s">
        <v>524</v>
      </c>
      <c r="B192">
        <v>27.531827515400412</v>
      </c>
      <c r="C192" s="1">
        <v>1</v>
      </c>
      <c r="D192">
        <v>1</v>
      </c>
      <c r="F192" s="15">
        <v>23.227926078028748</v>
      </c>
      <c r="G192" s="1">
        <v>469</v>
      </c>
      <c r="H192" s="1">
        <v>1</v>
      </c>
      <c r="I192" s="1">
        <v>0</v>
      </c>
      <c r="J192" s="15">
        <v>0.99786780383795304</v>
      </c>
      <c r="K192" s="15">
        <v>0.75597153377749582</v>
      </c>
      <c r="M192" s="15">
        <v>17.412731006160165</v>
      </c>
      <c r="N192" s="15">
        <v>0.83744134920551716</v>
      </c>
    </row>
    <row r="193" spans="1:14" x14ac:dyDescent="0.25">
      <c r="A193" s="13" t="s">
        <v>523</v>
      </c>
      <c r="B193">
        <v>3.7125256673511293</v>
      </c>
      <c r="C193" s="1">
        <v>1</v>
      </c>
      <c r="D193">
        <v>1</v>
      </c>
      <c r="F193" s="15">
        <v>23.392197125256672</v>
      </c>
      <c r="G193" s="1">
        <v>468</v>
      </c>
      <c r="H193" s="1">
        <v>1</v>
      </c>
      <c r="I193" s="1">
        <v>0</v>
      </c>
      <c r="J193" s="15">
        <v>0.99786324786324787</v>
      </c>
      <c r="K193" s="15">
        <v>0.75435620998737296</v>
      </c>
      <c r="M193" s="15">
        <v>17.511293634496919</v>
      </c>
      <c r="N193" s="15">
        <v>0.83744134920551716</v>
      </c>
    </row>
    <row r="194" spans="1:14" x14ac:dyDescent="0.25">
      <c r="A194" s="13" t="s">
        <v>522</v>
      </c>
      <c r="B194">
        <v>60.2217659137577</v>
      </c>
      <c r="C194" s="1">
        <v>0</v>
      </c>
      <c r="D194">
        <v>1</v>
      </c>
      <c r="F194" s="15">
        <v>23.457905544147845</v>
      </c>
      <c r="G194" s="1">
        <v>467</v>
      </c>
      <c r="H194" s="1">
        <v>1</v>
      </c>
      <c r="I194" s="1">
        <v>0</v>
      </c>
      <c r="J194" s="15">
        <v>0.99785867237687365</v>
      </c>
      <c r="K194" s="15">
        <v>0.7527408861972501</v>
      </c>
      <c r="M194" s="15">
        <v>17.511293634496919</v>
      </c>
      <c r="N194" s="15">
        <v>0.83589625446528559</v>
      </c>
    </row>
    <row r="195" spans="1:14" x14ac:dyDescent="0.25">
      <c r="A195" s="13" t="s">
        <v>521</v>
      </c>
      <c r="B195">
        <v>56.57494866529774</v>
      </c>
      <c r="C195" s="1">
        <v>0</v>
      </c>
      <c r="D195">
        <v>1</v>
      </c>
      <c r="F195" s="15">
        <v>23.5564681724846</v>
      </c>
      <c r="G195" s="1">
        <v>466</v>
      </c>
      <c r="H195" s="1">
        <v>0</v>
      </c>
      <c r="I195" s="1">
        <v>1</v>
      </c>
      <c r="J195" s="15">
        <v>1</v>
      </c>
      <c r="K195" s="15">
        <v>0.7527408861972501</v>
      </c>
      <c r="M195" s="15">
        <v>17.577002053388089</v>
      </c>
      <c r="N195" s="15">
        <v>0.83589625446528559</v>
      </c>
    </row>
    <row r="196" spans="1:14" x14ac:dyDescent="0.25">
      <c r="A196" s="13" t="s">
        <v>520</v>
      </c>
      <c r="B196">
        <v>7.9178644763860371</v>
      </c>
      <c r="C196" s="1">
        <v>1</v>
      </c>
      <c r="D196">
        <v>1</v>
      </c>
      <c r="F196" s="15">
        <v>23.687885010266939</v>
      </c>
      <c r="G196" s="1">
        <v>465</v>
      </c>
      <c r="H196" s="1">
        <v>0</v>
      </c>
      <c r="I196" s="1">
        <v>1</v>
      </c>
      <c r="J196" s="15">
        <v>1</v>
      </c>
      <c r="K196" s="15">
        <v>0.7527408861972501</v>
      </c>
      <c r="M196" s="15">
        <v>17.577002053388089</v>
      </c>
      <c r="N196" s="15">
        <v>0.83435115972505403</v>
      </c>
    </row>
    <row r="197" spans="1:14" x14ac:dyDescent="0.25">
      <c r="A197" s="13" t="s">
        <v>519</v>
      </c>
      <c r="B197">
        <v>44.418891170431209</v>
      </c>
      <c r="C197" s="1">
        <v>1</v>
      </c>
      <c r="D197">
        <v>1</v>
      </c>
      <c r="F197" s="15">
        <v>23.720739219712527</v>
      </c>
      <c r="G197" s="1">
        <v>464</v>
      </c>
      <c r="H197" s="1">
        <v>1</v>
      </c>
      <c r="I197" s="1">
        <v>1</v>
      </c>
      <c r="J197" s="15">
        <v>0.99784482758620685</v>
      </c>
      <c r="K197" s="15">
        <v>0.75111859980458362</v>
      </c>
      <c r="M197" s="15">
        <v>17.609856262833677</v>
      </c>
      <c r="N197" s="15">
        <v>0.83435115972505403</v>
      </c>
    </row>
    <row r="198" spans="1:14" x14ac:dyDescent="0.25">
      <c r="A198" s="13" t="s">
        <v>518</v>
      </c>
      <c r="B198">
        <v>55.917864476386036</v>
      </c>
      <c r="C198" s="1">
        <v>0</v>
      </c>
      <c r="D198">
        <v>1</v>
      </c>
      <c r="F198" s="15">
        <v>23.753593429158112</v>
      </c>
      <c r="G198" s="1">
        <v>462</v>
      </c>
      <c r="H198" s="1">
        <v>0</v>
      </c>
      <c r="I198" s="1">
        <v>1</v>
      </c>
      <c r="J198" s="15">
        <v>1</v>
      </c>
      <c r="K198" s="15">
        <v>0.75111859980458362</v>
      </c>
      <c r="M198" s="15">
        <v>17.609856262833677</v>
      </c>
      <c r="N198" s="15">
        <v>0.83280606498482246</v>
      </c>
    </row>
    <row r="199" spans="1:14" x14ac:dyDescent="0.25">
      <c r="A199" s="13" t="s">
        <v>517</v>
      </c>
      <c r="B199">
        <v>40.147843942505133</v>
      </c>
      <c r="C199" s="1">
        <v>0</v>
      </c>
      <c r="D199">
        <v>1</v>
      </c>
      <c r="F199" s="15">
        <v>23.885010266940451</v>
      </c>
      <c r="G199" s="1">
        <v>461</v>
      </c>
      <c r="H199" s="1">
        <v>1</v>
      </c>
      <c r="I199" s="1">
        <v>0</v>
      </c>
      <c r="J199" s="15">
        <v>0.99783080260303691</v>
      </c>
      <c r="K199" s="15">
        <v>0.74948927529307696</v>
      </c>
      <c r="M199" s="15">
        <v>17.642710472279262</v>
      </c>
      <c r="N199" s="15">
        <v>0.83280606498482246</v>
      </c>
    </row>
    <row r="200" spans="1:14" x14ac:dyDescent="0.25">
      <c r="A200" s="13" t="s">
        <v>516</v>
      </c>
      <c r="B200">
        <v>35.7782340862423</v>
      </c>
      <c r="C200" s="1">
        <v>0</v>
      </c>
      <c r="D200">
        <v>1</v>
      </c>
      <c r="F200" s="15">
        <v>23.950718685831621</v>
      </c>
      <c r="G200" s="1">
        <v>460</v>
      </c>
      <c r="H200" s="1">
        <v>1</v>
      </c>
      <c r="I200" s="1">
        <v>0</v>
      </c>
      <c r="J200" s="15">
        <v>0.99782608695652175</v>
      </c>
      <c r="K200" s="15">
        <v>0.7478599507815703</v>
      </c>
      <c r="M200" s="15">
        <v>17.642710472279262</v>
      </c>
      <c r="N200" s="15">
        <v>0.83126097024459089</v>
      </c>
    </row>
    <row r="201" spans="1:14" x14ac:dyDescent="0.25">
      <c r="A201" s="13" t="s">
        <v>515</v>
      </c>
      <c r="B201">
        <v>40.837782340862425</v>
      </c>
      <c r="C201" s="1">
        <v>0</v>
      </c>
      <c r="D201">
        <v>1</v>
      </c>
      <c r="F201" s="15">
        <v>23.983572895277206</v>
      </c>
      <c r="G201" s="1">
        <v>459</v>
      </c>
      <c r="H201" s="1">
        <v>1</v>
      </c>
      <c r="I201" s="1">
        <v>0</v>
      </c>
      <c r="J201" s="15">
        <v>0.9978213507625272</v>
      </c>
      <c r="K201" s="15">
        <v>0.74623062627006365</v>
      </c>
      <c r="M201" s="15">
        <v>17.741273100616016</v>
      </c>
      <c r="N201" s="15">
        <v>0.83126097024459089</v>
      </c>
    </row>
    <row r="202" spans="1:14" x14ac:dyDescent="0.25">
      <c r="A202" s="13" t="s">
        <v>514</v>
      </c>
      <c r="B202">
        <v>19.022587268993838</v>
      </c>
      <c r="C202" s="1">
        <v>1</v>
      </c>
      <c r="D202">
        <v>1</v>
      </c>
      <c r="F202" s="15">
        <v>24.016427104722794</v>
      </c>
      <c r="G202" s="1">
        <v>458</v>
      </c>
      <c r="H202" s="1">
        <v>1</v>
      </c>
      <c r="I202" s="1">
        <v>0</v>
      </c>
      <c r="J202" s="15">
        <v>0.99781659388646293</v>
      </c>
      <c r="K202" s="15">
        <v>0.74460130175855699</v>
      </c>
      <c r="M202" s="15">
        <v>17.741273100616016</v>
      </c>
      <c r="N202" s="15">
        <v>0.82971587550435932</v>
      </c>
    </row>
    <row r="203" spans="1:14" x14ac:dyDescent="0.25">
      <c r="A203" s="13" t="s">
        <v>513</v>
      </c>
      <c r="B203">
        <v>34.266940451745377</v>
      </c>
      <c r="C203" s="1">
        <v>1</v>
      </c>
      <c r="D203">
        <v>1</v>
      </c>
      <c r="F203" s="15">
        <v>24.049281314168379</v>
      </c>
      <c r="G203" s="1">
        <v>457</v>
      </c>
      <c r="H203" s="1">
        <v>1</v>
      </c>
      <c r="I203" s="1">
        <v>0</v>
      </c>
      <c r="J203" s="15">
        <v>0.99781181619256021</v>
      </c>
      <c r="K203" s="15">
        <v>0.74297197724705033</v>
      </c>
      <c r="M203" s="15">
        <v>17.806981519507186</v>
      </c>
      <c r="N203" s="15">
        <v>0.82971587550435932</v>
      </c>
    </row>
    <row r="204" spans="1:14" x14ac:dyDescent="0.25">
      <c r="A204" s="13" t="s">
        <v>512</v>
      </c>
      <c r="B204">
        <v>73.396303901437378</v>
      </c>
      <c r="C204" s="1">
        <v>0</v>
      </c>
      <c r="D204">
        <v>1</v>
      </c>
      <c r="F204" s="15">
        <v>24.082135523613964</v>
      </c>
      <c r="G204" s="1">
        <v>456</v>
      </c>
      <c r="H204" s="1">
        <v>0</v>
      </c>
      <c r="I204" s="1">
        <v>1</v>
      </c>
      <c r="J204" s="15">
        <v>1</v>
      </c>
      <c r="K204" s="15">
        <v>0.74297197724705033</v>
      </c>
      <c r="M204" s="15">
        <v>17.806981519507186</v>
      </c>
      <c r="N204" s="15">
        <v>0.82816789812468694</v>
      </c>
    </row>
    <row r="205" spans="1:14" x14ac:dyDescent="0.25">
      <c r="A205" s="13" t="s">
        <v>511</v>
      </c>
      <c r="B205">
        <v>75.466119096509246</v>
      </c>
      <c r="C205" s="1">
        <v>0</v>
      </c>
      <c r="D205">
        <v>1</v>
      </c>
      <c r="F205" s="15">
        <v>24.114989733059549</v>
      </c>
      <c r="G205" s="1">
        <v>455</v>
      </c>
      <c r="H205" s="1">
        <v>0</v>
      </c>
      <c r="I205" s="1">
        <v>1</v>
      </c>
      <c r="J205" s="15">
        <v>1</v>
      </c>
      <c r="K205" s="15">
        <v>0.74297197724705033</v>
      </c>
      <c r="M205" s="15">
        <v>17.872689938398356</v>
      </c>
      <c r="N205" s="15">
        <v>0.82816789812468694</v>
      </c>
    </row>
    <row r="206" spans="1:14" x14ac:dyDescent="0.25">
      <c r="A206" s="13" t="s">
        <v>510</v>
      </c>
      <c r="B206">
        <v>66.168377823408619</v>
      </c>
      <c r="C206" s="1">
        <v>0</v>
      </c>
      <c r="D206">
        <v>1</v>
      </c>
      <c r="F206" s="15">
        <v>24.213552361396303</v>
      </c>
      <c r="G206" s="1">
        <v>454</v>
      </c>
      <c r="H206" s="1">
        <v>0</v>
      </c>
      <c r="I206" s="1">
        <v>1</v>
      </c>
      <c r="J206" s="15">
        <v>1</v>
      </c>
      <c r="K206" s="15">
        <v>0.74297197724705033</v>
      </c>
      <c r="M206" s="15">
        <v>17.872689938398356</v>
      </c>
      <c r="N206" s="15">
        <v>0.82507194336534229</v>
      </c>
    </row>
    <row r="207" spans="1:14" x14ac:dyDescent="0.25">
      <c r="A207" s="13" t="s">
        <v>509</v>
      </c>
      <c r="B207">
        <v>17.018480492813143</v>
      </c>
      <c r="C207" s="1">
        <v>1</v>
      </c>
      <c r="D207">
        <v>1</v>
      </c>
      <c r="F207" s="15">
        <v>24.312114989733061</v>
      </c>
      <c r="G207" s="1">
        <v>453</v>
      </c>
      <c r="H207" s="1">
        <v>0</v>
      </c>
      <c r="I207" s="1">
        <v>3</v>
      </c>
      <c r="J207" s="15">
        <v>1</v>
      </c>
      <c r="K207" s="15">
        <v>0.74297197724705033</v>
      </c>
      <c r="M207" s="15">
        <v>17.905544147843944</v>
      </c>
      <c r="N207" s="15">
        <v>0.82507194336534229</v>
      </c>
    </row>
    <row r="208" spans="1:14" x14ac:dyDescent="0.25">
      <c r="A208" s="13" t="s">
        <v>508</v>
      </c>
      <c r="B208">
        <v>30.882956878850102</v>
      </c>
      <c r="C208" s="1">
        <v>0</v>
      </c>
      <c r="D208">
        <v>1</v>
      </c>
      <c r="F208" s="15">
        <v>24.344969199178646</v>
      </c>
      <c r="G208" s="1">
        <v>450</v>
      </c>
      <c r="H208" s="1">
        <v>0</v>
      </c>
      <c r="I208" s="1">
        <v>1</v>
      </c>
      <c r="J208" s="15">
        <v>1</v>
      </c>
      <c r="K208" s="15">
        <v>0.74297197724705033</v>
      </c>
      <c r="M208" s="15">
        <v>17.905544147843944</v>
      </c>
      <c r="N208" s="15">
        <v>0.8235239659856699</v>
      </c>
    </row>
    <row r="209" spans="1:14" x14ac:dyDescent="0.25">
      <c r="A209" s="13" t="s">
        <v>507</v>
      </c>
      <c r="B209">
        <v>25.166324435318277</v>
      </c>
      <c r="C209" s="1">
        <v>0</v>
      </c>
      <c r="D209">
        <v>1</v>
      </c>
      <c r="F209" s="15">
        <v>24.377823408624231</v>
      </c>
      <c r="G209" s="1">
        <v>449</v>
      </c>
      <c r="H209" s="1">
        <v>1</v>
      </c>
      <c r="I209" s="1">
        <v>0</v>
      </c>
      <c r="J209" s="15">
        <v>0.99777282850779514</v>
      </c>
      <c r="K209" s="15">
        <v>0.74131725123981862</v>
      </c>
      <c r="M209" s="15">
        <v>17.971252566735114</v>
      </c>
      <c r="N209" s="15">
        <v>0.8235239659856699</v>
      </c>
    </row>
    <row r="210" spans="1:14" x14ac:dyDescent="0.25">
      <c r="A210" s="13" t="s">
        <v>506</v>
      </c>
      <c r="B210">
        <v>8.2464065708418897</v>
      </c>
      <c r="C210" s="1">
        <v>1</v>
      </c>
      <c r="D210">
        <v>1</v>
      </c>
      <c r="F210" s="15">
        <v>24.476386036960985</v>
      </c>
      <c r="G210" s="1">
        <v>448</v>
      </c>
      <c r="H210" s="1">
        <v>1</v>
      </c>
      <c r="I210" s="1">
        <v>0</v>
      </c>
      <c r="J210" s="15">
        <v>0.9977678571428571</v>
      </c>
      <c r="K210" s="15">
        <v>0.7396625252325868</v>
      </c>
      <c r="M210" s="15">
        <v>17.971252566735114</v>
      </c>
      <c r="N210" s="15">
        <v>0.82197307339435977</v>
      </c>
    </row>
    <row r="211" spans="1:14" x14ac:dyDescent="0.25">
      <c r="A211" s="13" t="s">
        <v>505</v>
      </c>
      <c r="B211">
        <v>64.361396303901444</v>
      </c>
      <c r="C211" s="1">
        <v>0</v>
      </c>
      <c r="D211">
        <v>1</v>
      </c>
      <c r="F211" s="15">
        <v>24.542094455852155</v>
      </c>
      <c r="G211" s="1">
        <v>447</v>
      </c>
      <c r="H211" s="1">
        <v>1</v>
      </c>
      <c r="I211" s="1">
        <v>1</v>
      </c>
      <c r="J211" s="15">
        <v>0.99776286353467558</v>
      </c>
      <c r="K211" s="15">
        <v>0.73800779922535509</v>
      </c>
      <c r="M211" s="15">
        <v>18.004106776180699</v>
      </c>
      <c r="N211" s="15">
        <v>0.82197307339435977</v>
      </c>
    </row>
    <row r="212" spans="1:14" x14ac:dyDescent="0.25">
      <c r="A212" s="13" t="s">
        <v>504</v>
      </c>
      <c r="B212">
        <v>62.324435318275157</v>
      </c>
      <c r="C212" s="1">
        <v>0</v>
      </c>
      <c r="D212">
        <v>1</v>
      </c>
      <c r="F212" s="15">
        <v>24.57494866529774</v>
      </c>
      <c r="G212" s="1">
        <v>445</v>
      </c>
      <c r="H212" s="1">
        <v>1</v>
      </c>
      <c r="I212" s="1">
        <v>0</v>
      </c>
      <c r="J212" s="15">
        <v>0.99775280898876406</v>
      </c>
      <c r="K212" s="15">
        <v>0.7363493547327139</v>
      </c>
      <c r="M212" s="15">
        <v>18.004106776180699</v>
      </c>
      <c r="N212" s="15">
        <v>0.81732039562042946</v>
      </c>
    </row>
    <row r="213" spans="1:14" x14ac:dyDescent="0.25">
      <c r="A213" s="13" t="s">
        <v>503</v>
      </c>
      <c r="B213">
        <v>5.2566735112936342</v>
      </c>
      <c r="C213" s="1">
        <v>1</v>
      </c>
      <c r="D213">
        <v>1</v>
      </c>
      <c r="F213" s="15">
        <v>24.673511293634498</v>
      </c>
      <c r="G213" s="1">
        <v>444</v>
      </c>
      <c r="H213" s="1">
        <v>0</v>
      </c>
      <c r="I213" s="1">
        <v>1</v>
      </c>
      <c r="J213" s="15">
        <v>1</v>
      </c>
      <c r="K213" s="15">
        <v>0.7363493547327139</v>
      </c>
      <c r="M213" s="15">
        <v>18.069815195071868</v>
      </c>
      <c r="N213" s="15">
        <v>0.81732039562042946</v>
      </c>
    </row>
    <row r="214" spans="1:14" x14ac:dyDescent="0.25">
      <c r="A214" s="13" t="s">
        <v>502</v>
      </c>
      <c r="B214">
        <v>31.868583162217661</v>
      </c>
      <c r="C214" s="1">
        <v>0</v>
      </c>
      <c r="D214">
        <v>1</v>
      </c>
      <c r="F214" s="15">
        <v>24.739219712525667</v>
      </c>
      <c r="G214" s="1">
        <v>443</v>
      </c>
      <c r="H214" s="1">
        <v>0</v>
      </c>
      <c r="I214" s="1">
        <v>1</v>
      </c>
      <c r="J214" s="15">
        <v>1</v>
      </c>
      <c r="K214" s="15">
        <v>0.7363493547327139</v>
      </c>
      <c r="M214" s="15">
        <v>18.069815195071868</v>
      </c>
      <c r="N214" s="15">
        <v>0.8142186104378093</v>
      </c>
    </row>
    <row r="215" spans="1:14" x14ac:dyDescent="0.25">
      <c r="A215" s="13" t="s">
        <v>501</v>
      </c>
      <c r="B215">
        <v>29.305954825462013</v>
      </c>
      <c r="C215" s="1">
        <v>0</v>
      </c>
      <c r="D215">
        <v>1</v>
      </c>
      <c r="F215" s="15">
        <v>24.772073921971252</v>
      </c>
      <c r="G215" s="1">
        <v>442</v>
      </c>
      <c r="H215" s="1">
        <v>1</v>
      </c>
      <c r="I215" s="1">
        <v>0</v>
      </c>
      <c r="J215" s="15">
        <v>0.99773755656108598</v>
      </c>
      <c r="K215" s="15">
        <v>0.73468340596635029</v>
      </c>
      <c r="M215" s="15">
        <v>18.135523613963038</v>
      </c>
      <c r="N215" s="15">
        <v>0.8142186104378093</v>
      </c>
    </row>
    <row r="216" spans="1:14" x14ac:dyDescent="0.25">
      <c r="A216" s="13" t="s">
        <v>500</v>
      </c>
      <c r="B216">
        <v>24.739219712525667</v>
      </c>
      <c r="C216" s="1">
        <v>0</v>
      </c>
      <c r="D216">
        <v>1</v>
      </c>
      <c r="F216" s="15">
        <v>24.804928131416837</v>
      </c>
      <c r="G216" s="1">
        <v>441</v>
      </c>
      <c r="H216" s="1">
        <v>1</v>
      </c>
      <c r="I216" s="1">
        <v>0</v>
      </c>
      <c r="J216" s="15">
        <v>0.99773242630385484</v>
      </c>
      <c r="K216" s="15">
        <v>0.73301745719998668</v>
      </c>
      <c r="M216" s="15">
        <v>18.135523613963038</v>
      </c>
      <c r="N216" s="15">
        <v>0.81111682525518902</v>
      </c>
    </row>
    <row r="217" spans="1:14" x14ac:dyDescent="0.25">
      <c r="A217" s="13" t="s">
        <v>499</v>
      </c>
      <c r="B217">
        <v>11.433264887063656</v>
      </c>
      <c r="C217" s="1">
        <v>1</v>
      </c>
      <c r="D217">
        <v>1</v>
      </c>
      <c r="F217" s="15">
        <v>24.903490759753595</v>
      </c>
      <c r="G217" s="1">
        <v>440</v>
      </c>
      <c r="H217" s="1">
        <v>0</v>
      </c>
      <c r="I217" s="1">
        <v>2</v>
      </c>
      <c r="J217" s="15">
        <v>1</v>
      </c>
      <c r="K217" s="15">
        <v>0.73301745719998668</v>
      </c>
      <c r="M217" s="15">
        <v>18.201232032854211</v>
      </c>
      <c r="N217" s="15">
        <v>0.81111682525518902</v>
      </c>
    </row>
    <row r="218" spans="1:14" x14ac:dyDescent="0.25">
      <c r="A218" s="13" t="s">
        <v>498</v>
      </c>
      <c r="B218">
        <v>9.0349075975359341</v>
      </c>
      <c r="C218" s="1">
        <v>1</v>
      </c>
      <c r="D218">
        <v>1</v>
      </c>
      <c r="F218" s="15">
        <v>25.002053388090349</v>
      </c>
      <c r="G218" s="1">
        <v>438</v>
      </c>
      <c r="H218" s="1">
        <v>0</v>
      </c>
      <c r="I218" s="1">
        <v>1</v>
      </c>
      <c r="J218" s="15">
        <v>1</v>
      </c>
      <c r="K218" s="15">
        <v>0.73301745719998668</v>
      </c>
      <c r="M218" s="15">
        <v>18.201232032854211</v>
      </c>
      <c r="N218" s="15">
        <v>0.80800909795536069</v>
      </c>
    </row>
    <row r="219" spans="1:14" x14ac:dyDescent="0.25">
      <c r="A219" s="13" t="s">
        <v>497</v>
      </c>
      <c r="B219">
        <v>43.663244353182755</v>
      </c>
      <c r="C219" s="1">
        <v>1</v>
      </c>
      <c r="D219">
        <v>1</v>
      </c>
      <c r="F219" s="15">
        <v>25.034907597535934</v>
      </c>
      <c r="G219" s="1">
        <v>437</v>
      </c>
      <c r="H219" s="1">
        <v>1</v>
      </c>
      <c r="I219" s="1">
        <v>0</v>
      </c>
      <c r="J219" s="15">
        <v>0.99771167048054921</v>
      </c>
      <c r="K219" s="15">
        <v>0.73134007171440318</v>
      </c>
      <c r="M219" s="15">
        <v>18.299794661190965</v>
      </c>
      <c r="N219" s="15">
        <v>0.80800909795536069</v>
      </c>
    </row>
    <row r="220" spans="1:14" x14ac:dyDescent="0.25">
      <c r="A220" s="13" t="s">
        <v>496</v>
      </c>
      <c r="B220">
        <v>39.195071868583163</v>
      </c>
      <c r="C220" s="1">
        <v>1</v>
      </c>
      <c r="D220">
        <v>1</v>
      </c>
      <c r="F220" s="15">
        <v>25.166324435318277</v>
      </c>
      <c r="G220" s="1">
        <v>436</v>
      </c>
      <c r="H220" s="1">
        <v>0</v>
      </c>
      <c r="I220" s="1">
        <v>1</v>
      </c>
      <c r="J220" s="15">
        <v>1</v>
      </c>
      <c r="K220" s="15">
        <v>0.73134007171440318</v>
      </c>
      <c r="M220" s="15">
        <v>18.299794661190965</v>
      </c>
      <c r="N220" s="15">
        <v>0.80645523430544652</v>
      </c>
    </row>
    <row r="221" spans="1:14" x14ac:dyDescent="0.25">
      <c r="A221" s="13" t="s">
        <v>495</v>
      </c>
      <c r="B221">
        <v>22.932238193018481</v>
      </c>
      <c r="C221" s="1">
        <v>1</v>
      </c>
      <c r="D221">
        <v>1</v>
      </c>
      <c r="F221" s="15">
        <v>25.232032854209447</v>
      </c>
      <c r="G221" s="1">
        <v>435</v>
      </c>
      <c r="H221" s="1">
        <v>0</v>
      </c>
      <c r="I221" s="1">
        <v>1</v>
      </c>
      <c r="J221" s="15">
        <v>1</v>
      </c>
      <c r="K221" s="15">
        <v>0.73134007171440318</v>
      </c>
      <c r="M221" s="15">
        <v>18.365503080082135</v>
      </c>
      <c r="N221" s="15">
        <v>0.80645523430544652</v>
      </c>
    </row>
    <row r="222" spans="1:14" x14ac:dyDescent="0.25">
      <c r="A222" s="13" t="s">
        <v>494</v>
      </c>
      <c r="B222">
        <v>14.324435318275153</v>
      </c>
      <c r="C222" s="1">
        <v>1</v>
      </c>
      <c r="D222">
        <v>1</v>
      </c>
      <c r="F222" s="15">
        <v>25.264887063655031</v>
      </c>
      <c r="G222" s="1">
        <v>434</v>
      </c>
      <c r="H222" s="1">
        <v>1</v>
      </c>
      <c r="I222" s="1">
        <v>0</v>
      </c>
      <c r="J222" s="15">
        <v>0.99769585253456217</v>
      </c>
      <c r="K222" s="15">
        <v>0.72965495634178934</v>
      </c>
      <c r="M222" s="15">
        <v>18.365503080082135</v>
      </c>
      <c r="N222" s="15">
        <v>0.80490137065553236</v>
      </c>
    </row>
    <row r="223" spans="1:14" x14ac:dyDescent="0.25">
      <c r="A223" s="13" t="s">
        <v>493</v>
      </c>
      <c r="B223">
        <v>18.135523613963038</v>
      </c>
      <c r="C223" s="1">
        <v>1</v>
      </c>
      <c r="D223">
        <v>1</v>
      </c>
      <c r="F223" s="15">
        <v>25.297741273100616</v>
      </c>
      <c r="G223" s="1">
        <v>433</v>
      </c>
      <c r="H223" s="1">
        <v>0</v>
      </c>
      <c r="I223" s="1">
        <v>1</v>
      </c>
      <c r="J223" s="15">
        <v>1</v>
      </c>
      <c r="K223" s="15">
        <v>0.72965495634178934</v>
      </c>
      <c r="M223" s="15">
        <v>18.496919917864478</v>
      </c>
      <c r="N223" s="15">
        <v>0.80490137065553236</v>
      </c>
    </row>
    <row r="224" spans="1:14" x14ac:dyDescent="0.25">
      <c r="A224" s="13" t="s">
        <v>492</v>
      </c>
      <c r="B224">
        <v>18.529774127310063</v>
      </c>
      <c r="C224" s="1">
        <v>1</v>
      </c>
      <c r="D224">
        <v>1</v>
      </c>
      <c r="F224" s="15">
        <v>25.363449691991786</v>
      </c>
      <c r="G224" s="1">
        <v>432</v>
      </c>
      <c r="H224" s="1">
        <v>1</v>
      </c>
      <c r="I224" s="1">
        <v>1</v>
      </c>
      <c r="J224" s="15">
        <v>0.99768518518518523</v>
      </c>
      <c r="K224" s="15">
        <v>0.72796594023914629</v>
      </c>
      <c r="M224" s="15">
        <v>18.496919917864478</v>
      </c>
      <c r="N224" s="15">
        <v>0.80334750700561819</v>
      </c>
    </row>
    <row r="225" spans="1:14" x14ac:dyDescent="0.25">
      <c r="A225" s="13" t="s">
        <v>491</v>
      </c>
      <c r="B225">
        <v>73.560574948665291</v>
      </c>
      <c r="C225" s="1">
        <v>0</v>
      </c>
      <c r="D225">
        <v>1</v>
      </c>
      <c r="F225" s="15">
        <v>25.494866529774129</v>
      </c>
      <c r="G225" s="1">
        <v>430</v>
      </c>
      <c r="H225" s="1">
        <v>1</v>
      </c>
      <c r="I225" s="1">
        <v>0</v>
      </c>
      <c r="J225" s="15">
        <v>0.99767441860465111</v>
      </c>
      <c r="K225" s="15">
        <v>0.72627299619207852</v>
      </c>
      <c r="M225" s="15">
        <v>18.529774127310063</v>
      </c>
      <c r="N225" s="15">
        <v>0.80334750700561819</v>
      </c>
    </row>
    <row r="226" spans="1:14" x14ac:dyDescent="0.25">
      <c r="A226" s="13" t="s">
        <v>490</v>
      </c>
      <c r="B226">
        <v>73.494866529774129</v>
      </c>
      <c r="C226" s="1">
        <v>0</v>
      </c>
      <c r="D226">
        <v>1</v>
      </c>
      <c r="F226" s="15">
        <v>25.593429158110883</v>
      </c>
      <c r="G226" s="1">
        <v>429</v>
      </c>
      <c r="H226" s="1">
        <v>0</v>
      </c>
      <c r="I226" s="1">
        <v>1</v>
      </c>
      <c r="J226" s="15">
        <v>1</v>
      </c>
      <c r="K226" s="15">
        <v>0.72627299619207852</v>
      </c>
      <c r="M226" s="15">
        <v>18.529774127310063</v>
      </c>
      <c r="N226" s="15">
        <v>0.80179364335570402</v>
      </c>
    </row>
    <row r="227" spans="1:14" x14ac:dyDescent="0.25">
      <c r="A227" s="13" t="s">
        <v>489</v>
      </c>
      <c r="B227">
        <v>17.37987679671458</v>
      </c>
      <c r="C227" s="1">
        <v>1</v>
      </c>
      <c r="D227">
        <v>1</v>
      </c>
      <c r="F227" s="15">
        <v>25.757700205338811</v>
      </c>
      <c r="G227" s="1">
        <v>428</v>
      </c>
      <c r="H227" s="1">
        <v>1</v>
      </c>
      <c r="I227" s="1">
        <v>0</v>
      </c>
      <c r="J227" s="15">
        <v>0.99766355140186913</v>
      </c>
      <c r="K227" s="15">
        <v>0.72457609666826528</v>
      </c>
      <c r="M227" s="15">
        <v>18.759753593429156</v>
      </c>
      <c r="N227" s="15">
        <v>0.80179364335570402</v>
      </c>
    </row>
    <row r="228" spans="1:14" x14ac:dyDescent="0.25">
      <c r="A228" s="13" t="s">
        <v>488</v>
      </c>
      <c r="B228">
        <v>59.794661190965094</v>
      </c>
      <c r="C228" s="1">
        <v>0</v>
      </c>
      <c r="D228">
        <v>1</v>
      </c>
      <c r="F228" s="15">
        <v>25.95482546201232</v>
      </c>
      <c r="G228" s="1">
        <v>427</v>
      </c>
      <c r="H228" s="1">
        <v>1</v>
      </c>
      <c r="I228" s="1">
        <v>0</v>
      </c>
      <c r="J228" s="15">
        <v>0.99765807962529274</v>
      </c>
      <c r="K228" s="15">
        <v>0.72287919714445203</v>
      </c>
      <c r="M228" s="15">
        <v>18.759753593429156</v>
      </c>
      <c r="N228" s="15">
        <v>0.8002306927838605</v>
      </c>
    </row>
    <row r="229" spans="1:14" x14ac:dyDescent="0.25">
      <c r="A229" s="13" t="s">
        <v>487</v>
      </c>
      <c r="B229">
        <v>57.691991786447637</v>
      </c>
      <c r="C229" s="1">
        <v>0</v>
      </c>
      <c r="D229">
        <v>1</v>
      </c>
      <c r="F229" s="15">
        <v>26.020533880903489</v>
      </c>
      <c r="G229" s="1">
        <v>426</v>
      </c>
      <c r="H229" s="1">
        <v>0</v>
      </c>
      <c r="I229" s="1">
        <v>1</v>
      </c>
      <c r="J229" s="15">
        <v>1</v>
      </c>
      <c r="K229" s="15">
        <v>0.72287919714445203</v>
      </c>
      <c r="M229" s="15">
        <v>18.82546201232033</v>
      </c>
      <c r="N229" s="15">
        <v>0.8002306927838605</v>
      </c>
    </row>
    <row r="230" spans="1:14" x14ac:dyDescent="0.25">
      <c r="A230" s="13" t="s">
        <v>486</v>
      </c>
      <c r="B230">
        <v>16.919917864476385</v>
      </c>
      <c r="C230" s="1">
        <v>1</v>
      </c>
      <c r="D230">
        <v>1</v>
      </c>
      <c r="F230" s="15">
        <v>26.119096509240247</v>
      </c>
      <c r="G230" s="1">
        <v>425</v>
      </c>
      <c r="H230" s="1">
        <v>1</v>
      </c>
      <c r="I230" s="1">
        <v>0</v>
      </c>
      <c r="J230" s="15">
        <v>0.99764705882352944</v>
      </c>
      <c r="K230" s="15">
        <v>0.72117830491587687</v>
      </c>
      <c r="M230" s="15">
        <v>18.82546201232033</v>
      </c>
      <c r="N230" s="15">
        <v>0.79866774221201697</v>
      </c>
    </row>
    <row r="231" spans="1:14" x14ac:dyDescent="0.25">
      <c r="A231" s="13" t="s">
        <v>485</v>
      </c>
      <c r="B231">
        <v>8.9363449691991779</v>
      </c>
      <c r="C231" s="1">
        <v>1</v>
      </c>
      <c r="D231">
        <v>1</v>
      </c>
      <c r="F231" s="15">
        <v>26.184804928131417</v>
      </c>
      <c r="G231" s="1">
        <v>424</v>
      </c>
      <c r="H231" s="1">
        <v>2</v>
      </c>
      <c r="I231" s="1">
        <v>0</v>
      </c>
      <c r="J231" s="15">
        <v>0.99528301886792447</v>
      </c>
      <c r="K231" s="15">
        <v>0.71777652045872642</v>
      </c>
      <c r="M231" s="15">
        <v>18.891170431211499</v>
      </c>
      <c r="N231" s="15">
        <v>0.79866774221201697</v>
      </c>
    </row>
    <row r="232" spans="1:14" x14ac:dyDescent="0.25">
      <c r="A232" s="13" t="s">
        <v>484</v>
      </c>
      <c r="B232">
        <v>29.273100616016428</v>
      </c>
      <c r="C232" s="1">
        <v>1</v>
      </c>
      <c r="D232">
        <v>1</v>
      </c>
      <c r="F232" s="15">
        <v>26.217659137577002</v>
      </c>
      <c r="G232" s="1">
        <v>422</v>
      </c>
      <c r="H232" s="1">
        <v>0</v>
      </c>
      <c r="I232" s="1">
        <v>1</v>
      </c>
      <c r="J232" s="15">
        <v>1</v>
      </c>
      <c r="K232" s="15">
        <v>0.71777652045872642</v>
      </c>
      <c r="M232" s="15">
        <v>18.891170431211499</v>
      </c>
      <c r="N232" s="15">
        <v>0.79710479164017345</v>
      </c>
    </row>
    <row r="233" spans="1:14" x14ac:dyDescent="0.25">
      <c r="A233" s="13" t="s">
        <v>483</v>
      </c>
      <c r="B233">
        <v>44.550308008213555</v>
      </c>
      <c r="C233" s="1">
        <v>0</v>
      </c>
      <c r="D233">
        <v>1</v>
      </c>
      <c r="F233" s="15">
        <v>26.250513347022586</v>
      </c>
      <c r="G233" s="1">
        <v>421</v>
      </c>
      <c r="H233" s="1">
        <v>1</v>
      </c>
      <c r="I233" s="1">
        <v>0</v>
      </c>
      <c r="J233" s="15">
        <v>0.99762470308788598</v>
      </c>
      <c r="K233" s="15">
        <v>0.71607158810609284</v>
      </c>
      <c r="M233" s="15">
        <v>18.956878850102669</v>
      </c>
      <c r="N233" s="15">
        <v>0.79710479164017345</v>
      </c>
    </row>
    <row r="234" spans="1:14" x14ac:dyDescent="0.25">
      <c r="A234" s="13" t="s">
        <v>482</v>
      </c>
      <c r="B234">
        <v>44.418891170431209</v>
      </c>
      <c r="C234" s="1">
        <v>0</v>
      </c>
      <c r="D234">
        <v>1</v>
      </c>
      <c r="F234" s="15">
        <v>26.316221765913756</v>
      </c>
      <c r="G234" s="1">
        <v>420</v>
      </c>
      <c r="H234" s="1">
        <v>1</v>
      </c>
      <c r="I234" s="1">
        <v>0</v>
      </c>
      <c r="J234" s="15">
        <v>0.99761904761904763</v>
      </c>
      <c r="K234" s="15">
        <v>0.71436665575345926</v>
      </c>
      <c r="M234" s="15">
        <v>18.956878850102669</v>
      </c>
      <c r="N234" s="15">
        <v>0.79554184106832992</v>
      </c>
    </row>
    <row r="235" spans="1:14" x14ac:dyDescent="0.25">
      <c r="A235" s="13" t="s">
        <v>481</v>
      </c>
      <c r="B235">
        <v>35.383983572895275</v>
      </c>
      <c r="C235" s="1">
        <v>0</v>
      </c>
      <c r="D235">
        <v>1</v>
      </c>
      <c r="F235" s="15">
        <v>26.447638603696099</v>
      </c>
      <c r="G235" s="1">
        <v>419</v>
      </c>
      <c r="H235" s="1">
        <v>1</v>
      </c>
      <c r="I235" s="1">
        <v>0</v>
      </c>
      <c r="J235" s="15">
        <v>0.99761336515513122</v>
      </c>
      <c r="K235" s="15">
        <v>0.71266172340082568</v>
      </c>
      <c r="M235" s="15">
        <v>18.989733059548254</v>
      </c>
      <c r="N235" s="15">
        <v>0.79554184106832992</v>
      </c>
    </row>
    <row r="236" spans="1:14" x14ac:dyDescent="0.25">
      <c r="A236" s="13" t="s">
        <v>480</v>
      </c>
      <c r="B236">
        <v>22.17659137577002</v>
      </c>
      <c r="C236" s="1">
        <v>1</v>
      </c>
      <c r="D236">
        <v>1</v>
      </c>
      <c r="F236" s="15">
        <v>26.480492813141684</v>
      </c>
      <c r="G236" s="1">
        <v>418</v>
      </c>
      <c r="H236" s="1">
        <v>0</v>
      </c>
      <c r="I236" s="1">
        <v>1</v>
      </c>
      <c r="J236" s="15">
        <v>1</v>
      </c>
      <c r="K236" s="15">
        <v>0.71266172340082568</v>
      </c>
      <c r="M236" s="15">
        <v>18.989733059548254</v>
      </c>
      <c r="N236" s="15">
        <v>0.79397889049648651</v>
      </c>
    </row>
    <row r="237" spans="1:14" x14ac:dyDescent="0.25">
      <c r="A237" s="13" t="s">
        <v>479</v>
      </c>
      <c r="B237">
        <v>28.090349075975361</v>
      </c>
      <c r="C237" s="1">
        <v>0</v>
      </c>
      <c r="D237">
        <v>1</v>
      </c>
      <c r="F237" s="15">
        <v>26.90759753593429</v>
      </c>
      <c r="G237" s="1">
        <v>417</v>
      </c>
      <c r="H237" s="1">
        <v>1</v>
      </c>
      <c r="I237" s="1">
        <v>0</v>
      </c>
      <c r="J237" s="15">
        <v>0.99760191846522783</v>
      </c>
      <c r="K237" s="15">
        <v>0.71095270248139919</v>
      </c>
      <c r="M237" s="15">
        <v>19.022587268993838</v>
      </c>
      <c r="N237" s="15">
        <v>0.79397889049648651</v>
      </c>
    </row>
    <row r="238" spans="1:14" x14ac:dyDescent="0.25">
      <c r="A238" s="13" t="s">
        <v>478</v>
      </c>
      <c r="B238">
        <v>24.312114989733061</v>
      </c>
      <c r="C238" s="1">
        <v>0</v>
      </c>
      <c r="D238">
        <v>1</v>
      </c>
      <c r="F238" s="15">
        <v>27.104722792607802</v>
      </c>
      <c r="G238" s="1">
        <v>416</v>
      </c>
      <c r="H238" s="1">
        <v>0</v>
      </c>
      <c r="I238" s="1">
        <v>1</v>
      </c>
      <c r="J238" s="15">
        <v>1</v>
      </c>
      <c r="K238" s="15">
        <v>0.71095270248139919</v>
      </c>
      <c r="M238" s="15">
        <v>19.022587268993838</v>
      </c>
      <c r="N238" s="15">
        <v>0.79241593992464299</v>
      </c>
    </row>
    <row r="239" spans="1:14" x14ac:dyDescent="0.25">
      <c r="A239" s="13" t="s">
        <v>477</v>
      </c>
      <c r="B239">
        <v>83.811088295687881</v>
      </c>
      <c r="C239" s="1">
        <v>0</v>
      </c>
      <c r="D239">
        <v>1</v>
      </c>
      <c r="F239" s="15">
        <v>27.170431211498972</v>
      </c>
      <c r="G239" s="1">
        <v>415</v>
      </c>
      <c r="H239" s="1">
        <v>1</v>
      </c>
      <c r="I239" s="1">
        <v>0</v>
      </c>
      <c r="J239" s="15">
        <v>0.99759036144578317</v>
      </c>
      <c r="K239" s="15">
        <v>0.70923956343927541</v>
      </c>
      <c r="M239" s="15">
        <v>19.252566735112936</v>
      </c>
      <c r="N239" s="15">
        <v>0.79241593992464299</v>
      </c>
    </row>
    <row r="240" spans="1:14" x14ac:dyDescent="0.25">
      <c r="A240" s="13" t="s">
        <v>476</v>
      </c>
      <c r="B240">
        <v>24.772073921971252</v>
      </c>
      <c r="C240" s="1">
        <v>1</v>
      </c>
      <c r="D240">
        <v>1</v>
      </c>
      <c r="F240" s="15">
        <v>27.20328542094456</v>
      </c>
      <c r="G240" s="1">
        <v>414</v>
      </c>
      <c r="H240" s="1">
        <v>0</v>
      </c>
      <c r="I240" s="1">
        <v>1</v>
      </c>
      <c r="J240" s="15">
        <v>1</v>
      </c>
      <c r="K240" s="15">
        <v>0.70923956343927541</v>
      </c>
      <c r="M240" s="15">
        <v>19.252566735112936</v>
      </c>
      <c r="N240" s="15">
        <v>0.79085298935279946</v>
      </c>
    </row>
    <row r="241" spans="1:14" x14ac:dyDescent="0.25">
      <c r="A241" s="13" t="s">
        <v>475</v>
      </c>
      <c r="B241">
        <v>26.90759753593429</v>
      </c>
      <c r="C241" s="1">
        <v>1</v>
      </c>
      <c r="D241">
        <v>1</v>
      </c>
      <c r="F241" s="15">
        <v>27.466119096509239</v>
      </c>
      <c r="G241" s="1">
        <v>413</v>
      </c>
      <c r="H241" s="1">
        <v>1</v>
      </c>
      <c r="I241" s="1">
        <v>0</v>
      </c>
      <c r="J241" s="15">
        <v>0.99757869249394671</v>
      </c>
      <c r="K241" s="15">
        <v>0.70752227636072995</v>
      </c>
      <c r="M241" s="15">
        <v>19.515400410677618</v>
      </c>
      <c r="N241" s="15">
        <v>0.79085298935279946</v>
      </c>
    </row>
    <row r="242" spans="1:14" x14ac:dyDescent="0.25">
      <c r="A242" s="13" t="s">
        <v>474</v>
      </c>
      <c r="B242">
        <v>42.053388090349074</v>
      </c>
      <c r="C242" s="1">
        <v>1</v>
      </c>
      <c r="D242">
        <v>1</v>
      </c>
      <c r="F242" s="15">
        <v>27.531827515400412</v>
      </c>
      <c r="G242" s="1">
        <v>412</v>
      </c>
      <c r="H242" s="1">
        <v>1</v>
      </c>
      <c r="I242" s="1">
        <v>0</v>
      </c>
      <c r="J242" s="15">
        <v>0.99757281553398058</v>
      </c>
      <c r="K242" s="15">
        <v>0.70580498928218449</v>
      </c>
      <c r="M242" s="15">
        <v>19.515400410677618</v>
      </c>
      <c r="N242" s="15">
        <v>0.78772708820911252</v>
      </c>
    </row>
    <row r="243" spans="1:14" x14ac:dyDescent="0.25">
      <c r="A243" s="13" t="s">
        <v>473</v>
      </c>
      <c r="B243">
        <v>78.455852156057489</v>
      </c>
      <c r="C243" s="1">
        <v>0</v>
      </c>
      <c r="D243">
        <v>1</v>
      </c>
      <c r="F243" s="15">
        <v>27.630390143737166</v>
      </c>
      <c r="G243" s="1">
        <v>411</v>
      </c>
      <c r="H243" s="1">
        <v>0</v>
      </c>
      <c r="I243" s="1">
        <v>1</v>
      </c>
      <c r="J243" s="15">
        <v>1</v>
      </c>
      <c r="K243" s="15">
        <v>0.70580498928218449</v>
      </c>
      <c r="M243" s="15">
        <v>19.548254620123203</v>
      </c>
      <c r="N243" s="15">
        <v>0.78772708820911252</v>
      </c>
    </row>
    <row r="244" spans="1:14" x14ac:dyDescent="0.25">
      <c r="A244" s="13" t="s">
        <v>472</v>
      </c>
      <c r="B244">
        <v>75.433264887063658</v>
      </c>
      <c r="C244" s="1">
        <v>0</v>
      </c>
      <c r="D244">
        <v>1</v>
      </c>
      <c r="F244" s="15">
        <v>27.663244353182751</v>
      </c>
      <c r="G244" s="1">
        <v>410</v>
      </c>
      <c r="H244" s="1">
        <v>1</v>
      </c>
      <c r="I244" s="1">
        <v>0</v>
      </c>
      <c r="J244" s="15">
        <v>0.9975609756097561</v>
      </c>
      <c r="K244" s="15">
        <v>0.70408351369856936</v>
      </c>
      <c r="M244" s="15">
        <v>19.548254620123203</v>
      </c>
      <c r="N244" s="15">
        <v>0.786164137637269</v>
      </c>
    </row>
    <row r="245" spans="1:14" x14ac:dyDescent="0.25">
      <c r="A245" s="13" t="s">
        <v>471</v>
      </c>
      <c r="B245">
        <v>61.897330595482543</v>
      </c>
      <c r="C245" s="1">
        <v>0</v>
      </c>
      <c r="D245">
        <v>1</v>
      </c>
      <c r="F245" s="15">
        <v>28.024640657084188</v>
      </c>
      <c r="G245" s="1">
        <v>409</v>
      </c>
      <c r="H245" s="1">
        <v>0</v>
      </c>
      <c r="I245" s="1">
        <v>1</v>
      </c>
      <c r="J245" s="15">
        <v>1</v>
      </c>
      <c r="K245" s="15">
        <v>0.70408351369856936</v>
      </c>
      <c r="M245" s="15">
        <v>19.646817248459961</v>
      </c>
      <c r="N245" s="15">
        <v>0.786164137637269</v>
      </c>
    </row>
    <row r="246" spans="1:14" x14ac:dyDescent="0.25">
      <c r="A246" s="13" t="s">
        <v>470</v>
      </c>
      <c r="B246">
        <v>34.792607802874741</v>
      </c>
      <c r="C246" s="1">
        <v>1</v>
      </c>
      <c r="D246">
        <v>1</v>
      </c>
      <c r="F246" s="15">
        <v>28.057494866529773</v>
      </c>
      <c r="G246" s="1">
        <v>408</v>
      </c>
      <c r="H246" s="1">
        <v>0</v>
      </c>
      <c r="I246" s="1">
        <v>1</v>
      </c>
      <c r="J246" s="15">
        <v>1</v>
      </c>
      <c r="K246" s="15">
        <v>0.70408351369856936</v>
      </c>
      <c r="M246" s="15">
        <v>19.646817248459961</v>
      </c>
      <c r="N246" s="15">
        <v>0.78459807361807121</v>
      </c>
    </row>
    <row r="247" spans="1:14" x14ac:dyDescent="0.25">
      <c r="A247" s="13" t="s">
        <v>469</v>
      </c>
      <c r="B247">
        <v>28.2217659137577</v>
      </c>
      <c r="C247" s="1">
        <v>0</v>
      </c>
      <c r="D247">
        <v>1</v>
      </c>
      <c r="F247" s="15">
        <v>28.090349075975361</v>
      </c>
      <c r="G247" s="1">
        <v>407</v>
      </c>
      <c r="H247" s="1">
        <v>2</v>
      </c>
      <c r="I247" s="1">
        <v>1</v>
      </c>
      <c r="J247" s="15">
        <v>0.99508599508599505</v>
      </c>
      <c r="K247" s="15">
        <v>0.70062364385238474</v>
      </c>
      <c r="M247" s="15">
        <v>19.71252566735113</v>
      </c>
      <c r="N247" s="15">
        <v>0.78459807361807121</v>
      </c>
    </row>
    <row r="248" spans="1:14" x14ac:dyDescent="0.25">
      <c r="A248" s="13" t="s">
        <v>468</v>
      </c>
      <c r="B248">
        <v>36.435318275154003</v>
      </c>
      <c r="C248" s="1">
        <v>0</v>
      </c>
      <c r="D248">
        <v>1</v>
      </c>
      <c r="F248" s="15">
        <v>28.156057494866531</v>
      </c>
      <c r="G248" s="1">
        <v>404</v>
      </c>
      <c r="H248" s="1">
        <v>1</v>
      </c>
      <c r="I248" s="1">
        <v>1</v>
      </c>
      <c r="J248" s="15">
        <v>0.99752475247524752</v>
      </c>
      <c r="K248" s="15">
        <v>0.69888942691215605</v>
      </c>
      <c r="M248" s="15">
        <v>19.71252566735113</v>
      </c>
      <c r="N248" s="15">
        <v>0.78303200959887342</v>
      </c>
    </row>
    <row r="249" spans="1:14" x14ac:dyDescent="0.25">
      <c r="A249" s="13" t="s">
        <v>467</v>
      </c>
      <c r="B249">
        <v>39.162217659137575</v>
      </c>
      <c r="C249" s="1">
        <v>1</v>
      </c>
      <c r="D249">
        <v>1</v>
      </c>
      <c r="F249" s="15">
        <v>28.188911704312115</v>
      </c>
      <c r="G249" s="1">
        <v>402</v>
      </c>
      <c r="H249" s="1">
        <v>0</v>
      </c>
      <c r="I249" s="1">
        <v>1</v>
      </c>
      <c r="J249" s="15">
        <v>1</v>
      </c>
      <c r="K249" s="15">
        <v>0.69888942691215605</v>
      </c>
      <c r="M249" s="15">
        <v>20.106776180698152</v>
      </c>
      <c r="N249" s="15">
        <v>0.78303200959887342</v>
      </c>
    </row>
    <row r="250" spans="1:14" x14ac:dyDescent="0.25">
      <c r="A250" s="13" t="s">
        <v>466</v>
      </c>
      <c r="B250">
        <v>59.3347022587269</v>
      </c>
      <c r="C250" s="1">
        <v>1</v>
      </c>
      <c r="D250">
        <v>1</v>
      </c>
      <c r="F250" s="15">
        <v>28.2217659137577</v>
      </c>
      <c r="G250" s="1">
        <v>401</v>
      </c>
      <c r="H250" s="1">
        <v>2</v>
      </c>
      <c r="I250" s="1">
        <v>1</v>
      </c>
      <c r="J250" s="15">
        <v>0.99501246882793015</v>
      </c>
      <c r="K250" s="15">
        <v>0.69540369410960168</v>
      </c>
      <c r="M250" s="15">
        <v>20.106776180698152</v>
      </c>
      <c r="N250" s="15">
        <v>0.78146594557967564</v>
      </c>
    </row>
    <row r="251" spans="1:14" x14ac:dyDescent="0.25">
      <c r="A251" s="13" t="s">
        <v>465</v>
      </c>
      <c r="B251">
        <v>16.427104722792606</v>
      </c>
      <c r="C251" s="1">
        <v>1</v>
      </c>
      <c r="D251">
        <v>1</v>
      </c>
      <c r="F251" s="15">
        <v>28.28747433264887</v>
      </c>
      <c r="G251" s="1">
        <v>398</v>
      </c>
      <c r="H251" s="1">
        <v>1</v>
      </c>
      <c r="I251" s="1">
        <v>0</v>
      </c>
      <c r="J251" s="15">
        <v>0.99748743718592969</v>
      </c>
      <c r="K251" s="15">
        <v>0.69365644864701481</v>
      </c>
      <c r="M251" s="15">
        <v>20.435318275154003</v>
      </c>
      <c r="N251" s="15">
        <v>0.78146594557967564</v>
      </c>
    </row>
    <row r="252" spans="1:14" x14ac:dyDescent="0.25">
      <c r="A252" s="13" t="s">
        <v>464</v>
      </c>
      <c r="B252">
        <v>52.205338809034906</v>
      </c>
      <c r="C252" s="1">
        <v>1</v>
      </c>
      <c r="D252">
        <v>1</v>
      </c>
      <c r="F252" s="15">
        <v>28.418891170431213</v>
      </c>
      <c r="G252" s="1">
        <v>397</v>
      </c>
      <c r="H252" s="1">
        <v>1</v>
      </c>
      <c r="I252" s="1">
        <v>0</v>
      </c>
      <c r="J252" s="15">
        <v>0.9974811083123426</v>
      </c>
      <c r="K252" s="15">
        <v>0.69190920318442795</v>
      </c>
      <c r="M252" s="15">
        <v>20.435318275154003</v>
      </c>
      <c r="N252" s="15">
        <v>0.77989673685361205</v>
      </c>
    </row>
    <row r="253" spans="1:14" x14ac:dyDescent="0.25">
      <c r="A253" s="13" t="s">
        <v>463</v>
      </c>
      <c r="B253">
        <v>48.06570841889117</v>
      </c>
      <c r="C253" s="1">
        <v>1</v>
      </c>
      <c r="D253">
        <v>1</v>
      </c>
      <c r="F253" s="15">
        <v>28.451745379876797</v>
      </c>
      <c r="G253" s="1">
        <v>396</v>
      </c>
      <c r="H253" s="1">
        <v>1</v>
      </c>
      <c r="I253" s="1">
        <v>0</v>
      </c>
      <c r="J253" s="15">
        <v>0.99747474747474751</v>
      </c>
      <c r="K253" s="15">
        <v>0.69016195772184108</v>
      </c>
      <c r="M253" s="15">
        <v>20.501026694045173</v>
      </c>
      <c r="N253" s="15">
        <v>0.77989673685361205</v>
      </c>
    </row>
    <row r="254" spans="1:14" x14ac:dyDescent="0.25">
      <c r="A254" s="13" t="s">
        <v>462</v>
      </c>
      <c r="B254">
        <v>59.991786447638603</v>
      </c>
      <c r="C254" s="1">
        <v>0</v>
      </c>
      <c r="D254">
        <v>1</v>
      </c>
      <c r="F254" s="15">
        <v>28.484599589322382</v>
      </c>
      <c r="G254" s="1">
        <v>395</v>
      </c>
      <c r="H254" s="1">
        <v>1</v>
      </c>
      <c r="I254" s="1">
        <v>1</v>
      </c>
      <c r="J254" s="15">
        <v>0.99746835443037973</v>
      </c>
      <c r="K254" s="15">
        <v>0.6884147122592541</v>
      </c>
      <c r="M254" s="15">
        <v>20.501026694045173</v>
      </c>
      <c r="N254" s="15">
        <v>0.77674563892693071</v>
      </c>
    </row>
    <row r="255" spans="1:14" x14ac:dyDescent="0.25">
      <c r="A255" s="13" t="s">
        <v>461</v>
      </c>
      <c r="B255">
        <v>40.4435318275154</v>
      </c>
      <c r="C255" s="1">
        <v>0</v>
      </c>
      <c r="D255">
        <v>1</v>
      </c>
      <c r="F255" s="15">
        <v>28.583162217659137</v>
      </c>
      <c r="G255" s="1">
        <v>393</v>
      </c>
      <c r="H255" s="1">
        <v>0</v>
      </c>
      <c r="I255" s="1">
        <v>1</v>
      </c>
      <c r="J255" s="15">
        <v>1</v>
      </c>
      <c r="K255" s="15">
        <v>0.6884147122592541</v>
      </c>
      <c r="M255" s="15">
        <v>20.6652977412731</v>
      </c>
      <c r="N255" s="15">
        <v>0.77674563892693071</v>
      </c>
    </row>
    <row r="256" spans="1:14" x14ac:dyDescent="0.25">
      <c r="A256" s="13" t="s">
        <v>460</v>
      </c>
      <c r="B256">
        <v>36.698151950718689</v>
      </c>
      <c r="C256" s="1">
        <v>0</v>
      </c>
      <c r="D256">
        <v>1</v>
      </c>
      <c r="F256" s="15">
        <v>28.780287474332649</v>
      </c>
      <c r="G256" s="1">
        <v>392</v>
      </c>
      <c r="H256" s="1">
        <v>1</v>
      </c>
      <c r="I256" s="1">
        <v>0</v>
      </c>
      <c r="J256" s="15">
        <v>0.99744897959183676</v>
      </c>
      <c r="K256" s="15">
        <v>0.68665855227900097</v>
      </c>
      <c r="M256" s="15">
        <v>20.6652977412731</v>
      </c>
      <c r="N256" s="15">
        <v>0.77516688762829866</v>
      </c>
    </row>
    <row r="257" spans="1:14" x14ac:dyDescent="0.25">
      <c r="A257" s="13" t="s">
        <v>459</v>
      </c>
      <c r="B257">
        <v>27.466119096509239</v>
      </c>
      <c r="C257" s="1">
        <v>1</v>
      </c>
      <c r="D257">
        <v>1</v>
      </c>
      <c r="F257" s="15">
        <v>28.813141683778234</v>
      </c>
      <c r="G257" s="1">
        <v>391</v>
      </c>
      <c r="H257" s="1">
        <v>0</v>
      </c>
      <c r="I257" s="1">
        <v>1</v>
      </c>
      <c r="J257" s="15">
        <v>1</v>
      </c>
      <c r="K257" s="15">
        <v>0.68665855227900097</v>
      </c>
      <c r="M257" s="15">
        <v>20.763860369609855</v>
      </c>
      <c r="N257" s="15">
        <v>0.77516688762829866</v>
      </c>
    </row>
    <row r="258" spans="1:14" x14ac:dyDescent="0.25">
      <c r="A258" s="13" t="s">
        <v>458</v>
      </c>
      <c r="B258">
        <v>40.147843942505133</v>
      </c>
      <c r="C258" s="1">
        <v>0</v>
      </c>
      <c r="D258">
        <v>1</v>
      </c>
      <c r="F258" s="15">
        <v>29.010266940451746</v>
      </c>
      <c r="G258" s="1">
        <v>390</v>
      </c>
      <c r="H258" s="1">
        <v>1</v>
      </c>
      <c r="I258" s="1">
        <v>0</v>
      </c>
      <c r="J258" s="15">
        <v>0.99743589743589745</v>
      </c>
      <c r="K258" s="15">
        <v>0.6848978893244394</v>
      </c>
      <c r="M258" s="15">
        <v>20.763860369609855</v>
      </c>
      <c r="N258" s="15">
        <v>0.77358167926914068</v>
      </c>
    </row>
    <row r="259" spans="1:14" x14ac:dyDescent="0.25">
      <c r="A259" s="13" t="s">
        <v>457</v>
      </c>
      <c r="B259">
        <v>21.782340862422998</v>
      </c>
      <c r="C259" s="1">
        <v>0</v>
      </c>
      <c r="D259">
        <v>1</v>
      </c>
      <c r="F259" s="15">
        <v>29.17453798767967</v>
      </c>
      <c r="G259" s="1">
        <v>389</v>
      </c>
      <c r="H259" s="1">
        <v>0</v>
      </c>
      <c r="I259" s="1">
        <v>1</v>
      </c>
      <c r="J259" s="15">
        <v>1</v>
      </c>
      <c r="K259" s="15">
        <v>0.6848978893244394</v>
      </c>
      <c r="M259" s="15">
        <v>20.928131416837783</v>
      </c>
      <c r="N259" s="15">
        <v>0.77358167926914068</v>
      </c>
    </row>
    <row r="260" spans="1:14" x14ac:dyDescent="0.25">
      <c r="A260" s="13" t="s">
        <v>456</v>
      </c>
      <c r="B260">
        <v>23.720739219712527</v>
      </c>
      <c r="C260" s="1">
        <v>1</v>
      </c>
      <c r="D260">
        <v>1</v>
      </c>
      <c r="F260" s="15">
        <v>29.207392197125255</v>
      </c>
      <c r="G260" s="1">
        <v>388</v>
      </c>
      <c r="H260" s="1">
        <v>1</v>
      </c>
      <c r="I260" s="1">
        <v>0</v>
      </c>
      <c r="J260" s="15">
        <v>0.99742268041237114</v>
      </c>
      <c r="K260" s="15">
        <v>0.68313268857875786</v>
      </c>
      <c r="M260" s="15">
        <v>20.928131416837783</v>
      </c>
      <c r="N260" s="15">
        <v>0.77199647090998258</v>
      </c>
    </row>
    <row r="261" spans="1:14" x14ac:dyDescent="0.25">
      <c r="A261" s="13" t="s">
        <v>455</v>
      </c>
      <c r="B261">
        <v>10.57905544147844</v>
      </c>
      <c r="C261" s="1">
        <v>0</v>
      </c>
      <c r="D261">
        <v>1</v>
      </c>
      <c r="F261" s="15">
        <v>29.240246406570844</v>
      </c>
      <c r="G261" s="1">
        <v>387</v>
      </c>
      <c r="H261" s="1">
        <v>1</v>
      </c>
      <c r="I261" s="1">
        <v>0</v>
      </c>
      <c r="J261" s="15">
        <v>0.99741602067183466</v>
      </c>
      <c r="K261" s="15">
        <v>0.68136748783307632</v>
      </c>
      <c r="M261" s="15">
        <v>21.223819301848049</v>
      </c>
      <c r="N261" s="15">
        <v>0.77199647090998258</v>
      </c>
    </row>
    <row r="262" spans="1:14" x14ac:dyDescent="0.25">
      <c r="A262" s="13" t="s">
        <v>454</v>
      </c>
      <c r="B262">
        <v>37.782340862422998</v>
      </c>
      <c r="C262" s="1">
        <v>1</v>
      </c>
      <c r="D262">
        <v>1</v>
      </c>
      <c r="F262" s="15">
        <v>29.273100616016428</v>
      </c>
      <c r="G262" s="1">
        <v>386</v>
      </c>
      <c r="H262" s="1">
        <v>1</v>
      </c>
      <c r="I262" s="1">
        <v>0</v>
      </c>
      <c r="J262" s="15">
        <v>0.99740932642487046</v>
      </c>
      <c r="K262" s="15">
        <v>0.67960228708739479</v>
      </c>
      <c r="M262" s="15">
        <v>21.223819301848049</v>
      </c>
      <c r="N262" s="15">
        <v>0.77040800080522953</v>
      </c>
    </row>
    <row r="263" spans="1:14" x14ac:dyDescent="0.25">
      <c r="A263" s="13" t="s">
        <v>453</v>
      </c>
      <c r="B263">
        <v>14.652977412731007</v>
      </c>
      <c r="C263" s="1">
        <v>1</v>
      </c>
      <c r="D263">
        <v>1</v>
      </c>
      <c r="F263" s="15">
        <v>29.305954825462013</v>
      </c>
      <c r="G263" s="1">
        <v>385</v>
      </c>
      <c r="H263" s="1">
        <v>0</v>
      </c>
      <c r="I263" s="1">
        <v>1</v>
      </c>
      <c r="J263" s="15">
        <v>1</v>
      </c>
      <c r="K263" s="15">
        <v>0.67960228708739479</v>
      </c>
      <c r="M263" s="15">
        <v>21.289527720739219</v>
      </c>
      <c r="N263" s="15">
        <v>0.77040800080522953</v>
      </c>
    </row>
    <row r="264" spans="1:14" x14ac:dyDescent="0.25">
      <c r="A264" s="13" t="s">
        <v>452</v>
      </c>
      <c r="B264">
        <v>60.944558521560573</v>
      </c>
      <c r="C264" s="1">
        <v>0</v>
      </c>
      <c r="D264">
        <v>1</v>
      </c>
      <c r="F264" s="15">
        <v>29.338809034907598</v>
      </c>
      <c r="G264" s="1">
        <v>384</v>
      </c>
      <c r="H264" s="1">
        <v>1</v>
      </c>
      <c r="I264" s="1">
        <v>0</v>
      </c>
      <c r="J264" s="15">
        <v>0.99739583333333337</v>
      </c>
      <c r="K264" s="15">
        <v>0.67783248946477137</v>
      </c>
      <c r="M264" s="15">
        <v>21.289527720739219</v>
      </c>
      <c r="N264" s="15">
        <v>0.76881953070047648</v>
      </c>
    </row>
    <row r="265" spans="1:14" x14ac:dyDescent="0.25">
      <c r="A265" s="13" t="s">
        <v>451</v>
      </c>
      <c r="B265">
        <v>7.8193018480492817</v>
      </c>
      <c r="C265" s="1">
        <v>1</v>
      </c>
      <c r="D265">
        <v>1</v>
      </c>
      <c r="F265" s="15">
        <v>30.094455852156056</v>
      </c>
      <c r="G265" s="1">
        <v>383</v>
      </c>
      <c r="H265" s="1">
        <v>0</v>
      </c>
      <c r="I265" s="1">
        <v>1</v>
      </c>
      <c r="J265" s="15">
        <v>1</v>
      </c>
      <c r="K265" s="15">
        <v>0.67783248946477137</v>
      </c>
      <c r="M265" s="15">
        <v>21.355236139630389</v>
      </c>
      <c r="N265" s="15">
        <v>0.76881953070047648</v>
      </c>
    </row>
    <row r="266" spans="1:14" x14ac:dyDescent="0.25">
      <c r="A266" s="13" t="s">
        <v>450</v>
      </c>
      <c r="B266">
        <v>60.386036960985628</v>
      </c>
      <c r="C266" s="1">
        <v>0</v>
      </c>
      <c r="D266">
        <v>1</v>
      </c>
      <c r="F266" s="15">
        <v>30.160164271047229</v>
      </c>
      <c r="G266" s="1">
        <v>382</v>
      </c>
      <c r="H266" s="1">
        <v>1</v>
      </c>
      <c r="I266" s="1">
        <v>2</v>
      </c>
      <c r="J266" s="15">
        <v>0.99738219895287961</v>
      </c>
      <c r="K266" s="15">
        <v>0.67605805886407822</v>
      </c>
      <c r="M266" s="15">
        <v>21.355236139630389</v>
      </c>
      <c r="N266" s="15">
        <v>0.76723106059572344</v>
      </c>
    </row>
    <row r="267" spans="1:14" x14ac:dyDescent="0.25">
      <c r="A267" s="13" t="s">
        <v>449</v>
      </c>
      <c r="B267">
        <v>59.991786447638603</v>
      </c>
      <c r="C267" s="1">
        <v>0</v>
      </c>
      <c r="D267">
        <v>1</v>
      </c>
      <c r="F267" s="15">
        <v>30.652977412731005</v>
      </c>
      <c r="G267" s="1">
        <v>379</v>
      </c>
      <c r="H267" s="1">
        <v>0</v>
      </c>
      <c r="I267" s="1">
        <v>1</v>
      </c>
      <c r="J267" s="15">
        <v>1</v>
      </c>
      <c r="K267" s="15">
        <v>0.67605805886407822</v>
      </c>
      <c r="M267" s="15">
        <v>21.749486652977414</v>
      </c>
      <c r="N267" s="15">
        <v>0.76723106059572344</v>
      </c>
    </row>
    <row r="268" spans="1:14" x14ac:dyDescent="0.25">
      <c r="A268" s="13" t="s">
        <v>448</v>
      </c>
      <c r="B268">
        <v>35.909650924024639</v>
      </c>
      <c r="C268" s="1">
        <v>1</v>
      </c>
      <c r="D268">
        <v>1</v>
      </c>
      <c r="F268" s="15">
        <v>30.751540041067763</v>
      </c>
      <c r="G268" s="1">
        <v>378</v>
      </c>
      <c r="H268" s="1">
        <v>0</v>
      </c>
      <c r="I268" s="1">
        <v>2</v>
      </c>
      <c r="J268" s="15">
        <v>1</v>
      </c>
      <c r="K268" s="15">
        <v>0.67605805886407822</v>
      </c>
      <c r="M268" s="15">
        <v>21.749486652977414</v>
      </c>
      <c r="N268" s="15">
        <v>0.76562932560491814</v>
      </c>
    </row>
    <row r="269" spans="1:14" x14ac:dyDescent="0.25">
      <c r="A269" s="13" t="s">
        <v>447</v>
      </c>
      <c r="B269">
        <v>67.383983572895275</v>
      </c>
      <c r="C269" s="1">
        <v>0</v>
      </c>
      <c r="D269">
        <v>1</v>
      </c>
      <c r="F269" s="15">
        <v>30.882956878850102</v>
      </c>
      <c r="G269" s="1">
        <v>376</v>
      </c>
      <c r="H269" s="1">
        <v>0</v>
      </c>
      <c r="I269" s="1">
        <v>1</v>
      </c>
      <c r="J269" s="15">
        <v>1</v>
      </c>
      <c r="K269" s="15">
        <v>0.67605805886407822</v>
      </c>
      <c r="M269" s="15">
        <v>22.012320328542096</v>
      </c>
      <c r="N269" s="15">
        <v>0.76562932560491814</v>
      </c>
    </row>
    <row r="270" spans="1:14" x14ac:dyDescent="0.25">
      <c r="A270" s="13" t="s">
        <v>446</v>
      </c>
      <c r="B270">
        <v>12.156057494866531</v>
      </c>
      <c r="C270" s="1">
        <v>1</v>
      </c>
      <c r="D270">
        <v>1</v>
      </c>
      <c r="F270" s="15">
        <v>30.948665297741272</v>
      </c>
      <c r="G270" s="1">
        <v>375</v>
      </c>
      <c r="H270" s="1">
        <v>0</v>
      </c>
      <c r="I270" s="1">
        <v>1</v>
      </c>
      <c r="J270" s="15">
        <v>1</v>
      </c>
      <c r="K270" s="15">
        <v>0.67605805886407822</v>
      </c>
      <c r="M270" s="15">
        <v>22.012320328542096</v>
      </c>
      <c r="N270" s="15">
        <v>0.76402423267912167</v>
      </c>
    </row>
    <row r="271" spans="1:14" x14ac:dyDescent="0.25">
      <c r="A271" s="13" t="s">
        <v>445</v>
      </c>
      <c r="B271">
        <v>28.28747433264887</v>
      </c>
      <c r="C271" s="1">
        <v>1</v>
      </c>
      <c r="D271">
        <v>1</v>
      </c>
      <c r="F271" s="15">
        <v>31.04722792607803</v>
      </c>
      <c r="G271" s="1">
        <v>374</v>
      </c>
      <c r="H271" s="1">
        <v>1</v>
      </c>
      <c r="I271" s="1">
        <v>1</v>
      </c>
      <c r="J271" s="15">
        <v>0.99732620320855614</v>
      </c>
      <c r="K271" s="15">
        <v>0.67425041699545762</v>
      </c>
      <c r="M271" s="15">
        <v>22.17659137577002</v>
      </c>
      <c r="N271" s="15">
        <v>0.76402423267912167</v>
      </c>
    </row>
    <row r="272" spans="1:14" x14ac:dyDescent="0.25">
      <c r="A272" s="13" t="s">
        <v>444</v>
      </c>
      <c r="B272">
        <v>52.139630390143736</v>
      </c>
      <c r="C272" s="1">
        <v>1</v>
      </c>
      <c r="D272">
        <v>1</v>
      </c>
      <c r="F272" s="15">
        <v>31.408624229979466</v>
      </c>
      <c r="G272" s="1">
        <v>372</v>
      </c>
      <c r="H272" s="1">
        <v>2</v>
      </c>
      <c r="I272" s="1">
        <v>0</v>
      </c>
      <c r="J272" s="15">
        <v>0.9946236559139785</v>
      </c>
      <c r="K272" s="15">
        <v>0.67062541475354653</v>
      </c>
      <c r="M272" s="15">
        <v>22.17659137577002</v>
      </c>
      <c r="N272" s="15">
        <v>0.7624191397533252</v>
      </c>
    </row>
    <row r="273" spans="1:14" x14ac:dyDescent="0.25">
      <c r="A273" s="13" t="s">
        <v>443</v>
      </c>
      <c r="B273">
        <v>18.135523613963038</v>
      </c>
      <c r="C273" s="1">
        <v>1</v>
      </c>
      <c r="D273">
        <v>1</v>
      </c>
      <c r="F273" s="15">
        <v>31.507186858316221</v>
      </c>
      <c r="G273" s="1">
        <v>370</v>
      </c>
      <c r="H273" s="1">
        <v>1</v>
      </c>
      <c r="I273" s="1">
        <v>0</v>
      </c>
      <c r="J273" s="15">
        <v>0.99729729729729732</v>
      </c>
      <c r="K273" s="15">
        <v>0.66881291363259099</v>
      </c>
      <c r="M273" s="15">
        <v>22.308008213552363</v>
      </c>
      <c r="N273" s="15">
        <v>0.7624191397533252</v>
      </c>
    </row>
    <row r="274" spans="1:14" x14ac:dyDescent="0.25">
      <c r="A274" s="13" t="s">
        <v>442</v>
      </c>
      <c r="B274">
        <v>77.30595482546201</v>
      </c>
      <c r="C274" s="1">
        <v>0</v>
      </c>
      <c r="D274">
        <v>1</v>
      </c>
      <c r="F274" s="15">
        <v>31.540041067761805</v>
      </c>
      <c r="G274" s="1">
        <v>369</v>
      </c>
      <c r="H274" s="1">
        <v>1</v>
      </c>
      <c r="I274" s="1">
        <v>0</v>
      </c>
      <c r="J274" s="15">
        <v>0.99728997289972898</v>
      </c>
      <c r="K274" s="15">
        <v>0.66700041251163544</v>
      </c>
      <c r="M274" s="15">
        <v>22.308008213552363</v>
      </c>
      <c r="N274" s="15">
        <v>0.76081066055553337</v>
      </c>
    </row>
    <row r="275" spans="1:14" x14ac:dyDescent="0.25">
      <c r="A275" s="13" t="s">
        <v>441</v>
      </c>
      <c r="B275">
        <v>81.182751540041068</v>
      </c>
      <c r="C275" s="1">
        <v>0</v>
      </c>
      <c r="D275">
        <v>1</v>
      </c>
      <c r="F275" s="15">
        <v>31.671457905544148</v>
      </c>
      <c r="G275" s="1">
        <v>368</v>
      </c>
      <c r="H275" s="1">
        <v>1</v>
      </c>
      <c r="I275" s="1">
        <v>0</v>
      </c>
      <c r="J275" s="15">
        <v>0.99728260869565222</v>
      </c>
      <c r="K275" s="15">
        <v>0.6651879113906799</v>
      </c>
      <c r="M275" s="15">
        <v>22.570841889117045</v>
      </c>
      <c r="N275" s="15">
        <v>0.76081066055553337</v>
      </c>
    </row>
    <row r="276" spans="1:14" x14ac:dyDescent="0.25">
      <c r="A276" s="13" t="s">
        <v>440</v>
      </c>
      <c r="B276">
        <v>29.338809034907598</v>
      </c>
      <c r="C276" s="1">
        <v>1</v>
      </c>
      <c r="D276">
        <v>1</v>
      </c>
      <c r="F276" s="15">
        <v>31.770020533880903</v>
      </c>
      <c r="G276" s="1">
        <v>367</v>
      </c>
      <c r="H276" s="1">
        <v>0</v>
      </c>
      <c r="I276" s="1">
        <v>2</v>
      </c>
      <c r="J276" s="15">
        <v>1</v>
      </c>
      <c r="K276" s="15">
        <v>0.6651879113906799</v>
      </c>
      <c r="M276" s="15">
        <v>22.570841889117045</v>
      </c>
      <c r="N276" s="15">
        <v>0.75920218135774153</v>
      </c>
    </row>
    <row r="277" spans="1:14" x14ac:dyDescent="0.25">
      <c r="A277" s="13" t="s">
        <v>439</v>
      </c>
      <c r="B277">
        <v>68.763860369609858</v>
      </c>
      <c r="C277" s="1">
        <v>1</v>
      </c>
      <c r="D277">
        <v>1</v>
      </c>
      <c r="F277" s="15">
        <v>31.835728952772072</v>
      </c>
      <c r="G277" s="1">
        <v>365</v>
      </c>
      <c r="H277" s="1">
        <v>0</v>
      </c>
      <c r="I277" s="1">
        <v>1</v>
      </c>
      <c r="J277" s="15">
        <v>1</v>
      </c>
      <c r="K277" s="15">
        <v>0.6651879113906799</v>
      </c>
      <c r="M277" s="15">
        <v>22.932238193018481</v>
      </c>
      <c r="N277" s="15">
        <v>0.75920218135774153</v>
      </c>
    </row>
    <row r="278" spans="1:14" x14ac:dyDescent="0.25">
      <c r="A278" s="13" t="s">
        <v>438</v>
      </c>
      <c r="B278">
        <v>85.815195071868587</v>
      </c>
      <c r="C278" s="1">
        <v>0</v>
      </c>
      <c r="D278">
        <v>1</v>
      </c>
      <c r="F278" s="15">
        <v>31.868583162217661</v>
      </c>
      <c r="G278" s="1">
        <v>364</v>
      </c>
      <c r="H278" s="1">
        <v>0</v>
      </c>
      <c r="I278" s="1">
        <v>1</v>
      </c>
      <c r="J278" s="15">
        <v>1</v>
      </c>
      <c r="K278" s="15">
        <v>0.6651879113906799</v>
      </c>
      <c r="M278" s="15">
        <v>22.932238193018481</v>
      </c>
      <c r="N278" s="15">
        <v>0.75758685756761868</v>
      </c>
    </row>
    <row r="279" spans="1:14" x14ac:dyDescent="0.25">
      <c r="A279" s="13" t="s">
        <v>437</v>
      </c>
      <c r="B279">
        <v>31.408624229979466</v>
      </c>
      <c r="C279" s="1">
        <v>1</v>
      </c>
      <c r="D279">
        <v>1</v>
      </c>
      <c r="F279" s="15">
        <v>31.93429158110883</v>
      </c>
      <c r="G279" s="1">
        <v>363</v>
      </c>
      <c r="H279" s="1">
        <v>0</v>
      </c>
      <c r="I279" s="1">
        <v>2</v>
      </c>
      <c r="J279" s="15">
        <v>1</v>
      </c>
      <c r="K279" s="15">
        <v>0.6651879113906799</v>
      </c>
      <c r="M279" s="15">
        <v>23.227926078028748</v>
      </c>
      <c r="N279" s="15">
        <v>0.75758685756761868</v>
      </c>
    </row>
    <row r="280" spans="1:14" x14ac:dyDescent="0.25">
      <c r="A280" s="13" t="s">
        <v>436</v>
      </c>
      <c r="B280">
        <v>53.782340862422998</v>
      </c>
      <c r="C280" s="1">
        <v>0</v>
      </c>
      <c r="D280">
        <v>1</v>
      </c>
      <c r="F280" s="15">
        <v>31.967145790554415</v>
      </c>
      <c r="G280" s="1">
        <v>361</v>
      </c>
      <c r="H280" s="1">
        <v>0</v>
      </c>
      <c r="I280" s="1">
        <v>1</v>
      </c>
      <c r="J280" s="15">
        <v>1</v>
      </c>
      <c r="K280" s="15">
        <v>0.6651879113906799</v>
      </c>
      <c r="M280" s="15">
        <v>23.227926078028748</v>
      </c>
      <c r="N280" s="15">
        <v>0.75597153377749582</v>
      </c>
    </row>
    <row r="281" spans="1:14" x14ac:dyDescent="0.25">
      <c r="A281" s="13" t="s">
        <v>435</v>
      </c>
      <c r="B281">
        <v>80.689938398357285</v>
      </c>
      <c r="C281" s="1">
        <v>0</v>
      </c>
      <c r="D281">
        <v>1</v>
      </c>
      <c r="F281" s="15">
        <v>32</v>
      </c>
      <c r="G281" s="1">
        <v>360</v>
      </c>
      <c r="H281" s="1">
        <v>0</v>
      </c>
      <c r="I281" s="1">
        <v>2</v>
      </c>
      <c r="J281" s="15">
        <v>1</v>
      </c>
      <c r="K281" s="15">
        <v>0.6651879113906799</v>
      </c>
      <c r="M281" s="15">
        <v>23.392197125256672</v>
      </c>
      <c r="N281" s="15">
        <v>0.75597153377749582</v>
      </c>
    </row>
    <row r="282" spans="1:14" x14ac:dyDescent="0.25">
      <c r="A282" s="13" t="s">
        <v>434</v>
      </c>
      <c r="B282">
        <v>73.166324435318273</v>
      </c>
      <c r="C282" s="1">
        <v>0</v>
      </c>
      <c r="D282">
        <v>1</v>
      </c>
      <c r="F282" s="15">
        <v>32.229979466119097</v>
      </c>
      <c r="G282" s="1">
        <v>358</v>
      </c>
      <c r="H282" s="1">
        <v>1</v>
      </c>
      <c r="I282" s="1">
        <v>0</v>
      </c>
      <c r="J282" s="15">
        <v>0.9972067039106145</v>
      </c>
      <c r="K282" s="15">
        <v>0.66332984459908584</v>
      </c>
      <c r="M282" s="15">
        <v>23.392197125256672</v>
      </c>
      <c r="N282" s="15">
        <v>0.75435620998737296</v>
      </c>
    </row>
    <row r="283" spans="1:14" x14ac:dyDescent="0.25">
      <c r="A283" s="13" t="s">
        <v>433</v>
      </c>
      <c r="B283">
        <v>52.599589322381931</v>
      </c>
      <c r="C283" s="1">
        <v>1</v>
      </c>
      <c r="D283">
        <v>1</v>
      </c>
      <c r="F283" s="15">
        <v>32.262833675564679</v>
      </c>
      <c r="G283" s="1">
        <v>357</v>
      </c>
      <c r="H283" s="1">
        <v>1</v>
      </c>
      <c r="I283" s="1">
        <v>0</v>
      </c>
      <c r="J283" s="15">
        <v>0.99719887955182074</v>
      </c>
      <c r="K283" s="15">
        <v>0.66147177780749178</v>
      </c>
      <c r="M283" s="15">
        <v>23.457905544147845</v>
      </c>
      <c r="N283" s="15">
        <v>0.75435620998737296</v>
      </c>
    </row>
    <row r="284" spans="1:14" x14ac:dyDescent="0.25">
      <c r="A284" s="13" t="s">
        <v>432</v>
      </c>
      <c r="B284">
        <v>60.484599589322379</v>
      </c>
      <c r="C284" s="1">
        <v>0</v>
      </c>
      <c r="D284">
        <v>1</v>
      </c>
      <c r="F284" s="15">
        <v>32.295687885010267</v>
      </c>
      <c r="G284" s="1">
        <v>356</v>
      </c>
      <c r="H284" s="1">
        <v>1</v>
      </c>
      <c r="I284" s="1">
        <v>0</v>
      </c>
      <c r="J284" s="15">
        <v>0.9971910112359551</v>
      </c>
      <c r="K284" s="15">
        <v>0.65961371101589772</v>
      </c>
      <c r="M284" s="15">
        <v>23.457905544147845</v>
      </c>
      <c r="N284" s="15">
        <v>0.7527408861972501</v>
      </c>
    </row>
    <row r="285" spans="1:14" x14ac:dyDescent="0.25">
      <c r="A285" s="13" t="s">
        <v>431</v>
      </c>
      <c r="B285">
        <v>71.523613963039011</v>
      </c>
      <c r="C285" s="1">
        <v>0</v>
      </c>
      <c r="D285">
        <v>1</v>
      </c>
      <c r="F285" s="15">
        <v>32.394250513347025</v>
      </c>
      <c r="G285" s="1">
        <v>355</v>
      </c>
      <c r="H285" s="1">
        <v>0</v>
      </c>
      <c r="I285" s="1">
        <v>1</v>
      </c>
      <c r="J285" s="15">
        <v>1</v>
      </c>
      <c r="K285" s="15">
        <v>0.65961371101589772</v>
      </c>
      <c r="M285" s="15">
        <v>23.720739219712527</v>
      </c>
      <c r="N285" s="15">
        <v>0.7527408861972501</v>
      </c>
    </row>
    <row r="286" spans="1:14" x14ac:dyDescent="0.25">
      <c r="A286" s="13" t="s">
        <v>430</v>
      </c>
      <c r="B286">
        <v>67.416837782340863</v>
      </c>
      <c r="C286" s="1">
        <v>0</v>
      </c>
      <c r="D286">
        <v>1</v>
      </c>
      <c r="F286" s="15">
        <v>32.558521560574945</v>
      </c>
      <c r="G286" s="1">
        <v>354</v>
      </c>
      <c r="H286" s="1">
        <v>1</v>
      </c>
      <c r="I286" s="1">
        <v>0</v>
      </c>
      <c r="J286" s="15">
        <v>0.99717514124293782</v>
      </c>
      <c r="K286" s="15">
        <v>0.65775039544805614</v>
      </c>
      <c r="M286" s="15">
        <v>23.720739219712527</v>
      </c>
      <c r="N286" s="15">
        <v>0.75111859980458362</v>
      </c>
    </row>
    <row r="287" spans="1:14" x14ac:dyDescent="0.25">
      <c r="A287" s="13" t="s">
        <v>429</v>
      </c>
      <c r="B287">
        <v>31.967145790554415</v>
      </c>
      <c r="C287" s="1">
        <v>0</v>
      </c>
      <c r="D287">
        <v>1</v>
      </c>
      <c r="F287" s="15">
        <v>32.689938398357292</v>
      </c>
      <c r="G287" s="1">
        <v>353</v>
      </c>
      <c r="H287" s="1">
        <v>0</v>
      </c>
      <c r="I287" s="1">
        <v>1</v>
      </c>
      <c r="J287" s="15">
        <v>1</v>
      </c>
      <c r="K287" s="15">
        <v>0.65775039544805614</v>
      </c>
      <c r="M287" s="15">
        <v>23.885010266940451</v>
      </c>
      <c r="N287" s="15">
        <v>0.75111859980458362</v>
      </c>
    </row>
    <row r="288" spans="1:14" x14ac:dyDescent="0.25">
      <c r="A288" s="13" t="s">
        <v>428</v>
      </c>
      <c r="B288">
        <v>70.833675564681727</v>
      </c>
      <c r="C288" s="1">
        <v>0</v>
      </c>
      <c r="D288">
        <v>1</v>
      </c>
      <c r="F288" s="15">
        <v>32.919917864476389</v>
      </c>
      <c r="G288" s="1">
        <v>352</v>
      </c>
      <c r="H288" s="1">
        <v>1</v>
      </c>
      <c r="I288" s="1">
        <v>0</v>
      </c>
      <c r="J288" s="15">
        <v>0.99715909090909094</v>
      </c>
      <c r="K288" s="15">
        <v>0.65588178637007877</v>
      </c>
      <c r="M288" s="15">
        <v>23.885010266940451</v>
      </c>
      <c r="N288" s="15">
        <v>0.74948927529307696</v>
      </c>
    </row>
    <row r="289" spans="1:14" x14ac:dyDescent="0.25">
      <c r="A289" s="13" t="s">
        <v>427</v>
      </c>
      <c r="B289">
        <v>49.248459958932237</v>
      </c>
      <c r="C289" s="1">
        <v>0</v>
      </c>
      <c r="D289">
        <v>1</v>
      </c>
      <c r="F289" s="15">
        <v>33.281314168377826</v>
      </c>
      <c r="G289" s="1">
        <v>351</v>
      </c>
      <c r="H289" s="1">
        <v>0</v>
      </c>
      <c r="I289" s="1">
        <v>1</v>
      </c>
      <c r="J289" s="15">
        <v>1</v>
      </c>
      <c r="K289" s="15">
        <v>0.65588178637007877</v>
      </c>
      <c r="M289" s="15">
        <v>23.950718685831621</v>
      </c>
      <c r="N289" s="15">
        <v>0.74948927529307696</v>
      </c>
    </row>
    <row r="290" spans="1:14" x14ac:dyDescent="0.25">
      <c r="A290" s="13" t="s">
        <v>426</v>
      </c>
      <c r="B290">
        <v>66.69404517453799</v>
      </c>
      <c r="C290" s="1">
        <v>0</v>
      </c>
      <c r="D290">
        <v>1</v>
      </c>
      <c r="F290" s="15">
        <v>34.036960985626287</v>
      </c>
      <c r="G290" s="1">
        <v>350</v>
      </c>
      <c r="H290" s="1">
        <v>1</v>
      </c>
      <c r="I290" s="1">
        <v>0</v>
      </c>
      <c r="J290" s="15">
        <v>0.99714285714285711</v>
      </c>
      <c r="K290" s="15">
        <v>0.65400783840902132</v>
      </c>
      <c r="M290" s="15">
        <v>23.950718685831621</v>
      </c>
      <c r="N290" s="15">
        <v>0.7478599507815703</v>
      </c>
    </row>
    <row r="291" spans="1:14" x14ac:dyDescent="0.25">
      <c r="A291" s="13" t="s">
        <v>425</v>
      </c>
      <c r="B291">
        <v>18.82546201232033</v>
      </c>
      <c r="C291" s="1">
        <v>1</v>
      </c>
      <c r="D291">
        <v>1</v>
      </c>
      <c r="F291" s="15">
        <v>34.266940451745377</v>
      </c>
      <c r="G291" s="1">
        <v>349</v>
      </c>
      <c r="H291" s="1">
        <v>1</v>
      </c>
      <c r="I291" s="1">
        <v>0</v>
      </c>
      <c r="J291" s="15">
        <v>0.99713467048710602</v>
      </c>
      <c r="K291" s="15">
        <v>0.65213389044796399</v>
      </c>
      <c r="M291" s="15">
        <v>23.983572895277206</v>
      </c>
      <c r="N291" s="15">
        <v>0.7478599507815703</v>
      </c>
    </row>
    <row r="292" spans="1:14" x14ac:dyDescent="0.25">
      <c r="A292" s="13" t="s">
        <v>424</v>
      </c>
      <c r="B292">
        <v>54.735112936344969</v>
      </c>
      <c r="C292" s="1">
        <v>0</v>
      </c>
      <c r="D292">
        <v>1</v>
      </c>
      <c r="F292" s="15">
        <v>34.792607802874741</v>
      </c>
      <c r="G292" s="1">
        <v>348</v>
      </c>
      <c r="H292" s="1">
        <v>1</v>
      </c>
      <c r="I292" s="1">
        <v>0</v>
      </c>
      <c r="J292" s="15">
        <v>0.99712643678160917</v>
      </c>
      <c r="K292" s="15">
        <v>0.65025994248690666</v>
      </c>
      <c r="M292" s="15">
        <v>23.983572895277206</v>
      </c>
      <c r="N292" s="15">
        <v>0.74623062627006365</v>
      </c>
    </row>
    <row r="293" spans="1:14" x14ac:dyDescent="0.25">
      <c r="A293" s="13" t="s">
        <v>423</v>
      </c>
      <c r="B293">
        <v>65.01848049281314</v>
      </c>
      <c r="C293" s="1">
        <v>0</v>
      </c>
      <c r="D293">
        <v>1</v>
      </c>
      <c r="F293" s="15">
        <v>34.891170431211499</v>
      </c>
      <c r="G293" s="1">
        <v>347</v>
      </c>
      <c r="H293" s="1">
        <v>0</v>
      </c>
      <c r="I293" s="1">
        <v>1</v>
      </c>
      <c r="J293" s="15">
        <v>1</v>
      </c>
      <c r="K293" s="15">
        <v>0.65025994248690666</v>
      </c>
      <c r="M293" s="15">
        <v>24.016427104722794</v>
      </c>
      <c r="N293" s="15">
        <v>0.74623062627006365</v>
      </c>
    </row>
    <row r="294" spans="1:14" x14ac:dyDescent="0.25">
      <c r="A294" s="13" t="s">
        <v>422</v>
      </c>
      <c r="B294">
        <v>58.677618069815196</v>
      </c>
      <c r="C294" s="1">
        <v>0</v>
      </c>
      <c r="D294">
        <v>1</v>
      </c>
      <c r="F294" s="15">
        <v>35.383983572895275</v>
      </c>
      <c r="G294" s="1">
        <v>346</v>
      </c>
      <c r="H294" s="1">
        <v>0</v>
      </c>
      <c r="I294" s="1">
        <v>1</v>
      </c>
      <c r="J294" s="15">
        <v>1</v>
      </c>
      <c r="K294" s="15">
        <v>0.65025994248690666</v>
      </c>
      <c r="M294" s="15">
        <v>24.016427104722794</v>
      </c>
      <c r="N294" s="15">
        <v>0.74460130175855699</v>
      </c>
    </row>
    <row r="295" spans="1:14" x14ac:dyDescent="0.25">
      <c r="A295" s="13" t="s">
        <v>421</v>
      </c>
      <c r="B295">
        <v>60.681724845995895</v>
      </c>
      <c r="C295" s="1">
        <v>0</v>
      </c>
      <c r="D295">
        <v>1</v>
      </c>
      <c r="F295" s="15">
        <v>35.416837782340863</v>
      </c>
      <c r="G295" s="1">
        <v>345</v>
      </c>
      <c r="H295" s="1">
        <v>0</v>
      </c>
      <c r="I295" s="1">
        <v>1</v>
      </c>
      <c r="J295" s="15">
        <v>1</v>
      </c>
      <c r="K295" s="15">
        <v>0.65025994248690666</v>
      </c>
      <c r="M295" s="15">
        <v>24.049281314168379</v>
      </c>
      <c r="N295" s="15">
        <v>0.74460130175855699</v>
      </c>
    </row>
    <row r="296" spans="1:14" x14ac:dyDescent="0.25">
      <c r="A296" s="13" t="s">
        <v>420</v>
      </c>
      <c r="B296">
        <v>66.004106776180691</v>
      </c>
      <c r="C296" s="1">
        <v>0</v>
      </c>
      <c r="D296">
        <v>1</v>
      </c>
      <c r="F296" s="15">
        <v>35.482546201232033</v>
      </c>
      <c r="G296" s="1">
        <v>344</v>
      </c>
      <c r="H296" s="1">
        <v>1</v>
      </c>
      <c r="I296" s="1">
        <v>0</v>
      </c>
      <c r="J296" s="15">
        <v>0.99709302325581395</v>
      </c>
      <c r="K296" s="15">
        <v>0.64836965195642149</v>
      </c>
      <c r="M296" s="15">
        <v>24.049281314168379</v>
      </c>
      <c r="N296" s="15">
        <v>0.74297197724705033</v>
      </c>
    </row>
    <row r="297" spans="1:14" x14ac:dyDescent="0.25">
      <c r="A297" s="13" t="s">
        <v>419</v>
      </c>
      <c r="B297">
        <v>63.277207392197127</v>
      </c>
      <c r="C297" s="1">
        <v>0</v>
      </c>
      <c r="D297">
        <v>1</v>
      </c>
      <c r="F297" s="15">
        <v>35.745379876796711</v>
      </c>
      <c r="G297" s="1">
        <v>343</v>
      </c>
      <c r="H297" s="1">
        <v>0</v>
      </c>
      <c r="I297" s="1">
        <v>1</v>
      </c>
      <c r="J297" s="15">
        <v>1</v>
      </c>
      <c r="K297" s="15">
        <v>0.64836965195642149</v>
      </c>
      <c r="M297" s="15">
        <v>24.377823408624231</v>
      </c>
      <c r="N297" s="15">
        <v>0.74297197724705033</v>
      </c>
    </row>
    <row r="298" spans="1:14" x14ac:dyDescent="0.25">
      <c r="A298" s="13" t="s">
        <v>418</v>
      </c>
      <c r="B298">
        <v>48.95277207392197</v>
      </c>
      <c r="C298" s="1">
        <v>0</v>
      </c>
      <c r="D298">
        <v>1</v>
      </c>
      <c r="F298" s="15">
        <v>35.7782340862423</v>
      </c>
      <c r="G298" s="1">
        <v>342</v>
      </c>
      <c r="H298" s="1">
        <v>0</v>
      </c>
      <c r="I298" s="1">
        <v>2</v>
      </c>
      <c r="J298" s="15">
        <v>1</v>
      </c>
      <c r="K298" s="15">
        <v>0.64836965195642149</v>
      </c>
      <c r="M298" s="15">
        <v>24.377823408624231</v>
      </c>
      <c r="N298" s="15">
        <v>0.74131725123981862</v>
      </c>
    </row>
    <row r="299" spans="1:14" x14ac:dyDescent="0.25">
      <c r="A299" s="13" t="s">
        <v>417</v>
      </c>
      <c r="B299">
        <v>7.655030800821355</v>
      </c>
      <c r="C299" s="1">
        <v>1</v>
      </c>
      <c r="D299">
        <v>1</v>
      </c>
      <c r="F299" s="15">
        <v>35.811088295687888</v>
      </c>
      <c r="G299" s="1">
        <v>340</v>
      </c>
      <c r="H299" s="1">
        <v>1</v>
      </c>
      <c r="I299" s="1">
        <v>1</v>
      </c>
      <c r="J299" s="15">
        <v>0.99705882352941178</v>
      </c>
      <c r="K299" s="15">
        <v>0.64646268239184379</v>
      </c>
      <c r="M299" s="15">
        <v>24.476386036960985</v>
      </c>
      <c r="N299" s="15">
        <v>0.74131725123981862</v>
      </c>
    </row>
    <row r="300" spans="1:14" x14ac:dyDescent="0.25">
      <c r="A300" s="13" t="s">
        <v>416</v>
      </c>
      <c r="B300">
        <v>40.739219712525667</v>
      </c>
      <c r="C300" s="1">
        <v>0</v>
      </c>
      <c r="D300">
        <v>1</v>
      </c>
      <c r="F300" s="15">
        <v>35.843942505133469</v>
      </c>
      <c r="G300" s="1">
        <v>338</v>
      </c>
      <c r="H300" s="1">
        <v>0</v>
      </c>
      <c r="I300" s="1">
        <v>1</v>
      </c>
      <c r="J300" s="15">
        <v>1</v>
      </c>
      <c r="K300" s="15">
        <v>0.64646268239184379</v>
      </c>
      <c r="M300" s="15">
        <v>24.476386036960985</v>
      </c>
      <c r="N300" s="15">
        <v>0.7396625252325868</v>
      </c>
    </row>
    <row r="301" spans="1:14" x14ac:dyDescent="0.25">
      <c r="A301" s="13" t="s">
        <v>415</v>
      </c>
      <c r="B301">
        <v>57.52772073921971</v>
      </c>
      <c r="C301" s="1">
        <v>0</v>
      </c>
      <c r="D301">
        <v>1</v>
      </c>
      <c r="F301" s="15">
        <v>35.909650924024639</v>
      </c>
      <c r="G301" s="1">
        <v>337</v>
      </c>
      <c r="H301" s="1">
        <v>1</v>
      </c>
      <c r="I301" s="1">
        <v>1</v>
      </c>
      <c r="J301" s="15">
        <v>0.9970326409495549</v>
      </c>
      <c r="K301" s="15">
        <v>0.64454439550047338</v>
      </c>
      <c r="M301" s="15">
        <v>24.542094455852155</v>
      </c>
      <c r="N301" s="15">
        <v>0.7396625252325868</v>
      </c>
    </row>
    <row r="302" spans="1:14" x14ac:dyDescent="0.25">
      <c r="A302" s="13" t="s">
        <v>414</v>
      </c>
      <c r="B302">
        <v>61.700205338809035</v>
      </c>
      <c r="C302" s="1">
        <v>0</v>
      </c>
      <c r="D302">
        <v>1</v>
      </c>
      <c r="F302" s="15">
        <v>35.942505133470227</v>
      </c>
      <c r="G302" s="1">
        <v>335</v>
      </c>
      <c r="H302" s="1">
        <v>1</v>
      </c>
      <c r="I302" s="1">
        <v>1</v>
      </c>
      <c r="J302" s="15">
        <v>0.9970149253731343</v>
      </c>
      <c r="K302" s="15">
        <v>0.64262038237957642</v>
      </c>
      <c r="M302" s="15">
        <v>24.542094455852155</v>
      </c>
      <c r="N302" s="15">
        <v>0.73800779922535509</v>
      </c>
    </row>
    <row r="303" spans="1:14" x14ac:dyDescent="0.25">
      <c r="A303" s="13" t="s">
        <v>413</v>
      </c>
      <c r="B303">
        <v>38.47227926078029</v>
      </c>
      <c r="C303" s="1">
        <v>0</v>
      </c>
      <c r="D303">
        <v>1</v>
      </c>
      <c r="F303" s="15">
        <v>35.975359342915809</v>
      </c>
      <c r="G303" s="1">
        <v>333</v>
      </c>
      <c r="H303" s="1">
        <v>0</v>
      </c>
      <c r="I303" s="1">
        <v>2</v>
      </c>
      <c r="J303" s="15">
        <v>1</v>
      </c>
      <c r="K303" s="15">
        <v>0.64262038237957642</v>
      </c>
      <c r="M303" s="15">
        <v>24.57494866529774</v>
      </c>
      <c r="N303" s="15">
        <v>0.73800779922535509</v>
      </c>
    </row>
    <row r="304" spans="1:14" x14ac:dyDescent="0.25">
      <c r="A304" s="13" t="s">
        <v>412</v>
      </c>
      <c r="B304">
        <v>57.52772073921971</v>
      </c>
      <c r="C304" s="1">
        <v>0</v>
      </c>
      <c r="D304">
        <v>1</v>
      </c>
      <c r="F304" s="15">
        <v>36.139630390143736</v>
      </c>
      <c r="G304" s="1">
        <v>331</v>
      </c>
      <c r="H304" s="1">
        <v>0</v>
      </c>
      <c r="I304" s="1">
        <v>1</v>
      </c>
      <c r="J304" s="15">
        <v>1</v>
      </c>
      <c r="K304" s="15">
        <v>0.64262038237957642</v>
      </c>
      <c r="M304" s="15">
        <v>24.57494866529774</v>
      </c>
      <c r="N304" s="15">
        <v>0.7363493547327139</v>
      </c>
    </row>
    <row r="305" spans="1:14" x14ac:dyDescent="0.25">
      <c r="A305" s="13" t="s">
        <v>411</v>
      </c>
      <c r="B305">
        <v>57.691991786447637</v>
      </c>
      <c r="C305" s="1">
        <v>0</v>
      </c>
      <c r="D305">
        <v>1</v>
      </c>
      <c r="F305" s="15">
        <v>36.303901437371664</v>
      </c>
      <c r="G305" s="1">
        <v>330</v>
      </c>
      <c r="H305" s="1">
        <v>2</v>
      </c>
      <c r="I305" s="1">
        <v>0</v>
      </c>
      <c r="J305" s="15">
        <v>0.9939393939393939</v>
      </c>
      <c r="K305" s="15">
        <v>0.63872571339545769</v>
      </c>
      <c r="M305" s="15">
        <v>24.772073921971252</v>
      </c>
      <c r="N305" s="15">
        <v>0.7363493547327139</v>
      </c>
    </row>
    <row r="306" spans="1:14" x14ac:dyDescent="0.25">
      <c r="A306" s="13" t="s">
        <v>410</v>
      </c>
      <c r="B306">
        <v>23.457905544147845</v>
      </c>
      <c r="C306" s="1">
        <v>1</v>
      </c>
      <c r="D306">
        <v>1</v>
      </c>
      <c r="F306" s="15">
        <v>36.402464065708422</v>
      </c>
      <c r="G306" s="1">
        <v>328</v>
      </c>
      <c r="H306" s="1">
        <v>1</v>
      </c>
      <c r="I306" s="1">
        <v>0</v>
      </c>
      <c r="J306" s="15">
        <v>0.99695121951219512</v>
      </c>
      <c r="K306" s="15">
        <v>0.63677837890339839</v>
      </c>
      <c r="M306" s="15">
        <v>24.772073921971252</v>
      </c>
      <c r="N306" s="15">
        <v>0.73468340596635029</v>
      </c>
    </row>
    <row r="307" spans="1:14" x14ac:dyDescent="0.25">
      <c r="A307" s="13" t="s">
        <v>409</v>
      </c>
      <c r="B307">
        <v>49.445585215605746</v>
      </c>
      <c r="C307" s="1">
        <v>0</v>
      </c>
      <c r="D307">
        <v>1</v>
      </c>
      <c r="F307" s="15">
        <v>36.435318275154003</v>
      </c>
      <c r="G307" s="1">
        <v>327</v>
      </c>
      <c r="H307" s="1">
        <v>0</v>
      </c>
      <c r="I307" s="1">
        <v>1</v>
      </c>
      <c r="J307" s="15">
        <v>1</v>
      </c>
      <c r="K307" s="15">
        <v>0.63677837890339839</v>
      </c>
      <c r="M307" s="15">
        <v>24.804928131416837</v>
      </c>
      <c r="N307" s="15">
        <v>0.73468340596635029</v>
      </c>
    </row>
    <row r="308" spans="1:14" x14ac:dyDescent="0.25">
      <c r="A308" s="13" t="s">
        <v>408</v>
      </c>
      <c r="B308">
        <v>25.494866529774129</v>
      </c>
      <c r="C308" s="1">
        <v>1</v>
      </c>
      <c r="D308">
        <v>1</v>
      </c>
      <c r="F308" s="15">
        <v>36.566735112936342</v>
      </c>
      <c r="G308" s="1">
        <v>326</v>
      </c>
      <c r="H308" s="1">
        <v>0</v>
      </c>
      <c r="I308" s="1">
        <v>1</v>
      </c>
      <c r="J308" s="15">
        <v>1</v>
      </c>
      <c r="K308" s="15">
        <v>0.63677837890339839</v>
      </c>
      <c r="M308" s="15">
        <v>24.804928131416837</v>
      </c>
      <c r="N308" s="15">
        <v>0.73301745719998668</v>
      </c>
    </row>
    <row r="309" spans="1:14" x14ac:dyDescent="0.25">
      <c r="A309" s="13" t="s">
        <v>407</v>
      </c>
      <c r="B309">
        <v>47.408624229979466</v>
      </c>
      <c r="C309" s="1">
        <v>0</v>
      </c>
      <c r="D309">
        <v>1</v>
      </c>
      <c r="F309" s="15">
        <v>36.599589322381931</v>
      </c>
      <c r="G309" s="1">
        <v>325</v>
      </c>
      <c r="H309" s="1">
        <v>0</v>
      </c>
      <c r="I309" s="1">
        <v>1</v>
      </c>
      <c r="J309" s="15">
        <v>1</v>
      </c>
      <c r="K309" s="15">
        <v>0.63677837890339839</v>
      </c>
      <c r="M309" s="15">
        <v>25.034907597535934</v>
      </c>
      <c r="N309" s="15">
        <v>0.73301745719998668</v>
      </c>
    </row>
    <row r="310" spans="1:14" x14ac:dyDescent="0.25">
      <c r="A310" s="13" t="s">
        <v>406</v>
      </c>
      <c r="B310">
        <v>43.26899383983573</v>
      </c>
      <c r="C310" s="1">
        <v>0</v>
      </c>
      <c r="D310">
        <v>1</v>
      </c>
      <c r="F310" s="15">
        <v>36.698151950718689</v>
      </c>
      <c r="G310" s="1">
        <v>324</v>
      </c>
      <c r="H310" s="1">
        <v>0</v>
      </c>
      <c r="I310" s="1">
        <v>1</v>
      </c>
      <c r="J310" s="15">
        <v>1</v>
      </c>
      <c r="K310" s="15">
        <v>0.63677837890339839</v>
      </c>
      <c r="M310" s="15">
        <v>25.034907597535934</v>
      </c>
      <c r="N310" s="15">
        <v>0.73134007171440318</v>
      </c>
    </row>
    <row r="311" spans="1:14" x14ac:dyDescent="0.25">
      <c r="A311" s="13" t="s">
        <v>405</v>
      </c>
      <c r="B311">
        <v>28.583162217659137</v>
      </c>
      <c r="C311" s="1">
        <v>0</v>
      </c>
      <c r="D311">
        <v>1</v>
      </c>
      <c r="F311" s="15">
        <v>36.763860369609858</v>
      </c>
      <c r="G311" s="1">
        <v>323</v>
      </c>
      <c r="H311" s="1">
        <v>0</v>
      </c>
      <c r="I311" s="1">
        <v>1</v>
      </c>
      <c r="J311" s="15">
        <v>1</v>
      </c>
      <c r="K311" s="15">
        <v>0.63677837890339839</v>
      </c>
      <c r="M311" s="15">
        <v>25.264887063655031</v>
      </c>
      <c r="N311" s="15">
        <v>0.73134007171440318</v>
      </c>
    </row>
    <row r="312" spans="1:14" x14ac:dyDescent="0.25">
      <c r="A312" s="13" t="s">
        <v>404</v>
      </c>
      <c r="B312">
        <v>28.2217659137577</v>
      </c>
      <c r="C312" s="1">
        <v>1</v>
      </c>
      <c r="D312">
        <v>1</v>
      </c>
      <c r="F312" s="15">
        <v>36.79671457905544</v>
      </c>
      <c r="G312" s="1">
        <v>322</v>
      </c>
      <c r="H312" s="1">
        <v>1</v>
      </c>
      <c r="I312" s="1">
        <v>0</v>
      </c>
      <c r="J312" s="15">
        <v>0.99689440993788825</v>
      </c>
      <c r="K312" s="15">
        <v>0.63480080629810831</v>
      </c>
      <c r="M312" s="15">
        <v>25.264887063655031</v>
      </c>
      <c r="N312" s="15">
        <v>0.72965495634178934</v>
      </c>
    </row>
    <row r="313" spans="1:14" x14ac:dyDescent="0.25">
      <c r="A313" s="13" t="s">
        <v>403</v>
      </c>
      <c r="B313">
        <v>7.3264887063655033</v>
      </c>
      <c r="C313" s="1">
        <v>1</v>
      </c>
      <c r="D313">
        <v>1</v>
      </c>
      <c r="F313" s="15">
        <v>36.960985626283367</v>
      </c>
      <c r="G313" s="1">
        <v>321</v>
      </c>
      <c r="H313" s="1">
        <v>0</v>
      </c>
      <c r="I313" s="1">
        <v>1</v>
      </c>
      <c r="J313" s="15">
        <v>1</v>
      </c>
      <c r="K313" s="15">
        <v>0.63480080629810831</v>
      </c>
      <c r="M313" s="15">
        <v>25.363449691991786</v>
      </c>
      <c r="N313" s="15">
        <v>0.72965495634178934</v>
      </c>
    </row>
    <row r="314" spans="1:14" x14ac:dyDescent="0.25">
      <c r="A314" s="13" t="s">
        <v>402</v>
      </c>
      <c r="B314">
        <v>39.819301848049278</v>
      </c>
      <c r="C314" s="1">
        <v>0</v>
      </c>
      <c r="D314">
        <v>1</v>
      </c>
      <c r="F314" s="15">
        <v>37.453798767967143</v>
      </c>
      <c r="G314" s="1">
        <v>320</v>
      </c>
      <c r="H314" s="1">
        <v>1</v>
      </c>
      <c r="I314" s="1">
        <v>0</v>
      </c>
      <c r="J314" s="15">
        <v>0.99687499999999996</v>
      </c>
      <c r="K314" s="15">
        <v>0.63281705377842667</v>
      </c>
      <c r="M314" s="15">
        <v>25.363449691991786</v>
      </c>
      <c r="N314" s="15">
        <v>0.72796594023914629</v>
      </c>
    </row>
    <row r="315" spans="1:14" x14ac:dyDescent="0.25">
      <c r="A315" s="13" t="s">
        <v>401</v>
      </c>
      <c r="B315">
        <v>36.763860369609858</v>
      </c>
      <c r="C315" s="1">
        <v>0</v>
      </c>
      <c r="D315">
        <v>1</v>
      </c>
      <c r="F315" s="15">
        <v>37.650924024640659</v>
      </c>
      <c r="G315" s="1">
        <v>319</v>
      </c>
      <c r="H315" s="1">
        <v>1</v>
      </c>
      <c r="I315" s="1">
        <v>0</v>
      </c>
      <c r="J315" s="15">
        <v>0.99686520376175547</v>
      </c>
      <c r="K315" s="15">
        <v>0.63083330125874504</v>
      </c>
      <c r="M315" s="15">
        <v>25.494866529774129</v>
      </c>
      <c r="N315" s="15">
        <v>0.72796594023914629</v>
      </c>
    </row>
    <row r="316" spans="1:14" x14ac:dyDescent="0.25">
      <c r="A316" s="13" t="s">
        <v>400</v>
      </c>
      <c r="B316">
        <v>24.312114989733061</v>
      </c>
      <c r="C316" s="1">
        <v>0</v>
      </c>
      <c r="D316">
        <v>1</v>
      </c>
      <c r="F316" s="15">
        <v>37.782340862422998</v>
      </c>
      <c r="G316" s="1">
        <v>318</v>
      </c>
      <c r="H316" s="1">
        <v>1</v>
      </c>
      <c r="I316" s="1">
        <v>0</v>
      </c>
      <c r="J316" s="15">
        <v>0.99685534591194969</v>
      </c>
      <c r="K316" s="15">
        <v>0.6288495487390634</v>
      </c>
      <c r="M316" s="15">
        <v>25.494866529774129</v>
      </c>
      <c r="N316" s="15">
        <v>0.72627299619207852</v>
      </c>
    </row>
    <row r="317" spans="1:14" x14ac:dyDescent="0.25">
      <c r="A317" s="13" t="s">
        <v>399</v>
      </c>
      <c r="B317">
        <v>34.891170431211499</v>
      </c>
      <c r="C317" s="1">
        <v>0</v>
      </c>
      <c r="D317">
        <v>1</v>
      </c>
      <c r="F317" s="15">
        <v>37.848049281314168</v>
      </c>
      <c r="G317" s="1">
        <v>317</v>
      </c>
      <c r="H317" s="1">
        <v>0</v>
      </c>
      <c r="I317" s="1">
        <v>2</v>
      </c>
      <c r="J317" s="15">
        <v>1</v>
      </c>
      <c r="K317" s="15">
        <v>0.6288495487390634</v>
      </c>
      <c r="M317" s="15">
        <v>25.757700205338811</v>
      </c>
      <c r="N317" s="15">
        <v>0.72627299619207852</v>
      </c>
    </row>
    <row r="318" spans="1:14" x14ac:dyDescent="0.25">
      <c r="A318" s="13" t="s">
        <v>398</v>
      </c>
      <c r="B318">
        <v>0.26283367556468173</v>
      </c>
      <c r="C318" s="1">
        <v>0</v>
      </c>
      <c r="D318">
        <v>1</v>
      </c>
      <c r="F318" s="15">
        <v>38.012320328542096</v>
      </c>
      <c r="G318" s="1">
        <v>315</v>
      </c>
      <c r="H318" s="1">
        <v>1</v>
      </c>
      <c r="I318" s="1">
        <v>0</v>
      </c>
      <c r="J318" s="15">
        <v>0.99682539682539684</v>
      </c>
      <c r="K318" s="15">
        <v>0.62685320096528863</v>
      </c>
      <c r="M318" s="15">
        <v>25.757700205338811</v>
      </c>
      <c r="N318" s="15">
        <v>0.72457609666826528</v>
      </c>
    </row>
    <row r="319" spans="1:14" x14ac:dyDescent="0.25">
      <c r="A319" s="13" t="s">
        <v>397</v>
      </c>
      <c r="B319">
        <v>30.751540041067763</v>
      </c>
      <c r="C319" s="1">
        <v>0</v>
      </c>
      <c r="D319">
        <v>1</v>
      </c>
      <c r="F319" s="15">
        <v>38.176591375770023</v>
      </c>
      <c r="G319" s="1">
        <v>314</v>
      </c>
      <c r="H319" s="1">
        <v>1</v>
      </c>
      <c r="I319" s="1">
        <v>0</v>
      </c>
      <c r="J319" s="15">
        <v>0.99681528662420382</v>
      </c>
      <c r="K319" s="15">
        <v>0.62485685319151385</v>
      </c>
      <c r="M319" s="15">
        <v>25.95482546201232</v>
      </c>
      <c r="N319" s="15">
        <v>0.72457609666826528</v>
      </c>
    </row>
    <row r="320" spans="1:14" x14ac:dyDescent="0.25">
      <c r="A320" s="13" t="s">
        <v>396</v>
      </c>
      <c r="B320">
        <v>24.312114989733061</v>
      </c>
      <c r="C320" s="1">
        <v>0</v>
      </c>
      <c r="D320">
        <v>1</v>
      </c>
      <c r="F320" s="15">
        <v>38.209445585215605</v>
      </c>
      <c r="G320" s="1">
        <v>313</v>
      </c>
      <c r="H320" s="1">
        <v>0</v>
      </c>
      <c r="I320" s="1">
        <v>1</v>
      </c>
      <c r="J320" s="15">
        <v>1</v>
      </c>
      <c r="K320" s="15">
        <v>0.62485685319151385</v>
      </c>
      <c r="M320" s="15">
        <v>25.95482546201232</v>
      </c>
      <c r="N320" s="15">
        <v>0.72287919714445203</v>
      </c>
    </row>
    <row r="321" spans="1:14" x14ac:dyDescent="0.25">
      <c r="A321" s="13" t="s">
        <v>395</v>
      </c>
      <c r="B321">
        <v>20.763860369609855</v>
      </c>
      <c r="C321" s="1">
        <v>1</v>
      </c>
      <c r="D321">
        <v>1</v>
      </c>
      <c r="F321" s="15">
        <v>38.242299794661193</v>
      </c>
      <c r="G321" s="1">
        <v>312</v>
      </c>
      <c r="H321" s="1">
        <v>1</v>
      </c>
      <c r="I321" s="1">
        <v>0</v>
      </c>
      <c r="J321" s="15">
        <v>0.99679487179487181</v>
      </c>
      <c r="K321" s="15">
        <v>0.62285410686718212</v>
      </c>
      <c r="M321" s="15">
        <v>26.119096509240247</v>
      </c>
      <c r="N321" s="15">
        <v>0.72287919714445203</v>
      </c>
    </row>
    <row r="322" spans="1:14" x14ac:dyDescent="0.25">
      <c r="A322" s="13" t="s">
        <v>394</v>
      </c>
      <c r="B322">
        <v>57.823408624229977</v>
      </c>
      <c r="C322" s="1">
        <v>0</v>
      </c>
      <c r="D322">
        <v>1</v>
      </c>
      <c r="F322" s="15">
        <v>38.340862422997944</v>
      </c>
      <c r="G322" s="1">
        <v>311</v>
      </c>
      <c r="H322" s="1">
        <v>0</v>
      </c>
      <c r="I322" s="1">
        <v>1</v>
      </c>
      <c r="J322" s="15">
        <v>1</v>
      </c>
      <c r="K322" s="15">
        <v>0.62285410686718212</v>
      </c>
      <c r="M322" s="15">
        <v>26.119096509240247</v>
      </c>
      <c r="N322" s="15">
        <v>0.72117830491587687</v>
      </c>
    </row>
    <row r="323" spans="1:14" x14ac:dyDescent="0.25">
      <c r="A323" s="13" t="s">
        <v>393</v>
      </c>
      <c r="B323">
        <v>33.281314168377826</v>
      </c>
      <c r="C323" s="1">
        <v>0</v>
      </c>
      <c r="D323">
        <v>1</v>
      </c>
      <c r="F323" s="15">
        <v>38.406570841889121</v>
      </c>
      <c r="G323" s="1">
        <v>310</v>
      </c>
      <c r="H323" s="1">
        <v>0</v>
      </c>
      <c r="I323" s="1">
        <v>1</v>
      </c>
      <c r="J323" s="15">
        <v>1</v>
      </c>
      <c r="K323" s="15">
        <v>0.62285410686718212</v>
      </c>
      <c r="M323" s="15">
        <v>26.184804928131417</v>
      </c>
      <c r="N323" s="15">
        <v>0.72117830491587687</v>
      </c>
    </row>
    <row r="324" spans="1:14" x14ac:dyDescent="0.25">
      <c r="A324" s="13" t="s">
        <v>392</v>
      </c>
      <c r="B324">
        <v>25.593429158110883</v>
      </c>
      <c r="C324" s="1">
        <v>0</v>
      </c>
      <c r="D324">
        <v>1</v>
      </c>
      <c r="F324" s="15">
        <v>38.439425051334702</v>
      </c>
      <c r="G324" s="1">
        <v>309</v>
      </c>
      <c r="H324" s="1">
        <v>1</v>
      </c>
      <c r="I324" s="1">
        <v>0</v>
      </c>
      <c r="J324" s="15">
        <v>0.99676375404530748</v>
      </c>
      <c r="K324" s="15">
        <v>0.62083839778346961</v>
      </c>
      <c r="M324" s="15">
        <v>26.184804928131417</v>
      </c>
      <c r="N324" s="15">
        <v>0.71777652045872642</v>
      </c>
    </row>
    <row r="325" spans="1:14" x14ac:dyDescent="0.25">
      <c r="A325" s="13" t="s">
        <v>391</v>
      </c>
      <c r="B325">
        <v>12.320328542094456</v>
      </c>
      <c r="C325" s="1">
        <v>1</v>
      </c>
      <c r="D325">
        <v>1</v>
      </c>
      <c r="F325" s="15">
        <v>38.47227926078029</v>
      </c>
      <c r="G325" s="1">
        <v>308</v>
      </c>
      <c r="H325" s="1">
        <v>0</v>
      </c>
      <c r="I325" s="1">
        <v>1</v>
      </c>
      <c r="J325" s="15">
        <v>1</v>
      </c>
      <c r="K325" s="15">
        <v>0.62083839778346961</v>
      </c>
      <c r="M325" s="15">
        <v>26.250513347022586</v>
      </c>
      <c r="N325" s="15">
        <v>0.71777652045872642</v>
      </c>
    </row>
    <row r="326" spans="1:14" x14ac:dyDescent="0.25">
      <c r="A326" s="13" t="s">
        <v>390</v>
      </c>
      <c r="B326">
        <v>43.466119096509239</v>
      </c>
      <c r="C326" s="1">
        <v>0</v>
      </c>
      <c r="D326">
        <v>1</v>
      </c>
      <c r="F326" s="15">
        <v>38.570841889117041</v>
      </c>
      <c r="G326" s="1">
        <v>307</v>
      </c>
      <c r="H326" s="1">
        <v>1</v>
      </c>
      <c r="I326" s="1">
        <v>0</v>
      </c>
      <c r="J326" s="15">
        <v>0.99674267100977199</v>
      </c>
      <c r="K326" s="15">
        <v>0.61881612287212284</v>
      </c>
      <c r="M326" s="15">
        <v>26.250513347022586</v>
      </c>
      <c r="N326" s="15">
        <v>0.71607158810609284</v>
      </c>
    </row>
    <row r="327" spans="1:14" x14ac:dyDescent="0.25">
      <c r="A327" s="13" t="s">
        <v>389</v>
      </c>
      <c r="B327">
        <v>40.50924024640657</v>
      </c>
      <c r="C327" s="1">
        <v>0</v>
      </c>
      <c r="D327">
        <v>1</v>
      </c>
      <c r="F327" s="15">
        <v>38.669404517453799</v>
      </c>
      <c r="G327" s="1">
        <v>306</v>
      </c>
      <c r="H327" s="1">
        <v>0</v>
      </c>
      <c r="I327" s="1">
        <v>1</v>
      </c>
      <c r="J327" s="15">
        <v>1</v>
      </c>
      <c r="K327" s="15">
        <v>0.61881612287212284</v>
      </c>
      <c r="M327" s="15">
        <v>26.316221765913756</v>
      </c>
      <c r="N327" s="15">
        <v>0.71607158810609284</v>
      </c>
    </row>
    <row r="328" spans="1:14" x14ac:dyDescent="0.25">
      <c r="A328" s="13" t="s">
        <v>388</v>
      </c>
      <c r="B328">
        <v>32.394250513347025</v>
      </c>
      <c r="C328" s="1">
        <v>0</v>
      </c>
      <c r="D328">
        <v>1</v>
      </c>
      <c r="F328" s="15">
        <v>38.833675564681727</v>
      </c>
      <c r="G328" s="1">
        <v>305</v>
      </c>
      <c r="H328" s="1">
        <v>0</v>
      </c>
      <c r="I328" s="1">
        <v>1</v>
      </c>
      <c r="J328" s="15">
        <v>1</v>
      </c>
      <c r="K328" s="15">
        <v>0.61881612287212284</v>
      </c>
      <c r="M328" s="15">
        <v>26.316221765913756</v>
      </c>
      <c r="N328" s="15">
        <v>0.71436665575345926</v>
      </c>
    </row>
    <row r="329" spans="1:14" x14ac:dyDescent="0.25">
      <c r="A329" s="13" t="s">
        <v>387</v>
      </c>
      <c r="B329">
        <v>21.355236139630389</v>
      </c>
      <c r="C329" s="1">
        <v>0</v>
      </c>
      <c r="D329">
        <v>1</v>
      </c>
      <c r="F329" s="15">
        <v>38.866529774127308</v>
      </c>
      <c r="G329" s="1">
        <v>304</v>
      </c>
      <c r="H329" s="1">
        <v>1</v>
      </c>
      <c r="I329" s="1">
        <v>0</v>
      </c>
      <c r="J329" s="15">
        <v>0.99671052631578949</v>
      </c>
      <c r="K329" s="15">
        <v>0.61678054352056977</v>
      </c>
      <c r="M329" s="15">
        <v>26.447638603696099</v>
      </c>
      <c r="N329" s="15">
        <v>0.71436665575345926</v>
      </c>
    </row>
    <row r="330" spans="1:14" x14ac:dyDescent="0.25">
      <c r="A330" s="13" t="s">
        <v>386</v>
      </c>
      <c r="B330">
        <v>20.632443531827516</v>
      </c>
      <c r="C330" s="1">
        <v>0</v>
      </c>
      <c r="D330">
        <v>1</v>
      </c>
      <c r="F330" s="15">
        <v>38.932238193018478</v>
      </c>
      <c r="G330" s="1">
        <v>303</v>
      </c>
      <c r="H330" s="1">
        <v>0</v>
      </c>
      <c r="I330" s="1">
        <v>1</v>
      </c>
      <c r="J330" s="15">
        <v>1</v>
      </c>
      <c r="K330" s="15">
        <v>0.61678054352056977</v>
      </c>
      <c r="M330" s="15">
        <v>26.447638603696099</v>
      </c>
      <c r="N330" s="15">
        <v>0.71266172340082568</v>
      </c>
    </row>
    <row r="331" spans="1:14" x14ac:dyDescent="0.25">
      <c r="A331" s="13" t="s">
        <v>385</v>
      </c>
      <c r="B331">
        <v>61.30595482546201</v>
      </c>
      <c r="C331" s="1">
        <v>0</v>
      </c>
      <c r="D331">
        <v>1</v>
      </c>
      <c r="F331" s="15">
        <v>39.162217659137575</v>
      </c>
      <c r="G331" s="1">
        <v>302</v>
      </c>
      <c r="H331" s="1">
        <v>1</v>
      </c>
      <c r="I331" s="1">
        <v>1</v>
      </c>
      <c r="J331" s="15">
        <v>0.99668874172185429</v>
      </c>
      <c r="K331" s="15">
        <v>0.61473822384003807</v>
      </c>
      <c r="M331" s="15">
        <v>26.90759753593429</v>
      </c>
      <c r="N331" s="15">
        <v>0.71266172340082568</v>
      </c>
    </row>
    <row r="332" spans="1:14" x14ac:dyDescent="0.25">
      <c r="A332" s="13" t="s">
        <v>384</v>
      </c>
      <c r="B332">
        <v>16.131416837782339</v>
      </c>
      <c r="C332" s="1">
        <v>1</v>
      </c>
      <c r="D332">
        <v>1</v>
      </c>
      <c r="F332" s="15">
        <v>39.195071868583163</v>
      </c>
      <c r="G332" s="1">
        <v>300</v>
      </c>
      <c r="H332" s="1">
        <v>1</v>
      </c>
      <c r="I332" s="1">
        <v>0</v>
      </c>
      <c r="J332" s="15">
        <v>0.9966666666666667</v>
      </c>
      <c r="K332" s="15">
        <v>0.61268909642723801</v>
      </c>
      <c r="M332" s="15">
        <v>26.90759753593429</v>
      </c>
      <c r="N332" s="15">
        <v>0.71095270248139919</v>
      </c>
    </row>
    <row r="333" spans="1:14" x14ac:dyDescent="0.25">
      <c r="A333" s="13" t="s">
        <v>383</v>
      </c>
      <c r="B333">
        <v>63.014373716632441</v>
      </c>
      <c r="C333" s="1">
        <v>1</v>
      </c>
      <c r="D333">
        <v>1</v>
      </c>
      <c r="F333" s="15">
        <v>39.260780287474333</v>
      </c>
      <c r="G333" s="1">
        <v>299</v>
      </c>
      <c r="H333" s="1">
        <v>0</v>
      </c>
      <c r="I333" s="1">
        <v>1</v>
      </c>
      <c r="J333" s="15">
        <v>1</v>
      </c>
      <c r="K333" s="15">
        <v>0.61268909642723801</v>
      </c>
      <c r="M333" s="15">
        <v>27.170431211498972</v>
      </c>
      <c r="N333" s="15">
        <v>0.71095270248139919</v>
      </c>
    </row>
    <row r="334" spans="1:14" x14ac:dyDescent="0.25">
      <c r="A334" s="13" t="s">
        <v>382</v>
      </c>
      <c r="B334">
        <v>2.3655030800821355</v>
      </c>
      <c r="C334" s="1">
        <v>1</v>
      </c>
      <c r="D334">
        <v>1</v>
      </c>
      <c r="F334" s="15">
        <v>39.589322381930188</v>
      </c>
      <c r="G334" s="1">
        <v>298</v>
      </c>
      <c r="H334" s="1">
        <v>0</v>
      </c>
      <c r="I334" s="1">
        <v>1</v>
      </c>
      <c r="J334" s="15">
        <v>1</v>
      </c>
      <c r="K334" s="15">
        <v>0.61268909642723801</v>
      </c>
      <c r="M334" s="15">
        <v>27.170431211498972</v>
      </c>
      <c r="N334" s="15">
        <v>0.70923956343927541</v>
      </c>
    </row>
    <row r="335" spans="1:14" x14ac:dyDescent="0.25">
      <c r="A335" s="13" t="s">
        <v>381</v>
      </c>
      <c r="B335">
        <v>37.453798767967143</v>
      </c>
      <c r="C335" s="1">
        <v>1</v>
      </c>
      <c r="D335">
        <v>1</v>
      </c>
      <c r="F335" s="15">
        <v>39.655030800821358</v>
      </c>
      <c r="G335" s="1">
        <v>297</v>
      </c>
      <c r="H335" s="1">
        <v>1</v>
      </c>
      <c r="I335" s="1">
        <v>0</v>
      </c>
      <c r="J335" s="15">
        <v>0.99663299663299665</v>
      </c>
      <c r="K335" s="15">
        <v>0.61062617017664123</v>
      </c>
      <c r="M335" s="15">
        <v>27.466119096509239</v>
      </c>
      <c r="N335" s="15">
        <v>0.70923956343927541</v>
      </c>
    </row>
    <row r="336" spans="1:14" x14ac:dyDescent="0.25">
      <c r="A336" s="13" t="s">
        <v>380</v>
      </c>
      <c r="B336">
        <v>26.250513347022586</v>
      </c>
      <c r="C336" s="1">
        <v>1</v>
      </c>
      <c r="D336">
        <v>1</v>
      </c>
      <c r="F336" s="15">
        <v>39.687885010266939</v>
      </c>
      <c r="G336" s="1">
        <v>296</v>
      </c>
      <c r="H336" s="1">
        <v>0</v>
      </c>
      <c r="I336" s="1">
        <v>1</v>
      </c>
      <c r="J336" s="15">
        <v>1</v>
      </c>
      <c r="K336" s="15">
        <v>0.61062617017664123</v>
      </c>
      <c r="M336" s="15">
        <v>27.466119096509239</v>
      </c>
      <c r="N336" s="15">
        <v>0.70752227636072995</v>
      </c>
    </row>
    <row r="337" spans="1:14" x14ac:dyDescent="0.25">
      <c r="A337" s="13" t="s">
        <v>379</v>
      </c>
      <c r="B337">
        <v>36.303901437371664</v>
      </c>
      <c r="C337" s="1">
        <v>1</v>
      </c>
      <c r="D337">
        <v>1</v>
      </c>
      <c r="F337" s="15">
        <v>39.819301848049278</v>
      </c>
      <c r="G337" s="1">
        <v>295</v>
      </c>
      <c r="H337" s="1">
        <v>0</v>
      </c>
      <c r="I337" s="1">
        <v>1</v>
      </c>
      <c r="J337" s="15">
        <v>1</v>
      </c>
      <c r="K337" s="15">
        <v>0.61062617017664123</v>
      </c>
      <c r="M337" s="15">
        <v>27.531827515400412</v>
      </c>
      <c r="N337" s="15">
        <v>0.70752227636072995</v>
      </c>
    </row>
    <row r="338" spans="1:14" x14ac:dyDescent="0.25">
      <c r="A338" s="13" t="s">
        <v>378</v>
      </c>
      <c r="B338">
        <v>18.004106776180699</v>
      </c>
      <c r="C338" s="1">
        <v>1</v>
      </c>
      <c r="D338">
        <v>1</v>
      </c>
      <c r="F338" s="15">
        <v>40.016427104722794</v>
      </c>
      <c r="G338" s="1">
        <v>294</v>
      </c>
      <c r="H338" s="1">
        <v>1</v>
      </c>
      <c r="I338" s="1">
        <v>0</v>
      </c>
      <c r="J338" s="15">
        <v>0.99659863945578231</v>
      </c>
      <c r="K338" s="15">
        <v>0.60854921041413568</v>
      </c>
      <c r="M338" s="15">
        <v>27.531827515400412</v>
      </c>
      <c r="N338" s="15">
        <v>0.70580498928218449</v>
      </c>
    </row>
    <row r="339" spans="1:14" x14ac:dyDescent="0.25">
      <c r="A339" s="13" t="s">
        <v>377</v>
      </c>
      <c r="B339">
        <v>7.4579055441478443</v>
      </c>
      <c r="C339" s="1">
        <v>1</v>
      </c>
      <c r="D339">
        <v>1</v>
      </c>
      <c r="F339" s="15">
        <v>40.049281314168375</v>
      </c>
      <c r="G339" s="1">
        <v>293</v>
      </c>
      <c r="H339" s="1">
        <v>1</v>
      </c>
      <c r="I339" s="1">
        <v>1</v>
      </c>
      <c r="J339" s="15">
        <v>0.9965870307167235</v>
      </c>
      <c r="K339" s="15">
        <v>0.60647225065163002</v>
      </c>
      <c r="M339" s="15">
        <v>27.663244353182751</v>
      </c>
      <c r="N339" s="15">
        <v>0.70580498928218449</v>
      </c>
    </row>
    <row r="340" spans="1:14" x14ac:dyDescent="0.25">
      <c r="A340" s="13" t="s">
        <v>376</v>
      </c>
      <c r="B340">
        <v>60.386036960985628</v>
      </c>
      <c r="C340" s="1">
        <v>0</v>
      </c>
      <c r="D340">
        <v>1</v>
      </c>
      <c r="F340" s="15">
        <v>40.147843942505133</v>
      </c>
      <c r="G340" s="1">
        <v>291</v>
      </c>
      <c r="H340" s="1">
        <v>0</v>
      </c>
      <c r="I340" s="1">
        <v>2</v>
      </c>
      <c r="J340" s="15">
        <v>1</v>
      </c>
      <c r="K340" s="15">
        <v>0.60647225065163002</v>
      </c>
      <c r="M340" s="15">
        <v>27.663244353182751</v>
      </c>
      <c r="N340" s="15">
        <v>0.70408351369856936</v>
      </c>
    </row>
    <row r="341" spans="1:14" x14ac:dyDescent="0.25">
      <c r="A341" s="13" t="s">
        <v>375</v>
      </c>
      <c r="B341">
        <v>60.2217659137577</v>
      </c>
      <c r="C341" s="1">
        <v>0</v>
      </c>
      <c r="D341">
        <v>1</v>
      </c>
      <c r="F341" s="15">
        <v>40.246406570841891</v>
      </c>
      <c r="G341" s="1">
        <v>289</v>
      </c>
      <c r="H341" s="1">
        <v>1</v>
      </c>
      <c r="I341" s="1">
        <v>0</v>
      </c>
      <c r="J341" s="15">
        <v>0.9965397923875432</v>
      </c>
      <c r="K341" s="15">
        <v>0.60437373075318146</v>
      </c>
      <c r="M341" s="15">
        <v>28.090349075975361</v>
      </c>
      <c r="N341" s="15">
        <v>0.70408351369856936</v>
      </c>
    </row>
    <row r="342" spans="1:14" x14ac:dyDescent="0.25">
      <c r="A342" s="13" t="s">
        <v>374</v>
      </c>
      <c r="B342">
        <v>18.069815195071868</v>
      </c>
      <c r="C342" s="1">
        <v>1</v>
      </c>
      <c r="D342">
        <v>1</v>
      </c>
      <c r="F342" s="15">
        <v>40.410677618069812</v>
      </c>
      <c r="G342" s="1">
        <v>288</v>
      </c>
      <c r="H342" s="1">
        <v>0</v>
      </c>
      <c r="I342" s="1">
        <v>1</v>
      </c>
      <c r="J342" s="15">
        <v>1</v>
      </c>
      <c r="K342" s="15">
        <v>0.60437373075318146</v>
      </c>
      <c r="M342" s="15">
        <v>28.090349075975361</v>
      </c>
      <c r="N342" s="15">
        <v>0.70062364385238474</v>
      </c>
    </row>
    <row r="343" spans="1:14" x14ac:dyDescent="0.25">
      <c r="A343" s="13" t="s">
        <v>373</v>
      </c>
      <c r="B343">
        <v>13.995893223819301</v>
      </c>
      <c r="C343" s="1">
        <v>1</v>
      </c>
      <c r="D343">
        <v>1</v>
      </c>
      <c r="F343" s="15">
        <v>40.4435318275154</v>
      </c>
      <c r="G343" s="1">
        <v>287</v>
      </c>
      <c r="H343" s="1">
        <v>0</v>
      </c>
      <c r="I343" s="1">
        <v>1</v>
      </c>
      <c r="J343" s="15">
        <v>1</v>
      </c>
      <c r="K343" s="15">
        <v>0.60437373075318146</v>
      </c>
      <c r="M343" s="15">
        <v>28.156057494866531</v>
      </c>
      <c r="N343" s="15">
        <v>0.70062364385238474</v>
      </c>
    </row>
    <row r="344" spans="1:14" x14ac:dyDescent="0.25">
      <c r="A344" s="13" t="s">
        <v>372</v>
      </c>
      <c r="B344">
        <v>60.254620123203289</v>
      </c>
      <c r="C344" s="1">
        <v>0</v>
      </c>
      <c r="D344">
        <v>1</v>
      </c>
      <c r="F344" s="15">
        <v>40.476386036960989</v>
      </c>
      <c r="G344" s="1">
        <v>286</v>
      </c>
      <c r="H344" s="1">
        <v>0</v>
      </c>
      <c r="I344" s="1">
        <v>1</v>
      </c>
      <c r="J344" s="15">
        <v>1</v>
      </c>
      <c r="K344" s="15">
        <v>0.60437373075318146</v>
      </c>
      <c r="M344" s="15">
        <v>28.156057494866531</v>
      </c>
      <c r="N344" s="15">
        <v>0.69888942691215605</v>
      </c>
    </row>
    <row r="345" spans="1:14" x14ac:dyDescent="0.25">
      <c r="A345" s="13" t="s">
        <v>371</v>
      </c>
      <c r="B345">
        <v>52.698151950718689</v>
      </c>
      <c r="C345" s="1">
        <v>0</v>
      </c>
      <c r="D345">
        <v>1</v>
      </c>
      <c r="F345" s="15">
        <v>40.50924024640657</v>
      </c>
      <c r="G345" s="1">
        <v>285</v>
      </c>
      <c r="H345" s="1">
        <v>0</v>
      </c>
      <c r="I345" s="1">
        <v>1</v>
      </c>
      <c r="J345" s="15">
        <v>1</v>
      </c>
      <c r="K345" s="15">
        <v>0.60437373075318146</v>
      </c>
      <c r="M345" s="15">
        <v>28.2217659137577</v>
      </c>
      <c r="N345" s="15">
        <v>0.69888942691215605</v>
      </c>
    </row>
    <row r="346" spans="1:14" x14ac:dyDescent="0.25">
      <c r="A346" s="13" t="s">
        <v>370</v>
      </c>
      <c r="B346">
        <v>25.363449691991786</v>
      </c>
      <c r="C346" s="1">
        <v>0</v>
      </c>
      <c r="D346">
        <v>1</v>
      </c>
      <c r="F346" s="15">
        <v>40.739219712525667</v>
      </c>
      <c r="G346" s="1">
        <v>284</v>
      </c>
      <c r="H346" s="1">
        <v>0</v>
      </c>
      <c r="I346" s="1">
        <v>1</v>
      </c>
      <c r="J346" s="15">
        <v>1</v>
      </c>
      <c r="K346" s="15">
        <v>0.60437373075318146</v>
      </c>
      <c r="M346" s="15">
        <v>28.2217659137577</v>
      </c>
      <c r="N346" s="15">
        <v>0.69540369410960168</v>
      </c>
    </row>
    <row r="347" spans="1:14" x14ac:dyDescent="0.25">
      <c r="A347" s="13" t="s">
        <v>369</v>
      </c>
      <c r="B347">
        <v>37.650924024640659</v>
      </c>
      <c r="C347" s="1">
        <v>1</v>
      </c>
      <c r="D347">
        <v>1</v>
      </c>
      <c r="F347" s="15">
        <v>40.837782340862425</v>
      </c>
      <c r="G347" s="1">
        <v>283</v>
      </c>
      <c r="H347" s="1">
        <v>0</v>
      </c>
      <c r="I347" s="1">
        <v>1</v>
      </c>
      <c r="J347" s="15">
        <v>1</v>
      </c>
      <c r="K347" s="15">
        <v>0.60437373075318146</v>
      </c>
      <c r="M347" s="15">
        <v>28.28747433264887</v>
      </c>
      <c r="N347" s="15">
        <v>0.69540369410960168</v>
      </c>
    </row>
    <row r="348" spans="1:14" x14ac:dyDescent="0.25">
      <c r="A348" s="13" t="s">
        <v>368</v>
      </c>
      <c r="B348">
        <v>12.188911704312115</v>
      </c>
      <c r="C348" s="1">
        <v>1</v>
      </c>
      <c r="D348">
        <v>1</v>
      </c>
      <c r="F348" s="15">
        <v>40.936344969199176</v>
      </c>
      <c r="G348" s="1">
        <v>282</v>
      </c>
      <c r="H348" s="1">
        <v>1</v>
      </c>
      <c r="I348" s="1">
        <v>0</v>
      </c>
      <c r="J348" s="15">
        <v>0.99645390070921991</v>
      </c>
      <c r="K348" s="15">
        <v>0.6022305614951915</v>
      </c>
      <c r="M348" s="15">
        <v>28.28747433264887</v>
      </c>
      <c r="N348" s="15">
        <v>0.69365644864701481</v>
      </c>
    </row>
    <row r="349" spans="1:14" x14ac:dyDescent="0.25">
      <c r="A349" s="13" t="s">
        <v>367</v>
      </c>
      <c r="B349">
        <v>29.010266940451746</v>
      </c>
      <c r="C349" s="1">
        <v>1</v>
      </c>
      <c r="D349">
        <v>1</v>
      </c>
      <c r="F349" s="15">
        <v>41.067761806981522</v>
      </c>
      <c r="G349" s="1">
        <v>281</v>
      </c>
      <c r="H349" s="1">
        <v>0</v>
      </c>
      <c r="I349" s="1">
        <v>1</v>
      </c>
      <c r="J349" s="15">
        <v>1</v>
      </c>
      <c r="K349" s="15">
        <v>0.6022305614951915</v>
      </c>
      <c r="M349" s="15">
        <v>28.418891170431213</v>
      </c>
      <c r="N349" s="15">
        <v>0.69365644864701481</v>
      </c>
    </row>
    <row r="350" spans="1:14" x14ac:dyDescent="0.25">
      <c r="A350" s="13" t="s">
        <v>366</v>
      </c>
      <c r="B350">
        <v>57.002053388090346</v>
      </c>
      <c r="C350" s="1">
        <v>0</v>
      </c>
      <c r="D350">
        <v>1</v>
      </c>
      <c r="F350" s="15">
        <v>41.166324435318273</v>
      </c>
      <c r="G350" s="1">
        <v>280</v>
      </c>
      <c r="H350" s="1">
        <v>1</v>
      </c>
      <c r="I350" s="1">
        <v>0</v>
      </c>
      <c r="J350" s="15">
        <v>0.99642857142857144</v>
      </c>
      <c r="K350" s="15">
        <v>0.60007973806128012</v>
      </c>
      <c r="M350" s="15">
        <v>28.418891170431213</v>
      </c>
      <c r="N350" s="15">
        <v>0.69190920318442795</v>
      </c>
    </row>
    <row r="351" spans="1:14" x14ac:dyDescent="0.25">
      <c r="A351" s="13" t="s">
        <v>365</v>
      </c>
      <c r="B351">
        <v>18.201232032854211</v>
      </c>
      <c r="C351" s="1">
        <v>1</v>
      </c>
      <c r="D351">
        <v>1</v>
      </c>
      <c r="F351" s="15">
        <v>41.52772073921971</v>
      </c>
      <c r="G351" s="1">
        <v>279</v>
      </c>
      <c r="H351" s="1">
        <v>0</v>
      </c>
      <c r="I351" s="1">
        <v>1</v>
      </c>
      <c r="J351" s="15">
        <v>1</v>
      </c>
      <c r="K351" s="15">
        <v>0.60007973806128012</v>
      </c>
      <c r="M351" s="15">
        <v>28.451745379876797</v>
      </c>
      <c r="N351" s="15">
        <v>0.69190920318442795</v>
      </c>
    </row>
    <row r="352" spans="1:14" x14ac:dyDescent="0.25">
      <c r="A352" s="13" t="s">
        <v>364</v>
      </c>
      <c r="B352">
        <v>25.95482546201232</v>
      </c>
      <c r="C352" s="1">
        <v>1</v>
      </c>
      <c r="D352">
        <v>1</v>
      </c>
      <c r="F352" s="15">
        <v>41.954825462012323</v>
      </c>
      <c r="G352" s="1">
        <v>278</v>
      </c>
      <c r="H352" s="1">
        <v>0</v>
      </c>
      <c r="I352" s="1">
        <v>1</v>
      </c>
      <c r="J352" s="15">
        <v>1</v>
      </c>
      <c r="K352" s="15">
        <v>0.60007973806128012</v>
      </c>
      <c r="M352" s="15">
        <v>28.451745379876797</v>
      </c>
      <c r="N352" s="15">
        <v>0.69016195772184108</v>
      </c>
    </row>
    <row r="353" spans="1:14" x14ac:dyDescent="0.25">
      <c r="A353" s="13" t="s">
        <v>363</v>
      </c>
      <c r="B353">
        <v>44.024640657084191</v>
      </c>
      <c r="C353" s="1">
        <v>0</v>
      </c>
      <c r="D353">
        <v>1</v>
      </c>
      <c r="F353" s="15">
        <v>42.020533880903493</v>
      </c>
      <c r="G353" s="1">
        <v>277</v>
      </c>
      <c r="H353" s="1">
        <v>1</v>
      </c>
      <c r="I353" s="1">
        <v>0</v>
      </c>
      <c r="J353" s="15">
        <v>0.99638989169675085</v>
      </c>
      <c r="K353" s="15">
        <v>0.59791338521629356</v>
      </c>
      <c r="M353" s="15">
        <v>28.484599589322382</v>
      </c>
      <c r="N353" s="15">
        <v>0.69016195772184108</v>
      </c>
    </row>
    <row r="354" spans="1:14" x14ac:dyDescent="0.25">
      <c r="A354" s="13" t="s">
        <v>362</v>
      </c>
      <c r="B354">
        <v>16.098562628336754</v>
      </c>
      <c r="C354" s="1">
        <v>1</v>
      </c>
      <c r="D354">
        <v>1</v>
      </c>
      <c r="F354" s="15">
        <v>42.053388090349074</v>
      </c>
      <c r="G354" s="1">
        <v>276</v>
      </c>
      <c r="H354" s="1">
        <v>2</v>
      </c>
      <c r="I354" s="1">
        <v>0</v>
      </c>
      <c r="J354" s="15">
        <v>0.99275362318840576</v>
      </c>
      <c r="K354" s="15">
        <v>0.59358067952632043</v>
      </c>
      <c r="M354" s="15">
        <v>28.484599589322382</v>
      </c>
      <c r="N354" s="15">
        <v>0.6884147122592541</v>
      </c>
    </row>
    <row r="355" spans="1:14" x14ac:dyDescent="0.25">
      <c r="A355" s="13" t="s">
        <v>361</v>
      </c>
      <c r="B355">
        <v>51.154004106776178</v>
      </c>
      <c r="C355" s="1">
        <v>0</v>
      </c>
      <c r="D355">
        <v>1</v>
      </c>
      <c r="F355" s="15">
        <v>42.151950718685832</v>
      </c>
      <c r="G355" s="1">
        <v>274</v>
      </c>
      <c r="H355" s="1">
        <v>0</v>
      </c>
      <c r="I355" s="1">
        <v>1</v>
      </c>
      <c r="J355" s="15">
        <v>1</v>
      </c>
      <c r="K355" s="15">
        <v>0.59358067952632043</v>
      </c>
      <c r="M355" s="15">
        <v>28.780287474332649</v>
      </c>
      <c r="N355" s="15">
        <v>0.6884147122592541</v>
      </c>
    </row>
    <row r="356" spans="1:14" x14ac:dyDescent="0.25">
      <c r="A356" s="13" t="s">
        <v>360</v>
      </c>
      <c r="B356">
        <v>19.515400410677618</v>
      </c>
      <c r="C356" s="1">
        <v>1</v>
      </c>
      <c r="D356">
        <v>1</v>
      </c>
      <c r="F356" s="15">
        <v>42.579055441478438</v>
      </c>
      <c r="G356" s="1">
        <v>273</v>
      </c>
      <c r="H356" s="1">
        <v>1</v>
      </c>
      <c r="I356" s="1">
        <v>1</v>
      </c>
      <c r="J356" s="15">
        <v>0.99633699633699635</v>
      </c>
      <c r="K356" s="15">
        <v>0.59140639132292727</v>
      </c>
      <c r="M356" s="15">
        <v>28.780287474332649</v>
      </c>
      <c r="N356" s="15">
        <v>0.68665855227900097</v>
      </c>
    </row>
    <row r="357" spans="1:14" x14ac:dyDescent="0.25">
      <c r="A357" s="13" t="s">
        <v>359</v>
      </c>
      <c r="B357">
        <v>27.20328542094456</v>
      </c>
      <c r="C357" s="1">
        <v>0</v>
      </c>
      <c r="D357">
        <v>1</v>
      </c>
      <c r="F357" s="15">
        <v>42.907597535934293</v>
      </c>
      <c r="G357" s="1">
        <v>271</v>
      </c>
      <c r="H357" s="1">
        <v>1</v>
      </c>
      <c r="I357" s="1">
        <v>0</v>
      </c>
      <c r="J357" s="15">
        <v>0.99630996309963105</v>
      </c>
      <c r="K357" s="15">
        <v>0.58922407991583159</v>
      </c>
      <c r="M357" s="15">
        <v>29.010266940451746</v>
      </c>
      <c r="N357" s="15">
        <v>0.68665855227900097</v>
      </c>
    </row>
    <row r="358" spans="1:14" x14ac:dyDescent="0.25">
      <c r="A358" s="13" t="s">
        <v>358</v>
      </c>
      <c r="B358">
        <v>19.515400410677618</v>
      </c>
      <c r="C358" s="1">
        <v>1</v>
      </c>
      <c r="D358">
        <v>1</v>
      </c>
      <c r="F358" s="15">
        <v>43.26899383983573</v>
      </c>
      <c r="G358" s="1">
        <v>270</v>
      </c>
      <c r="H358" s="1">
        <v>0</v>
      </c>
      <c r="I358" s="1">
        <v>1</v>
      </c>
      <c r="J358" s="15">
        <v>1</v>
      </c>
      <c r="K358" s="15">
        <v>0.58922407991583159</v>
      </c>
      <c r="M358" s="15">
        <v>29.010266940451746</v>
      </c>
      <c r="N358" s="15">
        <v>0.6848978893244394</v>
      </c>
    </row>
    <row r="359" spans="1:14" x14ac:dyDescent="0.25">
      <c r="A359" s="13" t="s">
        <v>357</v>
      </c>
      <c r="B359">
        <v>27.630390143737166</v>
      </c>
      <c r="C359" s="1">
        <v>0</v>
      </c>
      <c r="D359">
        <v>1</v>
      </c>
      <c r="F359" s="15">
        <v>43.466119096509239</v>
      </c>
      <c r="G359" s="1">
        <v>269</v>
      </c>
      <c r="H359" s="1">
        <v>0</v>
      </c>
      <c r="I359" s="1">
        <v>1</v>
      </c>
      <c r="J359" s="15">
        <v>1</v>
      </c>
      <c r="K359" s="15">
        <v>0.58922407991583159</v>
      </c>
      <c r="M359" s="15">
        <v>29.207392197125255</v>
      </c>
      <c r="N359" s="15">
        <v>0.6848978893244394</v>
      </c>
    </row>
    <row r="360" spans="1:14" x14ac:dyDescent="0.25">
      <c r="A360" s="13" t="s">
        <v>356</v>
      </c>
      <c r="B360">
        <v>22.833675564681723</v>
      </c>
      <c r="C360" s="1">
        <v>0</v>
      </c>
      <c r="D360">
        <v>1</v>
      </c>
      <c r="F360" s="15">
        <v>43.663244353182755</v>
      </c>
      <c r="G360" s="1">
        <v>268</v>
      </c>
      <c r="H360" s="1">
        <v>1</v>
      </c>
      <c r="I360" s="1">
        <v>1</v>
      </c>
      <c r="J360" s="15">
        <v>0.99626865671641796</v>
      </c>
      <c r="K360" s="15">
        <v>0.58702548260271281</v>
      </c>
      <c r="M360" s="15">
        <v>29.207392197125255</v>
      </c>
      <c r="N360" s="15">
        <v>0.68313268857875786</v>
      </c>
    </row>
    <row r="361" spans="1:14" x14ac:dyDescent="0.25">
      <c r="A361" s="13" t="s">
        <v>355</v>
      </c>
      <c r="B361">
        <v>83.975359342915809</v>
      </c>
      <c r="C361" s="1">
        <v>0</v>
      </c>
      <c r="D361">
        <v>1</v>
      </c>
      <c r="F361" s="15">
        <v>43.728952772073924</v>
      </c>
      <c r="G361" s="1">
        <v>266</v>
      </c>
      <c r="H361" s="1">
        <v>0</v>
      </c>
      <c r="I361" s="1">
        <v>1</v>
      </c>
      <c r="J361" s="15">
        <v>1</v>
      </c>
      <c r="K361" s="15">
        <v>0.58702548260271281</v>
      </c>
      <c r="M361" s="15">
        <v>29.240246406570844</v>
      </c>
      <c r="N361" s="15">
        <v>0.68313268857875786</v>
      </c>
    </row>
    <row r="362" spans="1:14" x14ac:dyDescent="0.25">
      <c r="A362" s="13" t="s">
        <v>354</v>
      </c>
      <c r="B362">
        <v>57.593429158110879</v>
      </c>
      <c r="C362" s="1">
        <v>1</v>
      </c>
      <c r="D362">
        <v>1</v>
      </c>
      <c r="F362" s="15">
        <v>43.926078028747433</v>
      </c>
      <c r="G362" s="1">
        <v>265</v>
      </c>
      <c r="H362" s="1">
        <v>1</v>
      </c>
      <c r="I362" s="1">
        <v>0</v>
      </c>
      <c r="J362" s="15">
        <v>0.99622641509433962</v>
      </c>
      <c r="K362" s="15">
        <v>0.58481029210232527</v>
      </c>
      <c r="M362" s="15">
        <v>29.240246406570844</v>
      </c>
      <c r="N362" s="15">
        <v>0.68136748783307632</v>
      </c>
    </row>
    <row r="363" spans="1:14" x14ac:dyDescent="0.25">
      <c r="A363" s="13" t="s">
        <v>353</v>
      </c>
      <c r="B363">
        <v>13.700205338809035</v>
      </c>
      <c r="C363" s="1">
        <v>1</v>
      </c>
      <c r="D363">
        <v>1</v>
      </c>
      <c r="F363" s="15">
        <v>44.024640657084191</v>
      </c>
      <c r="G363" s="1">
        <v>264</v>
      </c>
      <c r="H363" s="1">
        <v>0</v>
      </c>
      <c r="I363" s="1">
        <v>1</v>
      </c>
      <c r="J363" s="15">
        <v>1</v>
      </c>
      <c r="K363" s="15">
        <v>0.58481029210232527</v>
      </c>
      <c r="M363" s="15">
        <v>29.273100616016428</v>
      </c>
      <c r="N363" s="15">
        <v>0.68136748783307632</v>
      </c>
    </row>
    <row r="364" spans="1:14" x14ac:dyDescent="0.25">
      <c r="A364" s="13" t="s">
        <v>352</v>
      </c>
      <c r="B364">
        <v>31.408624229979466</v>
      </c>
      <c r="C364" s="1">
        <v>1</v>
      </c>
      <c r="D364">
        <v>1</v>
      </c>
      <c r="F364" s="15">
        <v>44.057494866529773</v>
      </c>
      <c r="G364" s="1">
        <v>263</v>
      </c>
      <c r="H364" s="1">
        <v>0</v>
      </c>
      <c r="I364" s="1">
        <v>1</v>
      </c>
      <c r="J364" s="15">
        <v>1</v>
      </c>
      <c r="K364" s="15">
        <v>0.58481029210232527</v>
      </c>
      <c r="M364" s="15">
        <v>29.273100616016428</v>
      </c>
      <c r="N364" s="15">
        <v>0.67960228708739479</v>
      </c>
    </row>
    <row r="365" spans="1:14" x14ac:dyDescent="0.25">
      <c r="A365" s="13" t="s">
        <v>351</v>
      </c>
      <c r="B365">
        <v>60.648870636550306</v>
      </c>
      <c r="C365" s="1">
        <v>0</v>
      </c>
      <c r="D365">
        <v>1</v>
      </c>
      <c r="F365" s="15">
        <v>44.090349075975361</v>
      </c>
      <c r="G365" s="1">
        <v>262</v>
      </c>
      <c r="H365" s="1">
        <v>0</v>
      </c>
      <c r="I365" s="1">
        <v>2</v>
      </c>
      <c r="J365" s="15">
        <v>1</v>
      </c>
      <c r="K365" s="15">
        <v>0.58481029210232527</v>
      </c>
      <c r="M365" s="15">
        <v>29.338809034907598</v>
      </c>
      <c r="N365" s="15">
        <v>0.67960228708739479</v>
      </c>
    </row>
    <row r="366" spans="1:14" x14ac:dyDescent="0.25">
      <c r="A366" s="13" t="s">
        <v>350</v>
      </c>
      <c r="B366">
        <v>55.950718685831625</v>
      </c>
      <c r="C366" s="1">
        <v>0</v>
      </c>
      <c r="D366">
        <v>1</v>
      </c>
      <c r="F366" s="15">
        <v>44.123203285420942</v>
      </c>
      <c r="G366" s="1">
        <v>260</v>
      </c>
      <c r="H366" s="1">
        <v>1</v>
      </c>
      <c r="I366" s="1">
        <v>1</v>
      </c>
      <c r="J366" s="15">
        <v>0.99615384615384617</v>
      </c>
      <c r="K366" s="15">
        <v>0.58256102174808555</v>
      </c>
      <c r="M366" s="15">
        <v>29.338809034907598</v>
      </c>
      <c r="N366" s="15">
        <v>0.67783248946477137</v>
      </c>
    </row>
    <row r="367" spans="1:14" x14ac:dyDescent="0.25">
      <c r="A367" s="13" t="s">
        <v>349</v>
      </c>
      <c r="B367">
        <v>56.50924024640657</v>
      </c>
      <c r="C367" s="1">
        <v>0</v>
      </c>
      <c r="D367">
        <v>1</v>
      </c>
      <c r="F367" s="15">
        <v>44.320328542094458</v>
      </c>
      <c r="G367" s="1">
        <v>258</v>
      </c>
      <c r="H367" s="1">
        <v>0</v>
      </c>
      <c r="I367" s="1">
        <v>1</v>
      </c>
      <c r="J367" s="15">
        <v>1</v>
      </c>
      <c r="K367" s="15">
        <v>0.58256102174808555</v>
      </c>
      <c r="M367" s="15">
        <v>30.160164271047229</v>
      </c>
      <c r="N367" s="15">
        <v>0.67783248946477137</v>
      </c>
    </row>
    <row r="368" spans="1:14" x14ac:dyDescent="0.25">
      <c r="A368" s="13" t="s">
        <v>348</v>
      </c>
      <c r="B368">
        <v>44.517453798767967</v>
      </c>
      <c r="C368" s="1">
        <v>0</v>
      </c>
      <c r="D368">
        <v>1</v>
      </c>
      <c r="F368" s="15">
        <v>44.353182751540039</v>
      </c>
      <c r="G368" s="1">
        <v>257</v>
      </c>
      <c r="H368" s="1">
        <v>0</v>
      </c>
      <c r="I368" s="1">
        <v>1</v>
      </c>
      <c r="J368" s="15">
        <v>1</v>
      </c>
      <c r="K368" s="15">
        <v>0.58256102174808555</v>
      </c>
      <c r="M368" s="15">
        <v>30.160164271047229</v>
      </c>
      <c r="N368" s="15">
        <v>0.67605805886407822</v>
      </c>
    </row>
    <row r="369" spans="1:14" x14ac:dyDescent="0.25">
      <c r="A369" s="13" t="s">
        <v>347</v>
      </c>
      <c r="B369">
        <v>52.6652977412731</v>
      </c>
      <c r="C369" s="1">
        <v>0</v>
      </c>
      <c r="D369">
        <v>1</v>
      </c>
      <c r="F369" s="15">
        <v>44.386036960985628</v>
      </c>
      <c r="G369" s="1">
        <v>256</v>
      </c>
      <c r="H369" s="1">
        <v>0</v>
      </c>
      <c r="I369" s="1">
        <v>1</v>
      </c>
      <c r="J369" s="15">
        <v>1</v>
      </c>
      <c r="K369" s="15">
        <v>0.58256102174808555</v>
      </c>
      <c r="M369" s="15">
        <v>31.04722792607803</v>
      </c>
      <c r="N369" s="15">
        <v>0.67605805886407822</v>
      </c>
    </row>
    <row r="370" spans="1:14" x14ac:dyDescent="0.25">
      <c r="A370" s="13" t="s">
        <v>346</v>
      </c>
      <c r="B370">
        <v>15.638603696098563</v>
      </c>
      <c r="C370" s="1">
        <v>1</v>
      </c>
      <c r="D370">
        <v>1</v>
      </c>
      <c r="F370" s="15">
        <v>44.418891170431209</v>
      </c>
      <c r="G370" s="1">
        <v>255</v>
      </c>
      <c r="H370" s="1">
        <v>1</v>
      </c>
      <c r="I370" s="1">
        <v>1</v>
      </c>
      <c r="J370" s="15">
        <v>0.99607843137254903</v>
      </c>
      <c r="K370" s="15">
        <v>0.58027646872162253</v>
      </c>
      <c r="M370" s="15">
        <v>31.04722792607803</v>
      </c>
      <c r="N370" s="15">
        <v>0.67425041699545762</v>
      </c>
    </row>
    <row r="371" spans="1:14" x14ac:dyDescent="0.25">
      <c r="A371" s="13" t="s">
        <v>345</v>
      </c>
      <c r="B371">
        <v>44.353182751540039</v>
      </c>
      <c r="C371" s="1">
        <v>0</v>
      </c>
      <c r="D371">
        <v>1</v>
      </c>
      <c r="F371" s="15">
        <v>44.517453798767967</v>
      </c>
      <c r="G371" s="1">
        <v>253</v>
      </c>
      <c r="H371" s="1">
        <v>0</v>
      </c>
      <c r="I371" s="1">
        <v>1</v>
      </c>
      <c r="J371" s="15">
        <v>1</v>
      </c>
      <c r="K371" s="15">
        <v>0.58027646872162253</v>
      </c>
      <c r="M371" s="15">
        <v>31.408624229979466</v>
      </c>
      <c r="N371" s="15">
        <v>0.67425041699545762</v>
      </c>
    </row>
    <row r="372" spans="1:14" x14ac:dyDescent="0.25">
      <c r="A372" s="13" t="s">
        <v>344</v>
      </c>
      <c r="B372">
        <v>44.057494866529773</v>
      </c>
      <c r="C372" s="1">
        <v>0</v>
      </c>
      <c r="D372">
        <v>1</v>
      </c>
      <c r="F372" s="15">
        <v>44.550308008213555</v>
      </c>
      <c r="G372" s="1">
        <v>252</v>
      </c>
      <c r="H372" s="1">
        <v>0</v>
      </c>
      <c r="I372" s="1">
        <v>2</v>
      </c>
      <c r="J372" s="15">
        <v>1</v>
      </c>
      <c r="K372" s="15">
        <v>0.58027646872162253</v>
      </c>
      <c r="M372" s="15">
        <v>31.408624229979466</v>
      </c>
      <c r="N372" s="15">
        <v>0.67062541475354653</v>
      </c>
    </row>
    <row r="373" spans="1:14" x14ac:dyDescent="0.25">
      <c r="A373" s="13" t="s">
        <v>343</v>
      </c>
      <c r="B373">
        <v>80.459958932238195</v>
      </c>
      <c r="C373" s="1">
        <v>0</v>
      </c>
      <c r="D373">
        <v>1</v>
      </c>
      <c r="F373" s="15">
        <v>44.583162217659137</v>
      </c>
      <c r="G373" s="1">
        <v>250</v>
      </c>
      <c r="H373" s="1">
        <v>0</v>
      </c>
      <c r="I373" s="1">
        <v>1</v>
      </c>
      <c r="J373" s="15">
        <v>1</v>
      </c>
      <c r="K373" s="15">
        <v>0.58027646872162253</v>
      </c>
      <c r="M373" s="15">
        <v>31.507186858316221</v>
      </c>
      <c r="N373" s="15">
        <v>0.67062541475354653</v>
      </c>
    </row>
    <row r="374" spans="1:14" x14ac:dyDescent="0.25">
      <c r="A374" s="13" t="s">
        <v>342</v>
      </c>
      <c r="B374">
        <v>75.104722792607802</v>
      </c>
      <c r="C374" s="1">
        <v>1</v>
      </c>
      <c r="D374">
        <v>1</v>
      </c>
      <c r="F374" s="15">
        <v>44.616016427104725</v>
      </c>
      <c r="G374" s="1">
        <v>249</v>
      </c>
      <c r="H374" s="1">
        <v>0</v>
      </c>
      <c r="I374" s="1">
        <v>1</v>
      </c>
      <c r="J374" s="15">
        <v>1</v>
      </c>
      <c r="K374" s="15">
        <v>0.58027646872162253</v>
      </c>
      <c r="M374" s="15">
        <v>31.507186858316221</v>
      </c>
      <c r="N374" s="15">
        <v>0.66881291363259099</v>
      </c>
    </row>
    <row r="375" spans="1:14" x14ac:dyDescent="0.25">
      <c r="A375" s="13" t="s">
        <v>341</v>
      </c>
      <c r="B375">
        <v>14.981519507186858</v>
      </c>
      <c r="C375" s="1">
        <v>1</v>
      </c>
      <c r="D375">
        <v>1</v>
      </c>
      <c r="F375" s="15">
        <v>44.780287474332646</v>
      </c>
      <c r="G375" s="1">
        <v>248</v>
      </c>
      <c r="H375" s="1">
        <v>1</v>
      </c>
      <c r="I375" s="1">
        <v>0</v>
      </c>
      <c r="J375" s="15">
        <v>0.99596774193548387</v>
      </c>
      <c r="K375" s="15">
        <v>0.5779366442509708</v>
      </c>
      <c r="M375" s="15">
        <v>31.540041067761805</v>
      </c>
      <c r="N375" s="15">
        <v>0.66881291363259099</v>
      </c>
    </row>
    <row r="376" spans="1:14" x14ac:dyDescent="0.25">
      <c r="A376" s="13" t="s">
        <v>340</v>
      </c>
      <c r="B376">
        <v>17.609856262833677</v>
      </c>
      <c r="C376" s="1">
        <v>1</v>
      </c>
      <c r="D376">
        <v>1</v>
      </c>
      <c r="F376" s="15">
        <v>44.813141683778234</v>
      </c>
      <c r="G376" s="1">
        <v>247</v>
      </c>
      <c r="H376" s="1">
        <v>0</v>
      </c>
      <c r="I376" s="1">
        <v>1</v>
      </c>
      <c r="J376" s="15">
        <v>1</v>
      </c>
      <c r="K376" s="15">
        <v>0.5779366442509708</v>
      </c>
      <c r="M376" s="15">
        <v>31.540041067761805</v>
      </c>
      <c r="N376" s="15">
        <v>0.66700041251163544</v>
      </c>
    </row>
    <row r="377" spans="1:14" x14ac:dyDescent="0.25">
      <c r="A377" s="13" t="s">
        <v>339</v>
      </c>
      <c r="B377">
        <v>20.106776180698152</v>
      </c>
      <c r="C377" s="1">
        <v>1</v>
      </c>
      <c r="D377">
        <v>1</v>
      </c>
      <c r="F377" s="15">
        <v>44.878850102669404</v>
      </c>
      <c r="G377" s="1">
        <v>246</v>
      </c>
      <c r="H377" s="1">
        <v>1</v>
      </c>
      <c r="I377" s="1">
        <v>0</v>
      </c>
      <c r="J377" s="15">
        <v>0.99593495934959353</v>
      </c>
      <c r="K377" s="15">
        <v>0.57558730829873106</v>
      </c>
      <c r="M377" s="15">
        <v>31.671457905544148</v>
      </c>
      <c r="N377" s="15">
        <v>0.66700041251163544</v>
      </c>
    </row>
    <row r="378" spans="1:14" x14ac:dyDescent="0.25">
      <c r="A378" s="13" t="s">
        <v>338</v>
      </c>
      <c r="B378">
        <v>66.82546201232033</v>
      </c>
      <c r="C378" s="1">
        <v>1</v>
      </c>
      <c r="D378">
        <v>1</v>
      </c>
      <c r="F378" s="15">
        <v>45.043121149897331</v>
      </c>
      <c r="G378" s="1">
        <v>245</v>
      </c>
      <c r="H378" s="1">
        <v>1</v>
      </c>
      <c r="I378" s="1">
        <v>0</v>
      </c>
      <c r="J378" s="15">
        <v>0.99591836734693873</v>
      </c>
      <c r="K378" s="15">
        <v>0.57323797234649132</v>
      </c>
      <c r="M378" s="15">
        <v>31.671457905544148</v>
      </c>
      <c r="N378" s="15">
        <v>0.6651879113906799</v>
      </c>
    </row>
    <row r="379" spans="1:14" x14ac:dyDescent="0.25">
      <c r="A379" s="13" t="s">
        <v>337</v>
      </c>
      <c r="B379">
        <v>65.379876796714584</v>
      </c>
      <c r="C379" s="1">
        <v>1</v>
      </c>
      <c r="D379">
        <v>1</v>
      </c>
      <c r="F379" s="15">
        <v>45.568788501026695</v>
      </c>
      <c r="G379" s="1">
        <v>244</v>
      </c>
      <c r="H379" s="1">
        <v>1</v>
      </c>
      <c r="I379" s="1">
        <v>0</v>
      </c>
      <c r="J379" s="15">
        <v>0.99590163934426235</v>
      </c>
      <c r="K379" s="15">
        <v>0.57088863639425158</v>
      </c>
      <c r="M379" s="15">
        <v>32.229979466119097</v>
      </c>
      <c r="N379" s="15">
        <v>0.6651879113906799</v>
      </c>
    </row>
    <row r="380" spans="1:14" x14ac:dyDescent="0.25">
      <c r="A380" s="13" t="s">
        <v>336</v>
      </c>
      <c r="B380">
        <v>80.689938398357285</v>
      </c>
      <c r="C380" s="1">
        <v>1</v>
      </c>
      <c r="D380">
        <v>1</v>
      </c>
      <c r="F380" s="15">
        <v>45.601642710472277</v>
      </c>
      <c r="G380" s="1">
        <v>243</v>
      </c>
      <c r="H380" s="1">
        <v>1</v>
      </c>
      <c r="I380" s="1">
        <v>0</v>
      </c>
      <c r="J380" s="15">
        <v>0.99588477366255146</v>
      </c>
      <c r="K380" s="15">
        <v>0.56853930044201184</v>
      </c>
      <c r="M380" s="15">
        <v>32.229979466119097</v>
      </c>
      <c r="N380" s="15">
        <v>0.66332984459908584</v>
      </c>
    </row>
    <row r="381" spans="1:14" x14ac:dyDescent="0.25">
      <c r="A381" s="13" t="s">
        <v>335</v>
      </c>
      <c r="B381">
        <v>72.4435318275154</v>
      </c>
      <c r="C381" s="1">
        <v>0</v>
      </c>
      <c r="D381">
        <v>1</v>
      </c>
      <c r="F381" s="15">
        <v>46.02874743326489</v>
      </c>
      <c r="G381" s="1">
        <v>242</v>
      </c>
      <c r="H381" s="1">
        <v>0</v>
      </c>
      <c r="I381" s="1">
        <v>1</v>
      </c>
      <c r="J381" s="15">
        <v>1</v>
      </c>
      <c r="K381" s="15">
        <v>0.56853930044201184</v>
      </c>
      <c r="M381" s="15">
        <v>32.262833675564679</v>
      </c>
      <c r="N381" s="15">
        <v>0.66332984459908584</v>
      </c>
    </row>
    <row r="382" spans="1:14" x14ac:dyDescent="0.25">
      <c r="A382" s="13" t="s">
        <v>334</v>
      </c>
      <c r="B382">
        <v>17.872689938398356</v>
      </c>
      <c r="C382" s="1">
        <v>1</v>
      </c>
      <c r="D382">
        <v>1</v>
      </c>
      <c r="F382" s="15">
        <v>46.652977412731005</v>
      </c>
      <c r="G382" s="1">
        <v>241</v>
      </c>
      <c r="H382" s="1">
        <v>1</v>
      </c>
      <c r="I382" s="1">
        <v>0</v>
      </c>
      <c r="J382" s="15">
        <v>0.99585062240663902</v>
      </c>
      <c r="K382" s="15">
        <v>0.56618021620781267</v>
      </c>
      <c r="M382" s="15">
        <v>32.262833675564679</v>
      </c>
      <c r="N382" s="15">
        <v>0.66147177780749178</v>
      </c>
    </row>
    <row r="383" spans="1:14" x14ac:dyDescent="0.25">
      <c r="A383" s="13" t="s">
        <v>333</v>
      </c>
      <c r="B383">
        <v>11.039014373716633</v>
      </c>
      <c r="C383" s="1">
        <v>1</v>
      </c>
      <c r="D383">
        <v>1</v>
      </c>
      <c r="F383" s="15">
        <v>46.882956878850102</v>
      </c>
      <c r="G383" s="1">
        <v>240</v>
      </c>
      <c r="H383" s="1">
        <v>0</v>
      </c>
      <c r="I383" s="1">
        <v>1</v>
      </c>
      <c r="J383" s="15">
        <v>1</v>
      </c>
      <c r="K383" s="15">
        <v>0.56618021620781267</v>
      </c>
      <c r="M383" s="15">
        <v>32.295687885010267</v>
      </c>
      <c r="N383" s="15">
        <v>0.66147177780749178</v>
      </c>
    </row>
    <row r="384" spans="1:14" x14ac:dyDescent="0.25">
      <c r="A384" s="13" t="s">
        <v>332</v>
      </c>
      <c r="B384">
        <v>67.581108829568791</v>
      </c>
      <c r="C384" s="1">
        <v>0</v>
      </c>
      <c r="D384">
        <v>1</v>
      </c>
      <c r="F384" s="15">
        <v>47.04722792607803</v>
      </c>
      <c r="G384" s="1">
        <v>239</v>
      </c>
      <c r="H384" s="1">
        <v>0</v>
      </c>
      <c r="I384" s="1">
        <v>1</v>
      </c>
      <c r="J384" s="15">
        <v>1</v>
      </c>
      <c r="K384" s="15">
        <v>0.56618021620781267</v>
      </c>
      <c r="M384" s="15">
        <v>32.295687885010267</v>
      </c>
      <c r="N384" s="15">
        <v>0.65961371101589772</v>
      </c>
    </row>
    <row r="385" spans="1:14" x14ac:dyDescent="0.25">
      <c r="A385" s="13" t="s">
        <v>331</v>
      </c>
      <c r="B385">
        <v>18.891170431211499</v>
      </c>
      <c r="C385" s="1">
        <v>1</v>
      </c>
      <c r="D385">
        <v>1</v>
      </c>
      <c r="F385" s="15">
        <v>47.112936344969199</v>
      </c>
      <c r="G385" s="1">
        <v>238</v>
      </c>
      <c r="H385" s="1">
        <v>0</v>
      </c>
      <c r="I385" s="1">
        <v>2</v>
      </c>
      <c r="J385" s="15">
        <v>1</v>
      </c>
      <c r="K385" s="15">
        <v>0.56618021620781267</v>
      </c>
      <c r="M385" s="15">
        <v>32.558521560574945</v>
      </c>
      <c r="N385" s="15">
        <v>0.65961371101589772</v>
      </c>
    </row>
    <row r="386" spans="1:14" x14ac:dyDescent="0.25">
      <c r="A386" s="13" t="s">
        <v>330</v>
      </c>
      <c r="B386">
        <v>66.069815195071868</v>
      </c>
      <c r="C386" s="1">
        <v>0</v>
      </c>
      <c r="D386">
        <v>1</v>
      </c>
      <c r="F386" s="15">
        <v>47.145790554414788</v>
      </c>
      <c r="G386" s="1">
        <v>236</v>
      </c>
      <c r="H386" s="1">
        <v>0</v>
      </c>
      <c r="I386" s="1">
        <v>1</v>
      </c>
      <c r="J386" s="15">
        <v>1</v>
      </c>
      <c r="K386" s="15">
        <v>0.56618021620781267</v>
      </c>
      <c r="M386" s="15">
        <v>32.558521560574945</v>
      </c>
      <c r="N386" s="15">
        <v>0.65775039544805614</v>
      </c>
    </row>
    <row r="387" spans="1:14" x14ac:dyDescent="0.25">
      <c r="A387" s="13" t="s">
        <v>329</v>
      </c>
      <c r="B387">
        <v>17.642710472279262</v>
      </c>
      <c r="C387" s="1">
        <v>1</v>
      </c>
      <c r="D387">
        <v>1</v>
      </c>
      <c r="F387" s="15">
        <v>47.342915811088297</v>
      </c>
      <c r="G387" s="1">
        <v>235</v>
      </c>
      <c r="H387" s="1">
        <v>0</v>
      </c>
      <c r="I387" s="1">
        <v>2</v>
      </c>
      <c r="J387" s="15">
        <v>1</v>
      </c>
      <c r="K387" s="15">
        <v>0.56618021620781267</v>
      </c>
      <c r="M387" s="15">
        <v>32.919917864476389</v>
      </c>
      <c r="N387" s="15">
        <v>0.65775039544805614</v>
      </c>
    </row>
    <row r="388" spans="1:14" x14ac:dyDescent="0.25">
      <c r="A388" s="13" t="s">
        <v>328</v>
      </c>
      <c r="B388">
        <v>72.837782340862418</v>
      </c>
      <c r="C388" s="1">
        <v>0</v>
      </c>
      <c r="D388">
        <v>1</v>
      </c>
      <c r="F388" s="15">
        <v>47.408624229979466</v>
      </c>
      <c r="G388" s="1">
        <v>233</v>
      </c>
      <c r="H388" s="1">
        <v>0</v>
      </c>
      <c r="I388" s="1">
        <v>1</v>
      </c>
      <c r="J388" s="15">
        <v>1</v>
      </c>
      <c r="K388" s="15">
        <v>0.56618021620781267</v>
      </c>
      <c r="M388" s="15">
        <v>32.919917864476389</v>
      </c>
      <c r="N388" s="15">
        <v>0.65588178637007877</v>
      </c>
    </row>
    <row r="389" spans="1:14" x14ac:dyDescent="0.25">
      <c r="A389" s="13" t="s">
        <v>327</v>
      </c>
      <c r="B389">
        <v>59.597535934291578</v>
      </c>
      <c r="C389" s="1">
        <v>1</v>
      </c>
      <c r="D389">
        <v>1</v>
      </c>
      <c r="F389" s="15">
        <v>47.605749486652975</v>
      </c>
      <c r="G389" s="1">
        <v>232</v>
      </c>
      <c r="H389" s="1">
        <v>1</v>
      </c>
      <c r="I389" s="1">
        <v>0</v>
      </c>
      <c r="J389" s="15">
        <v>0.99568965517241381</v>
      </c>
      <c r="K389" s="15">
        <v>0.5637397842413997</v>
      </c>
      <c r="M389" s="15">
        <v>34.036960985626287</v>
      </c>
      <c r="N389" s="15">
        <v>0.65588178637007877</v>
      </c>
    </row>
    <row r="390" spans="1:14" x14ac:dyDescent="0.25">
      <c r="A390" s="13" t="s">
        <v>326</v>
      </c>
      <c r="B390">
        <v>29.240246406570844</v>
      </c>
      <c r="C390" s="1">
        <v>1</v>
      </c>
      <c r="D390">
        <v>1</v>
      </c>
      <c r="F390" s="15">
        <v>47.93429158110883</v>
      </c>
      <c r="G390" s="1">
        <v>231</v>
      </c>
      <c r="H390" s="1">
        <v>1</v>
      </c>
      <c r="I390" s="1">
        <v>1</v>
      </c>
      <c r="J390" s="15">
        <v>0.99567099567099571</v>
      </c>
      <c r="K390" s="15">
        <v>0.56129935227498673</v>
      </c>
      <c r="M390" s="15">
        <v>34.036960985626287</v>
      </c>
      <c r="N390" s="15">
        <v>0.65400783840902132</v>
      </c>
    </row>
    <row r="391" spans="1:14" x14ac:dyDescent="0.25">
      <c r="A391" s="13" t="s">
        <v>325</v>
      </c>
      <c r="B391">
        <v>36.599589322381931</v>
      </c>
      <c r="C391" s="1">
        <v>0</v>
      </c>
      <c r="D391">
        <v>1</v>
      </c>
      <c r="F391" s="15">
        <v>47.967145790554412</v>
      </c>
      <c r="G391" s="1">
        <v>229</v>
      </c>
      <c r="H391" s="1">
        <v>1</v>
      </c>
      <c r="I391" s="1">
        <v>0</v>
      </c>
      <c r="J391" s="15">
        <v>0.99563318777292575</v>
      </c>
      <c r="K391" s="15">
        <v>0.55884826340042348</v>
      </c>
      <c r="M391" s="15">
        <v>34.266940451745377</v>
      </c>
      <c r="N391" s="15">
        <v>0.65400783840902132</v>
      </c>
    </row>
    <row r="392" spans="1:14" x14ac:dyDescent="0.25">
      <c r="A392" s="13" t="s">
        <v>324</v>
      </c>
      <c r="B392">
        <v>32</v>
      </c>
      <c r="C392" s="1">
        <v>0</v>
      </c>
      <c r="D392">
        <v>1</v>
      </c>
      <c r="F392" s="15">
        <v>48.06570841889117</v>
      </c>
      <c r="G392" s="1">
        <v>228</v>
      </c>
      <c r="H392" s="1">
        <v>1</v>
      </c>
      <c r="I392" s="1">
        <v>0</v>
      </c>
      <c r="J392" s="15">
        <v>0.99561403508771928</v>
      </c>
      <c r="K392" s="15">
        <v>0.55639717452586024</v>
      </c>
      <c r="M392" s="15">
        <v>34.266940451745377</v>
      </c>
      <c r="N392" s="15">
        <v>0.65213389044796399</v>
      </c>
    </row>
    <row r="393" spans="1:14" x14ac:dyDescent="0.25">
      <c r="A393" s="13" t="s">
        <v>323</v>
      </c>
      <c r="B393">
        <v>9.7248459958932241</v>
      </c>
      <c r="C393" s="1">
        <v>0</v>
      </c>
      <c r="D393">
        <v>1</v>
      </c>
      <c r="F393" s="15">
        <v>48.262833675564679</v>
      </c>
      <c r="G393" s="1">
        <v>227</v>
      </c>
      <c r="H393" s="1">
        <v>0</v>
      </c>
      <c r="I393" s="1">
        <v>1</v>
      </c>
      <c r="J393" s="15">
        <v>1</v>
      </c>
      <c r="K393" s="15">
        <v>0.55639717452586024</v>
      </c>
      <c r="M393" s="15">
        <v>34.792607802874741</v>
      </c>
      <c r="N393" s="15">
        <v>0.65213389044796399</v>
      </c>
    </row>
    <row r="394" spans="1:14" x14ac:dyDescent="0.25">
      <c r="A394" s="13" t="s">
        <v>322</v>
      </c>
      <c r="B394">
        <v>76.221765913757707</v>
      </c>
      <c r="C394" s="1">
        <v>0</v>
      </c>
      <c r="D394">
        <v>1</v>
      </c>
      <c r="F394" s="15">
        <v>48.361396303901437</v>
      </c>
      <c r="G394" s="1">
        <v>226</v>
      </c>
      <c r="H394" s="1">
        <v>0</v>
      </c>
      <c r="I394" s="1">
        <v>2</v>
      </c>
      <c r="J394" s="15">
        <v>1</v>
      </c>
      <c r="K394" s="15">
        <v>0.55639717452586024</v>
      </c>
      <c r="M394" s="15">
        <v>34.792607802874741</v>
      </c>
      <c r="N394" s="15">
        <v>0.65025994248690666</v>
      </c>
    </row>
    <row r="395" spans="1:14" x14ac:dyDescent="0.25">
      <c r="A395" s="13" t="s">
        <v>321</v>
      </c>
      <c r="B395">
        <v>26.119096509240247</v>
      </c>
      <c r="C395" s="1">
        <v>1</v>
      </c>
      <c r="D395">
        <v>1</v>
      </c>
      <c r="F395" s="15">
        <v>48.459958932238195</v>
      </c>
      <c r="G395" s="1">
        <v>224</v>
      </c>
      <c r="H395" s="1">
        <v>0</v>
      </c>
      <c r="I395" s="1">
        <v>1</v>
      </c>
      <c r="J395" s="15">
        <v>1</v>
      </c>
      <c r="K395" s="15">
        <v>0.55639717452586024</v>
      </c>
      <c r="M395" s="15">
        <v>35.482546201232033</v>
      </c>
      <c r="N395" s="15">
        <v>0.65025994248690666</v>
      </c>
    </row>
    <row r="396" spans="1:14" x14ac:dyDescent="0.25">
      <c r="A396" s="13" t="s">
        <v>320</v>
      </c>
      <c r="B396">
        <v>28.484599589322382</v>
      </c>
      <c r="C396" s="1">
        <v>1</v>
      </c>
      <c r="D396">
        <v>1</v>
      </c>
      <c r="F396" s="15">
        <v>48.657084188911703</v>
      </c>
      <c r="G396" s="1">
        <v>223</v>
      </c>
      <c r="H396" s="1">
        <v>1</v>
      </c>
      <c r="I396" s="1">
        <v>0</v>
      </c>
      <c r="J396" s="15">
        <v>0.99551569506726456</v>
      </c>
      <c r="K396" s="15">
        <v>0.5539021199315739</v>
      </c>
      <c r="M396" s="15">
        <v>35.482546201232033</v>
      </c>
      <c r="N396" s="15">
        <v>0.64836965195642149</v>
      </c>
    </row>
    <row r="397" spans="1:14" x14ac:dyDescent="0.25">
      <c r="A397" s="13" t="s">
        <v>319</v>
      </c>
      <c r="B397">
        <v>55.950718685831625</v>
      </c>
      <c r="C397" s="1">
        <v>0</v>
      </c>
      <c r="D397">
        <v>1</v>
      </c>
      <c r="F397" s="15">
        <v>48.722792607802873</v>
      </c>
      <c r="G397" s="1">
        <v>222</v>
      </c>
      <c r="H397" s="1">
        <v>0</v>
      </c>
      <c r="I397" s="1">
        <v>2</v>
      </c>
      <c r="J397" s="15">
        <v>1</v>
      </c>
      <c r="K397" s="15">
        <v>0.5539021199315739</v>
      </c>
      <c r="M397" s="15">
        <v>35.811088295687888</v>
      </c>
      <c r="N397" s="15">
        <v>0.64836965195642149</v>
      </c>
    </row>
    <row r="398" spans="1:14" x14ac:dyDescent="0.25">
      <c r="A398" s="13" t="s">
        <v>318</v>
      </c>
      <c r="B398">
        <v>22.012320328542096</v>
      </c>
      <c r="C398" s="1">
        <v>1</v>
      </c>
      <c r="D398">
        <v>1</v>
      </c>
      <c r="F398" s="15">
        <v>48.821355236139631</v>
      </c>
      <c r="G398" s="1">
        <v>220</v>
      </c>
      <c r="H398" s="1">
        <v>0</v>
      </c>
      <c r="I398" s="1">
        <v>1</v>
      </c>
      <c r="J398" s="15">
        <v>1</v>
      </c>
      <c r="K398" s="15">
        <v>0.5539021199315739</v>
      </c>
      <c r="M398" s="15">
        <v>35.811088295687888</v>
      </c>
      <c r="N398" s="15">
        <v>0.64646268239184379</v>
      </c>
    </row>
    <row r="399" spans="1:14" x14ac:dyDescent="0.25">
      <c r="A399" s="13" t="s">
        <v>317</v>
      </c>
      <c r="B399">
        <v>32.229979466119097</v>
      </c>
      <c r="C399" s="1">
        <v>1</v>
      </c>
      <c r="D399">
        <v>1</v>
      </c>
      <c r="F399" s="15">
        <v>48.95277207392197</v>
      </c>
      <c r="G399" s="1">
        <v>219</v>
      </c>
      <c r="H399" s="1">
        <v>0</v>
      </c>
      <c r="I399" s="1">
        <v>1</v>
      </c>
      <c r="J399" s="15">
        <v>1</v>
      </c>
      <c r="K399" s="15">
        <v>0.5539021199315739</v>
      </c>
      <c r="M399" s="15">
        <v>35.909650924024639</v>
      </c>
      <c r="N399" s="15">
        <v>0.64646268239184379</v>
      </c>
    </row>
    <row r="400" spans="1:14" x14ac:dyDescent="0.25">
      <c r="A400" s="13" t="s">
        <v>316</v>
      </c>
      <c r="B400">
        <v>35.942505133470227</v>
      </c>
      <c r="C400" s="1">
        <v>0</v>
      </c>
      <c r="D400">
        <v>1</v>
      </c>
      <c r="F400" s="15">
        <v>49.051334702258728</v>
      </c>
      <c r="G400" s="1">
        <v>218</v>
      </c>
      <c r="H400" s="1">
        <v>1</v>
      </c>
      <c r="I400" s="1">
        <v>0</v>
      </c>
      <c r="J400" s="15">
        <v>0.99541284403669728</v>
      </c>
      <c r="K400" s="15">
        <v>0.55136128451904376</v>
      </c>
      <c r="M400" s="15">
        <v>35.909650924024639</v>
      </c>
      <c r="N400" s="15">
        <v>0.64454439550047338</v>
      </c>
    </row>
    <row r="401" spans="1:14" x14ac:dyDescent="0.25">
      <c r="A401" s="13" t="s">
        <v>315</v>
      </c>
      <c r="B401">
        <v>24.804928131416837</v>
      </c>
      <c r="C401" s="1">
        <v>1</v>
      </c>
      <c r="D401">
        <v>1</v>
      </c>
      <c r="F401" s="15">
        <v>49.248459958932237</v>
      </c>
      <c r="G401" s="1">
        <v>217</v>
      </c>
      <c r="H401" s="1">
        <v>0</v>
      </c>
      <c r="I401" s="1">
        <v>3</v>
      </c>
      <c r="J401" s="15">
        <v>1</v>
      </c>
      <c r="K401" s="15">
        <v>0.55136128451904376</v>
      </c>
      <c r="M401" s="15">
        <v>35.942505133470227</v>
      </c>
      <c r="N401" s="15">
        <v>0.64454439550047338</v>
      </c>
    </row>
    <row r="402" spans="1:14" x14ac:dyDescent="0.25">
      <c r="A402" s="13" t="s">
        <v>314</v>
      </c>
      <c r="B402">
        <v>45.601642710472277</v>
      </c>
      <c r="C402" s="1">
        <v>1</v>
      </c>
      <c r="D402">
        <v>1</v>
      </c>
      <c r="F402" s="15">
        <v>49.347022587268995</v>
      </c>
      <c r="G402" s="1">
        <v>214</v>
      </c>
      <c r="H402" s="1">
        <v>1</v>
      </c>
      <c r="I402" s="1">
        <v>2</v>
      </c>
      <c r="J402" s="15">
        <v>0.99532710280373837</v>
      </c>
      <c r="K402" s="15">
        <v>0.54878482991848754</v>
      </c>
      <c r="M402" s="15">
        <v>35.942505133470227</v>
      </c>
      <c r="N402" s="15">
        <v>0.64262038237957642</v>
      </c>
    </row>
    <row r="403" spans="1:14" x14ac:dyDescent="0.25">
      <c r="A403" s="13" t="s">
        <v>313</v>
      </c>
      <c r="B403">
        <v>45.568788501026695</v>
      </c>
      <c r="C403" s="1">
        <v>1</v>
      </c>
      <c r="D403">
        <v>1</v>
      </c>
      <c r="F403" s="15">
        <v>49.445585215605746</v>
      </c>
      <c r="G403" s="1">
        <v>211</v>
      </c>
      <c r="H403" s="1">
        <v>0</v>
      </c>
      <c r="I403" s="1">
        <v>1</v>
      </c>
      <c r="J403" s="15">
        <v>1</v>
      </c>
      <c r="K403" s="15">
        <v>0.54878482991848754</v>
      </c>
      <c r="M403" s="15">
        <v>36.303901437371664</v>
      </c>
      <c r="N403" s="15">
        <v>0.64262038237957642</v>
      </c>
    </row>
    <row r="404" spans="1:14" x14ac:dyDescent="0.25">
      <c r="A404" s="13" t="s">
        <v>312</v>
      </c>
      <c r="B404">
        <v>17.577002053388089</v>
      </c>
      <c r="C404" s="1">
        <v>1</v>
      </c>
      <c r="D404">
        <v>1</v>
      </c>
      <c r="F404" s="15">
        <v>49.741273100616013</v>
      </c>
      <c r="G404" s="1">
        <v>210</v>
      </c>
      <c r="H404" s="1">
        <v>0</v>
      </c>
      <c r="I404" s="1">
        <v>1</v>
      </c>
      <c r="J404" s="15">
        <v>1</v>
      </c>
      <c r="K404" s="15">
        <v>0.54878482991848754</v>
      </c>
      <c r="M404" s="15">
        <v>36.303901437371664</v>
      </c>
      <c r="N404" s="15">
        <v>0.63872571339545769</v>
      </c>
    </row>
    <row r="405" spans="1:14" x14ac:dyDescent="0.25">
      <c r="A405" s="13" t="s">
        <v>311</v>
      </c>
      <c r="B405">
        <v>54.308008213552363</v>
      </c>
      <c r="C405" s="1">
        <v>0</v>
      </c>
      <c r="D405">
        <v>1</v>
      </c>
      <c r="F405" s="15">
        <v>49.97125256673511</v>
      </c>
      <c r="G405" s="1">
        <v>209</v>
      </c>
      <c r="H405" s="1">
        <v>1</v>
      </c>
      <c r="I405" s="1">
        <v>0</v>
      </c>
      <c r="J405" s="15">
        <v>0.99521531100478466</v>
      </c>
      <c r="K405" s="15">
        <v>0.54615906518203539</v>
      </c>
      <c r="M405" s="15">
        <v>36.402464065708422</v>
      </c>
      <c r="N405" s="15">
        <v>0.63872571339545769</v>
      </c>
    </row>
    <row r="406" spans="1:14" x14ac:dyDescent="0.25">
      <c r="A406" s="13" t="s">
        <v>310</v>
      </c>
      <c r="B406">
        <v>62.554414784394254</v>
      </c>
      <c r="C406" s="1">
        <v>0</v>
      </c>
      <c r="D406">
        <v>1</v>
      </c>
      <c r="F406" s="15">
        <v>50.102669404517457</v>
      </c>
      <c r="G406" s="1">
        <v>208</v>
      </c>
      <c r="H406" s="1">
        <v>1</v>
      </c>
      <c r="I406" s="1">
        <v>0</v>
      </c>
      <c r="J406" s="15">
        <v>0.99519230769230771</v>
      </c>
      <c r="K406" s="15">
        <v>0.54353330044558334</v>
      </c>
      <c r="M406" s="15">
        <v>36.402464065708422</v>
      </c>
      <c r="N406" s="15">
        <v>0.63677837890339839</v>
      </c>
    </row>
    <row r="407" spans="1:14" x14ac:dyDescent="0.25">
      <c r="A407" s="13" t="s">
        <v>309</v>
      </c>
      <c r="B407">
        <v>61.371663244353179</v>
      </c>
      <c r="C407" s="1">
        <v>0</v>
      </c>
      <c r="D407">
        <v>1</v>
      </c>
      <c r="F407" s="15">
        <v>50.168377823408626</v>
      </c>
      <c r="G407" s="1">
        <v>207</v>
      </c>
      <c r="H407" s="1">
        <v>0</v>
      </c>
      <c r="I407" s="1">
        <v>1</v>
      </c>
      <c r="J407" s="15">
        <v>1</v>
      </c>
      <c r="K407" s="15">
        <v>0.54353330044558334</v>
      </c>
      <c r="M407" s="15">
        <v>36.79671457905544</v>
      </c>
      <c r="N407" s="15">
        <v>0.63677837890339839</v>
      </c>
    </row>
    <row r="408" spans="1:14" x14ac:dyDescent="0.25">
      <c r="A408" s="13" t="s">
        <v>308</v>
      </c>
      <c r="B408">
        <v>58.053388090349074</v>
      </c>
      <c r="C408" s="1">
        <v>0</v>
      </c>
      <c r="D408">
        <v>1</v>
      </c>
      <c r="F408" s="15">
        <v>50.201232032854207</v>
      </c>
      <c r="G408" s="1">
        <v>206</v>
      </c>
      <c r="H408" s="1">
        <v>1</v>
      </c>
      <c r="I408" s="1">
        <v>0</v>
      </c>
      <c r="J408" s="15">
        <v>0.99514563106796117</v>
      </c>
      <c r="K408" s="15">
        <v>0.54089478927837176</v>
      </c>
      <c r="M408" s="15">
        <v>36.79671457905544</v>
      </c>
      <c r="N408" s="15">
        <v>0.63480080629810831</v>
      </c>
    </row>
    <row r="409" spans="1:14" x14ac:dyDescent="0.25">
      <c r="A409" s="13" t="s">
        <v>307</v>
      </c>
      <c r="B409">
        <v>28.090349075975361</v>
      </c>
      <c r="C409" s="1">
        <v>1</v>
      </c>
      <c r="D409">
        <v>1</v>
      </c>
      <c r="F409" s="15">
        <v>51.154004106776178</v>
      </c>
      <c r="G409" s="1">
        <v>205</v>
      </c>
      <c r="H409" s="1">
        <v>0</v>
      </c>
      <c r="I409" s="1">
        <v>1</v>
      </c>
      <c r="J409" s="15">
        <v>1</v>
      </c>
      <c r="K409" s="15">
        <v>0.54089478927837176</v>
      </c>
      <c r="M409" s="15">
        <v>37.453798767967143</v>
      </c>
      <c r="N409" s="15">
        <v>0.63480080629810831</v>
      </c>
    </row>
    <row r="410" spans="1:14" x14ac:dyDescent="0.25">
      <c r="A410" s="13" t="s">
        <v>306</v>
      </c>
      <c r="B410">
        <v>38.012320328542096</v>
      </c>
      <c r="C410" s="1">
        <v>1</v>
      </c>
      <c r="D410">
        <v>1</v>
      </c>
      <c r="F410" s="15">
        <v>51.252566735112936</v>
      </c>
      <c r="G410" s="1">
        <v>204</v>
      </c>
      <c r="H410" s="1">
        <v>0</v>
      </c>
      <c r="I410" s="1">
        <v>1</v>
      </c>
      <c r="J410" s="15">
        <v>1</v>
      </c>
      <c r="K410" s="15">
        <v>0.54089478927837176</v>
      </c>
      <c r="M410" s="15">
        <v>37.453798767967143</v>
      </c>
      <c r="N410" s="15">
        <v>0.63281705377842667</v>
      </c>
    </row>
    <row r="411" spans="1:14" x14ac:dyDescent="0.25">
      <c r="A411" s="13" t="s">
        <v>305</v>
      </c>
      <c r="B411">
        <v>61.404517453798768</v>
      </c>
      <c r="C411" s="1">
        <v>0</v>
      </c>
      <c r="D411">
        <v>1</v>
      </c>
      <c r="F411" s="15">
        <v>51.581108829568791</v>
      </c>
      <c r="G411" s="1">
        <v>203</v>
      </c>
      <c r="H411" s="1">
        <v>0</v>
      </c>
      <c r="I411" s="1">
        <v>1</v>
      </c>
      <c r="J411" s="15">
        <v>1</v>
      </c>
      <c r="K411" s="15">
        <v>0.54089478927837176</v>
      </c>
      <c r="M411" s="15">
        <v>37.650924024640659</v>
      </c>
      <c r="N411" s="15">
        <v>0.63281705377842667</v>
      </c>
    </row>
    <row r="412" spans="1:14" x14ac:dyDescent="0.25">
      <c r="A412" s="13" t="s">
        <v>304</v>
      </c>
      <c r="B412">
        <v>37.848049281314168</v>
      </c>
      <c r="C412" s="1">
        <v>0</v>
      </c>
      <c r="D412">
        <v>1</v>
      </c>
      <c r="F412" s="15">
        <v>51.843942505133469</v>
      </c>
      <c r="G412" s="1">
        <v>202</v>
      </c>
      <c r="H412" s="1">
        <v>0</v>
      </c>
      <c r="I412" s="1">
        <v>1</v>
      </c>
      <c r="J412" s="15">
        <v>1</v>
      </c>
      <c r="K412" s="15">
        <v>0.54089478927837176</v>
      </c>
      <c r="M412" s="15">
        <v>37.650924024640659</v>
      </c>
      <c r="N412" s="15">
        <v>0.63083330125874504</v>
      </c>
    </row>
    <row r="413" spans="1:14" x14ac:dyDescent="0.25">
      <c r="A413" s="13" t="s">
        <v>303</v>
      </c>
      <c r="B413">
        <v>46.02874743326489</v>
      </c>
      <c r="C413" s="1">
        <v>0</v>
      </c>
      <c r="D413">
        <v>1</v>
      </c>
      <c r="F413" s="15">
        <v>51.975359342915809</v>
      </c>
      <c r="G413" s="1">
        <v>201</v>
      </c>
      <c r="H413" s="1">
        <v>0</v>
      </c>
      <c r="I413" s="1">
        <v>1</v>
      </c>
      <c r="J413" s="15">
        <v>1</v>
      </c>
      <c r="K413" s="15">
        <v>0.54089478927837176</v>
      </c>
      <c r="M413" s="15">
        <v>37.782340862422998</v>
      </c>
      <c r="N413" s="15">
        <v>0.63083330125874504</v>
      </c>
    </row>
    <row r="414" spans="1:14" x14ac:dyDescent="0.25">
      <c r="A414" s="13" t="s">
        <v>302</v>
      </c>
      <c r="B414">
        <v>30.160164271047229</v>
      </c>
      <c r="C414" s="1">
        <v>0</v>
      </c>
      <c r="D414">
        <v>1</v>
      </c>
      <c r="F414" s="15">
        <v>52.139630390143736</v>
      </c>
      <c r="G414" s="1">
        <v>200</v>
      </c>
      <c r="H414" s="1">
        <v>1</v>
      </c>
      <c r="I414" s="1">
        <v>0</v>
      </c>
      <c r="J414" s="15">
        <v>0.995</v>
      </c>
      <c r="K414" s="15">
        <v>0.53819031533197992</v>
      </c>
      <c r="M414" s="15">
        <v>37.782340862422998</v>
      </c>
      <c r="N414" s="15">
        <v>0.6288495487390634</v>
      </c>
    </row>
    <row r="415" spans="1:14" x14ac:dyDescent="0.25">
      <c r="A415" s="13" t="s">
        <v>301</v>
      </c>
      <c r="B415">
        <v>24.476386036960985</v>
      </c>
      <c r="C415" s="1">
        <v>1</v>
      </c>
      <c r="D415">
        <v>1</v>
      </c>
      <c r="F415" s="15">
        <v>52.205338809034906</v>
      </c>
      <c r="G415" s="1">
        <v>199</v>
      </c>
      <c r="H415" s="1">
        <v>1</v>
      </c>
      <c r="I415" s="1">
        <v>0</v>
      </c>
      <c r="J415" s="15">
        <v>0.99497487437185927</v>
      </c>
      <c r="K415" s="15">
        <v>0.53548584138558808</v>
      </c>
      <c r="M415" s="15">
        <v>38.012320328542096</v>
      </c>
      <c r="N415" s="15">
        <v>0.6288495487390634</v>
      </c>
    </row>
    <row r="416" spans="1:14" x14ac:dyDescent="0.25">
      <c r="A416" s="13" t="s">
        <v>300</v>
      </c>
      <c r="B416">
        <v>42.151950718685832</v>
      </c>
      <c r="C416" s="1">
        <v>0</v>
      </c>
      <c r="D416">
        <v>1</v>
      </c>
      <c r="F416" s="15">
        <v>52.501026694045173</v>
      </c>
      <c r="G416" s="1">
        <v>198</v>
      </c>
      <c r="H416" s="1">
        <v>0</v>
      </c>
      <c r="I416" s="1">
        <v>1</v>
      </c>
      <c r="J416" s="15">
        <v>1</v>
      </c>
      <c r="K416" s="15">
        <v>0.53548584138558808</v>
      </c>
      <c r="M416" s="15">
        <v>38.012320328542096</v>
      </c>
      <c r="N416" s="15">
        <v>0.62685320096528863</v>
      </c>
    </row>
    <row r="417" spans="1:14" x14ac:dyDescent="0.25">
      <c r="A417" s="13" t="s">
        <v>299</v>
      </c>
      <c r="B417">
        <v>48.657084188911703</v>
      </c>
      <c r="C417" s="1">
        <v>1</v>
      </c>
      <c r="D417">
        <v>1</v>
      </c>
      <c r="F417" s="15">
        <v>52.566735112936342</v>
      </c>
      <c r="G417" s="1">
        <v>197</v>
      </c>
      <c r="H417" s="1">
        <v>0</v>
      </c>
      <c r="I417" s="1">
        <v>1</v>
      </c>
      <c r="J417" s="15">
        <v>1</v>
      </c>
      <c r="K417" s="15">
        <v>0.53548584138558808</v>
      </c>
      <c r="M417" s="15">
        <v>38.176591375770023</v>
      </c>
      <c r="N417" s="15">
        <v>0.62685320096528863</v>
      </c>
    </row>
    <row r="418" spans="1:14" x14ac:dyDescent="0.25">
      <c r="A418" s="13" t="s">
        <v>298</v>
      </c>
      <c r="B418">
        <v>59.367556468172488</v>
      </c>
      <c r="C418" s="1">
        <v>0</v>
      </c>
      <c r="D418">
        <v>1</v>
      </c>
      <c r="F418" s="15">
        <v>52.599589322381931</v>
      </c>
      <c r="G418" s="1">
        <v>196</v>
      </c>
      <c r="H418" s="1">
        <v>1</v>
      </c>
      <c r="I418" s="1">
        <v>0</v>
      </c>
      <c r="J418" s="15">
        <v>0.99489795918367352</v>
      </c>
      <c r="K418" s="15">
        <v>0.53275377076627384</v>
      </c>
      <c r="M418" s="15">
        <v>38.176591375770023</v>
      </c>
      <c r="N418" s="15">
        <v>0.62485685319151385</v>
      </c>
    </row>
    <row r="419" spans="1:14" x14ac:dyDescent="0.25">
      <c r="A419" s="13" t="s">
        <v>297</v>
      </c>
      <c r="B419">
        <v>17.806981519507186</v>
      </c>
      <c r="C419" s="1">
        <v>1</v>
      </c>
      <c r="D419">
        <v>1</v>
      </c>
      <c r="F419" s="15">
        <v>52.6652977412731</v>
      </c>
      <c r="G419" s="1">
        <v>195</v>
      </c>
      <c r="H419" s="1">
        <v>0</v>
      </c>
      <c r="I419" s="1">
        <v>1</v>
      </c>
      <c r="J419" s="15">
        <v>1</v>
      </c>
      <c r="K419" s="15">
        <v>0.53275377076627384</v>
      </c>
      <c r="M419" s="15">
        <v>38.242299794661193</v>
      </c>
      <c r="N419" s="15">
        <v>0.62485685319151385</v>
      </c>
    </row>
    <row r="420" spans="1:14" x14ac:dyDescent="0.25">
      <c r="A420" s="13" t="s">
        <v>296</v>
      </c>
      <c r="B420">
        <v>47.342915811088297</v>
      </c>
      <c r="C420" s="1">
        <v>0</v>
      </c>
      <c r="D420">
        <v>1</v>
      </c>
      <c r="F420" s="15">
        <v>52.698151950718689</v>
      </c>
      <c r="G420" s="1">
        <v>194</v>
      </c>
      <c r="H420" s="1">
        <v>0</v>
      </c>
      <c r="I420" s="1">
        <v>1</v>
      </c>
      <c r="J420" s="15">
        <v>1</v>
      </c>
      <c r="K420" s="15">
        <v>0.53275377076627384</v>
      </c>
      <c r="M420" s="15">
        <v>38.242299794661193</v>
      </c>
      <c r="N420" s="15">
        <v>0.62285410686718212</v>
      </c>
    </row>
    <row r="421" spans="1:14" x14ac:dyDescent="0.25">
      <c r="A421" s="13" t="s">
        <v>295</v>
      </c>
      <c r="B421">
        <v>41.954825462012323</v>
      </c>
      <c r="C421" s="1">
        <v>0</v>
      </c>
      <c r="D421">
        <v>1</v>
      </c>
      <c r="F421" s="15">
        <v>53.125256673511295</v>
      </c>
      <c r="G421" s="1">
        <v>193</v>
      </c>
      <c r="H421" s="1">
        <v>0</v>
      </c>
      <c r="I421" s="1">
        <v>1</v>
      </c>
      <c r="J421" s="15">
        <v>1</v>
      </c>
      <c r="K421" s="15">
        <v>0.53275377076627384</v>
      </c>
      <c r="M421" s="15">
        <v>38.439425051334702</v>
      </c>
      <c r="N421" s="15">
        <v>0.62285410686718212</v>
      </c>
    </row>
    <row r="422" spans="1:14" x14ac:dyDescent="0.25">
      <c r="A422" s="13" t="s">
        <v>294</v>
      </c>
      <c r="B422">
        <v>48.821355236139631</v>
      </c>
      <c r="C422" s="1">
        <v>0</v>
      </c>
      <c r="D422">
        <v>1</v>
      </c>
      <c r="F422" s="15">
        <v>53.355236139630392</v>
      </c>
      <c r="G422" s="1">
        <v>192</v>
      </c>
      <c r="H422" s="1">
        <v>0</v>
      </c>
      <c r="I422" s="1">
        <v>2</v>
      </c>
      <c r="J422" s="15">
        <v>1</v>
      </c>
      <c r="K422" s="15">
        <v>0.53275377076627384</v>
      </c>
      <c r="M422" s="15">
        <v>38.439425051334702</v>
      </c>
      <c r="N422" s="15">
        <v>0.62083839778346961</v>
      </c>
    </row>
    <row r="423" spans="1:14" x14ac:dyDescent="0.25">
      <c r="A423" s="13" t="s">
        <v>293</v>
      </c>
      <c r="B423">
        <v>8.9691991786447645</v>
      </c>
      <c r="C423" s="1">
        <v>0</v>
      </c>
      <c r="D423">
        <v>1</v>
      </c>
      <c r="F423" s="15">
        <v>53.388090349075974</v>
      </c>
      <c r="G423" s="1">
        <v>190</v>
      </c>
      <c r="H423" s="1">
        <v>0</v>
      </c>
      <c r="I423" s="1">
        <v>1</v>
      </c>
      <c r="J423" s="15">
        <v>1</v>
      </c>
      <c r="K423" s="15">
        <v>0.53275377076627384</v>
      </c>
      <c r="M423" s="15">
        <v>38.570841889117041</v>
      </c>
      <c r="N423" s="15">
        <v>0.62083839778346961</v>
      </c>
    </row>
    <row r="424" spans="1:14" x14ac:dyDescent="0.25">
      <c r="A424" s="13" t="s">
        <v>292</v>
      </c>
      <c r="B424">
        <v>5.8151950718685832</v>
      </c>
      <c r="C424" s="1">
        <v>1</v>
      </c>
      <c r="D424">
        <v>1</v>
      </c>
      <c r="F424" s="15">
        <v>53.453798767967143</v>
      </c>
      <c r="G424" s="1">
        <v>189</v>
      </c>
      <c r="H424" s="1">
        <v>0</v>
      </c>
      <c r="I424" s="1">
        <v>1</v>
      </c>
      <c r="J424" s="15">
        <v>1</v>
      </c>
      <c r="K424" s="15">
        <v>0.53275377076627384</v>
      </c>
      <c r="M424" s="15">
        <v>38.570841889117041</v>
      </c>
      <c r="N424" s="15">
        <v>0.61881612287212284</v>
      </c>
    </row>
    <row r="425" spans="1:14" x14ac:dyDescent="0.25">
      <c r="A425" s="13" t="s">
        <v>291</v>
      </c>
      <c r="B425">
        <v>17.905544147843944</v>
      </c>
      <c r="C425" s="1">
        <v>1</v>
      </c>
      <c r="D425">
        <v>1</v>
      </c>
      <c r="F425" s="15">
        <v>53.519507186858313</v>
      </c>
      <c r="G425" s="1">
        <v>188</v>
      </c>
      <c r="H425" s="1">
        <v>0</v>
      </c>
      <c r="I425" s="1">
        <v>1</v>
      </c>
      <c r="J425" s="15">
        <v>1</v>
      </c>
      <c r="K425" s="15">
        <v>0.53275377076627384</v>
      </c>
      <c r="M425" s="15">
        <v>38.866529774127308</v>
      </c>
      <c r="N425" s="15">
        <v>0.61881612287212284</v>
      </c>
    </row>
    <row r="426" spans="1:14" x14ac:dyDescent="0.25">
      <c r="A426" s="13" t="s">
        <v>290</v>
      </c>
      <c r="B426">
        <v>38.932238193018478</v>
      </c>
      <c r="C426" s="1">
        <v>0</v>
      </c>
      <c r="D426">
        <v>1</v>
      </c>
      <c r="F426" s="15">
        <v>53.618069815195071</v>
      </c>
      <c r="G426" s="1">
        <v>187</v>
      </c>
      <c r="H426" s="1">
        <v>0</v>
      </c>
      <c r="I426" s="1">
        <v>1</v>
      </c>
      <c r="J426" s="15">
        <v>1</v>
      </c>
      <c r="K426" s="15">
        <v>0.53275377076627384</v>
      </c>
      <c r="M426" s="15">
        <v>38.866529774127308</v>
      </c>
      <c r="N426" s="15">
        <v>0.61678054352056977</v>
      </c>
    </row>
    <row r="427" spans="1:14" x14ac:dyDescent="0.25">
      <c r="A427" s="13" t="s">
        <v>289</v>
      </c>
      <c r="B427">
        <v>20.73100616016427</v>
      </c>
      <c r="C427" s="1">
        <v>0</v>
      </c>
      <c r="D427">
        <v>1</v>
      </c>
      <c r="F427" s="15">
        <v>53.782340862422998</v>
      </c>
      <c r="G427" s="1">
        <v>186</v>
      </c>
      <c r="H427" s="1">
        <v>0</v>
      </c>
      <c r="I427" s="1">
        <v>1</v>
      </c>
      <c r="J427" s="15">
        <v>1</v>
      </c>
      <c r="K427" s="15">
        <v>0.53275377076627384</v>
      </c>
      <c r="M427" s="15">
        <v>39.162217659137575</v>
      </c>
      <c r="N427" s="15">
        <v>0.61678054352056977</v>
      </c>
    </row>
    <row r="428" spans="1:14" x14ac:dyDescent="0.25">
      <c r="A428" s="13" t="s">
        <v>288</v>
      </c>
      <c r="B428">
        <v>32.689938398357292</v>
      </c>
      <c r="C428" s="1">
        <v>0</v>
      </c>
      <c r="D428">
        <v>1</v>
      </c>
      <c r="F428" s="15">
        <v>53.913757700205338</v>
      </c>
      <c r="G428" s="1">
        <v>185</v>
      </c>
      <c r="H428" s="1">
        <v>1</v>
      </c>
      <c r="I428" s="1">
        <v>0</v>
      </c>
      <c r="J428" s="15">
        <v>0.99459459459459465</v>
      </c>
      <c r="K428" s="15">
        <v>0.52987402065402378</v>
      </c>
      <c r="M428" s="15">
        <v>39.162217659137575</v>
      </c>
      <c r="N428" s="15">
        <v>0.61473822384003807</v>
      </c>
    </row>
    <row r="429" spans="1:14" x14ac:dyDescent="0.25">
      <c r="A429" s="13" t="s">
        <v>287</v>
      </c>
      <c r="B429">
        <v>35.745379876796711</v>
      </c>
      <c r="C429" s="1">
        <v>0</v>
      </c>
      <c r="D429">
        <v>1</v>
      </c>
      <c r="F429" s="15">
        <v>53.946611909650926</v>
      </c>
      <c r="G429" s="1">
        <v>184</v>
      </c>
      <c r="H429" s="1">
        <v>0</v>
      </c>
      <c r="I429" s="1">
        <v>1</v>
      </c>
      <c r="J429" s="15">
        <v>1</v>
      </c>
      <c r="K429" s="15">
        <v>0.52987402065402378</v>
      </c>
      <c r="M429" s="15">
        <v>39.195071868583163</v>
      </c>
      <c r="N429" s="15">
        <v>0.61473822384003807</v>
      </c>
    </row>
    <row r="430" spans="1:14" x14ac:dyDescent="0.25">
      <c r="A430" s="13" t="s">
        <v>286</v>
      </c>
      <c r="B430">
        <v>28.813141683778234</v>
      </c>
      <c r="C430" s="1">
        <v>0</v>
      </c>
      <c r="D430">
        <v>1</v>
      </c>
      <c r="F430" s="15">
        <v>54.045174537987677</v>
      </c>
      <c r="G430" s="1">
        <v>183</v>
      </c>
      <c r="H430" s="1">
        <v>0</v>
      </c>
      <c r="I430" s="1">
        <v>2</v>
      </c>
      <c r="J430" s="15">
        <v>1</v>
      </c>
      <c r="K430" s="15">
        <v>0.52987402065402378</v>
      </c>
      <c r="M430" s="15">
        <v>39.195071868583163</v>
      </c>
      <c r="N430" s="15">
        <v>0.61268909642723801</v>
      </c>
    </row>
    <row r="431" spans="1:14" x14ac:dyDescent="0.25">
      <c r="A431" s="13" t="s">
        <v>285</v>
      </c>
      <c r="B431">
        <v>26.217659137577002</v>
      </c>
      <c r="C431" s="1">
        <v>0</v>
      </c>
      <c r="D431">
        <v>1</v>
      </c>
      <c r="F431" s="15">
        <v>54.308008213552363</v>
      </c>
      <c r="G431" s="1">
        <v>181</v>
      </c>
      <c r="H431" s="1">
        <v>0</v>
      </c>
      <c r="I431" s="1">
        <v>1</v>
      </c>
      <c r="J431" s="15">
        <v>1</v>
      </c>
      <c r="K431" s="15">
        <v>0.52987402065402378</v>
      </c>
      <c r="M431" s="15">
        <v>39.655030800821358</v>
      </c>
      <c r="N431" s="15">
        <v>0.61268909642723801</v>
      </c>
    </row>
    <row r="432" spans="1:14" x14ac:dyDescent="0.25">
      <c r="A432" s="13" t="s">
        <v>284</v>
      </c>
      <c r="B432">
        <v>78.19301848049281</v>
      </c>
      <c r="C432" s="1">
        <v>0</v>
      </c>
      <c r="D432">
        <v>1</v>
      </c>
      <c r="F432" s="15">
        <v>54.373716632443532</v>
      </c>
      <c r="G432" s="1">
        <v>180</v>
      </c>
      <c r="H432" s="1">
        <v>0</v>
      </c>
      <c r="I432" s="1">
        <v>1</v>
      </c>
      <c r="J432" s="15">
        <v>1</v>
      </c>
      <c r="K432" s="15">
        <v>0.52987402065402378</v>
      </c>
      <c r="M432" s="15">
        <v>39.655030800821358</v>
      </c>
      <c r="N432" s="15">
        <v>0.61062617017664123</v>
      </c>
    </row>
    <row r="433" spans="1:14" x14ac:dyDescent="0.25">
      <c r="A433" s="13" t="s">
        <v>283</v>
      </c>
      <c r="B433">
        <v>55.162217659137575</v>
      </c>
      <c r="C433" s="1">
        <v>1</v>
      </c>
      <c r="D433">
        <v>1</v>
      </c>
      <c r="F433" s="15">
        <v>54.735112936344969</v>
      </c>
      <c r="G433" s="1">
        <v>179</v>
      </c>
      <c r="H433" s="1">
        <v>0</v>
      </c>
      <c r="I433" s="1">
        <v>2</v>
      </c>
      <c r="J433" s="15">
        <v>1</v>
      </c>
      <c r="K433" s="15">
        <v>0.52987402065402378</v>
      </c>
      <c r="M433" s="15">
        <v>40.016427104722794</v>
      </c>
      <c r="N433" s="15">
        <v>0.61062617017664123</v>
      </c>
    </row>
    <row r="434" spans="1:14" x14ac:dyDescent="0.25">
      <c r="A434" s="13" t="s">
        <v>282</v>
      </c>
      <c r="B434">
        <v>16.361396303901437</v>
      </c>
      <c r="C434" s="1">
        <v>1</v>
      </c>
      <c r="D434">
        <v>1</v>
      </c>
      <c r="F434" s="15">
        <v>55.030800821355236</v>
      </c>
      <c r="G434" s="1">
        <v>177</v>
      </c>
      <c r="H434" s="1">
        <v>1</v>
      </c>
      <c r="I434" s="1">
        <v>1</v>
      </c>
      <c r="J434" s="15">
        <v>0.99435028248587576</v>
      </c>
      <c r="K434" s="15">
        <v>0.52688038211925536</v>
      </c>
      <c r="M434" s="15">
        <v>40.016427104722794</v>
      </c>
      <c r="N434" s="15">
        <v>0.60854921041413568</v>
      </c>
    </row>
    <row r="435" spans="1:14" x14ac:dyDescent="0.25">
      <c r="A435" s="13" t="s">
        <v>281</v>
      </c>
      <c r="B435">
        <v>70.242299794661193</v>
      </c>
      <c r="C435" s="1">
        <v>0</v>
      </c>
      <c r="D435">
        <v>1</v>
      </c>
      <c r="F435" s="15">
        <v>55.162217659137575</v>
      </c>
      <c r="G435" s="1">
        <v>175</v>
      </c>
      <c r="H435" s="1">
        <v>1</v>
      </c>
      <c r="I435" s="1">
        <v>0</v>
      </c>
      <c r="J435" s="15">
        <v>0.99428571428571433</v>
      </c>
      <c r="K435" s="15">
        <v>0.52386963707857392</v>
      </c>
      <c r="M435" s="15">
        <v>40.049281314168375</v>
      </c>
      <c r="N435" s="15">
        <v>0.60854921041413568</v>
      </c>
    </row>
    <row r="436" spans="1:14" x14ac:dyDescent="0.25">
      <c r="A436" s="13" t="s">
        <v>280</v>
      </c>
      <c r="B436">
        <v>71.457905544147849</v>
      </c>
      <c r="C436" s="1">
        <v>0</v>
      </c>
      <c r="D436">
        <v>1</v>
      </c>
      <c r="F436" s="15">
        <v>55.195071868583163</v>
      </c>
      <c r="G436" s="1">
        <v>174</v>
      </c>
      <c r="H436" s="1">
        <v>0</v>
      </c>
      <c r="I436" s="1">
        <v>1</v>
      </c>
      <c r="J436" s="15">
        <v>1</v>
      </c>
      <c r="K436" s="15">
        <v>0.52386963707857392</v>
      </c>
      <c r="M436" s="15">
        <v>40.049281314168375</v>
      </c>
      <c r="N436" s="15">
        <v>0.60647225065163002</v>
      </c>
    </row>
    <row r="437" spans="1:14" x14ac:dyDescent="0.25">
      <c r="A437" s="13" t="s">
        <v>279</v>
      </c>
      <c r="B437">
        <v>74.611909650924019</v>
      </c>
      <c r="C437" s="1">
        <v>0</v>
      </c>
      <c r="D437">
        <v>1</v>
      </c>
      <c r="F437" s="15">
        <v>55.326488706365502</v>
      </c>
      <c r="G437" s="1">
        <v>173</v>
      </c>
      <c r="H437" s="1">
        <v>1</v>
      </c>
      <c r="I437" s="1">
        <v>0</v>
      </c>
      <c r="J437" s="15">
        <v>0.9942196531791907</v>
      </c>
      <c r="K437" s="15">
        <v>0.52084148888736825</v>
      </c>
      <c r="M437" s="15">
        <v>40.246406570841891</v>
      </c>
      <c r="N437" s="15">
        <v>0.60647225065163002</v>
      </c>
    </row>
    <row r="438" spans="1:14" x14ac:dyDescent="0.25">
      <c r="A438" s="13" t="s">
        <v>278</v>
      </c>
      <c r="B438">
        <v>0.55852156057494862</v>
      </c>
      <c r="C438" s="1">
        <v>0</v>
      </c>
      <c r="D438">
        <v>1</v>
      </c>
      <c r="F438" s="15">
        <v>55.359342915811091</v>
      </c>
      <c r="G438" s="1">
        <v>172</v>
      </c>
      <c r="H438" s="1">
        <v>0</v>
      </c>
      <c r="I438" s="1">
        <v>1</v>
      </c>
      <c r="J438" s="15">
        <v>1</v>
      </c>
      <c r="K438" s="15">
        <v>0.52084148888736825</v>
      </c>
      <c r="M438" s="15">
        <v>40.246406570841891</v>
      </c>
      <c r="N438" s="15">
        <v>0.60437373075318146</v>
      </c>
    </row>
    <row r="439" spans="1:14" x14ac:dyDescent="0.25">
      <c r="A439" s="13" t="s">
        <v>277</v>
      </c>
      <c r="B439">
        <v>31.671457905544148</v>
      </c>
      <c r="C439" s="1">
        <v>1</v>
      </c>
      <c r="D439">
        <v>1</v>
      </c>
      <c r="F439" s="15">
        <v>55.589322381930188</v>
      </c>
      <c r="G439" s="1">
        <v>171</v>
      </c>
      <c r="H439" s="1">
        <v>0</v>
      </c>
      <c r="I439" s="1">
        <v>1</v>
      </c>
      <c r="J439" s="15">
        <v>1</v>
      </c>
      <c r="K439" s="15">
        <v>0.52084148888736825</v>
      </c>
      <c r="M439" s="15">
        <v>40.936344969199176</v>
      </c>
      <c r="N439" s="15">
        <v>0.60437373075318146</v>
      </c>
    </row>
    <row r="440" spans="1:14" x14ac:dyDescent="0.25">
      <c r="A440" s="13" t="s">
        <v>276</v>
      </c>
      <c r="B440">
        <v>17.741273100616016</v>
      </c>
      <c r="C440" s="1">
        <v>1</v>
      </c>
      <c r="D440">
        <v>1</v>
      </c>
      <c r="F440" s="15">
        <v>55.622176591375769</v>
      </c>
      <c r="G440" s="1">
        <v>170</v>
      </c>
      <c r="H440" s="1">
        <v>0</v>
      </c>
      <c r="I440" s="1">
        <v>2</v>
      </c>
      <c r="J440" s="15">
        <v>1</v>
      </c>
      <c r="K440" s="15">
        <v>0.52084148888736825</v>
      </c>
      <c r="M440" s="15">
        <v>40.936344969199176</v>
      </c>
      <c r="N440" s="15">
        <v>0.6022305614951915</v>
      </c>
    </row>
    <row r="441" spans="1:14" x14ac:dyDescent="0.25">
      <c r="A441" s="13" t="s">
        <v>275</v>
      </c>
      <c r="B441">
        <v>24.542094455852155</v>
      </c>
      <c r="C441" s="1">
        <v>1</v>
      </c>
      <c r="D441">
        <v>1</v>
      </c>
      <c r="F441" s="15">
        <v>55.885010266940455</v>
      </c>
      <c r="G441" s="1">
        <v>168</v>
      </c>
      <c r="H441" s="1">
        <v>1</v>
      </c>
      <c r="I441" s="1">
        <v>2</v>
      </c>
      <c r="J441" s="15">
        <v>0.99404761904761907</v>
      </c>
      <c r="K441" s="15">
        <v>0.51774124192970539</v>
      </c>
      <c r="M441" s="15">
        <v>41.166324435318273</v>
      </c>
      <c r="N441" s="15">
        <v>0.6022305614951915</v>
      </c>
    </row>
    <row r="442" spans="1:14" x14ac:dyDescent="0.25">
      <c r="A442" s="13" t="s">
        <v>274</v>
      </c>
      <c r="B442">
        <v>21.355236139630389</v>
      </c>
      <c r="C442" s="1">
        <v>1</v>
      </c>
      <c r="D442">
        <v>1</v>
      </c>
      <c r="F442" s="15">
        <v>55.917864476386036</v>
      </c>
      <c r="G442" s="1">
        <v>165</v>
      </c>
      <c r="H442" s="1">
        <v>0</v>
      </c>
      <c r="I442" s="1">
        <v>1</v>
      </c>
      <c r="J442" s="15">
        <v>1</v>
      </c>
      <c r="K442" s="15">
        <v>0.51774124192970539</v>
      </c>
      <c r="M442" s="15">
        <v>41.166324435318273</v>
      </c>
      <c r="N442" s="15">
        <v>0.60007973806128012</v>
      </c>
    </row>
    <row r="443" spans="1:14" x14ac:dyDescent="0.25">
      <c r="A443" s="13" t="s">
        <v>273</v>
      </c>
      <c r="B443">
        <v>13.470225872689939</v>
      </c>
      <c r="C443" s="1">
        <v>1</v>
      </c>
      <c r="D443">
        <v>1</v>
      </c>
      <c r="F443" s="15">
        <v>55.950718685831625</v>
      </c>
      <c r="G443" s="1">
        <v>164</v>
      </c>
      <c r="H443" s="1">
        <v>0</v>
      </c>
      <c r="I443" s="1">
        <v>2</v>
      </c>
      <c r="J443" s="15">
        <v>1</v>
      </c>
      <c r="K443" s="15">
        <v>0.51774124192970539</v>
      </c>
      <c r="M443" s="15">
        <v>42.020533880903493</v>
      </c>
      <c r="N443" s="15">
        <v>0.60007973806128012</v>
      </c>
    </row>
    <row r="444" spans="1:14" x14ac:dyDescent="0.25">
      <c r="A444" s="13" t="s">
        <v>272</v>
      </c>
      <c r="B444">
        <v>20.501026694045173</v>
      </c>
      <c r="C444" s="1">
        <v>1</v>
      </c>
      <c r="D444">
        <v>1</v>
      </c>
      <c r="F444" s="15">
        <v>56.082135523613964</v>
      </c>
      <c r="G444" s="1">
        <v>162</v>
      </c>
      <c r="H444" s="1">
        <v>0</v>
      </c>
      <c r="I444" s="1">
        <v>1</v>
      </c>
      <c r="J444" s="15">
        <v>1</v>
      </c>
      <c r="K444" s="15">
        <v>0.51774124192970539</v>
      </c>
      <c r="M444" s="15">
        <v>42.020533880903493</v>
      </c>
      <c r="N444" s="15">
        <v>0.59791338521629356</v>
      </c>
    </row>
    <row r="445" spans="1:14" x14ac:dyDescent="0.25">
      <c r="A445" s="13" t="s">
        <v>271</v>
      </c>
      <c r="B445">
        <v>51.252566735112936</v>
      </c>
      <c r="C445" s="1">
        <v>0</v>
      </c>
      <c r="D445">
        <v>1</v>
      </c>
      <c r="F445" s="15">
        <v>56.312114989733061</v>
      </c>
      <c r="G445" s="1">
        <v>161</v>
      </c>
      <c r="H445" s="1">
        <v>0</v>
      </c>
      <c r="I445" s="1">
        <v>1</v>
      </c>
      <c r="J445" s="15">
        <v>1</v>
      </c>
      <c r="K445" s="15">
        <v>0.51774124192970539</v>
      </c>
      <c r="M445" s="15">
        <v>42.053388090349074</v>
      </c>
      <c r="N445" s="15">
        <v>0.59791338521629356</v>
      </c>
    </row>
    <row r="446" spans="1:14" x14ac:dyDescent="0.25">
      <c r="A446" s="13" t="s">
        <v>270</v>
      </c>
      <c r="B446">
        <v>14.948665297741274</v>
      </c>
      <c r="C446" s="1">
        <v>1</v>
      </c>
      <c r="D446">
        <v>1</v>
      </c>
      <c r="F446" s="15">
        <v>56.410677618069812</v>
      </c>
      <c r="G446" s="1">
        <v>160</v>
      </c>
      <c r="H446" s="1">
        <v>0</v>
      </c>
      <c r="I446" s="1">
        <v>2</v>
      </c>
      <c r="J446" s="15">
        <v>1</v>
      </c>
      <c r="K446" s="15">
        <v>0.51774124192970539</v>
      </c>
      <c r="M446" s="15">
        <v>42.053388090349074</v>
      </c>
      <c r="N446" s="15">
        <v>0.59358067952632043</v>
      </c>
    </row>
    <row r="447" spans="1:14" x14ac:dyDescent="0.25">
      <c r="A447" s="13" t="s">
        <v>269</v>
      </c>
      <c r="B447">
        <v>53.519507186858313</v>
      </c>
      <c r="C447" s="1">
        <v>0</v>
      </c>
      <c r="D447">
        <v>1</v>
      </c>
      <c r="F447" s="15">
        <v>56.50924024640657</v>
      </c>
      <c r="G447" s="1">
        <v>158</v>
      </c>
      <c r="H447" s="1">
        <v>0</v>
      </c>
      <c r="I447" s="1">
        <v>2</v>
      </c>
      <c r="J447" s="15">
        <v>1</v>
      </c>
      <c r="K447" s="15">
        <v>0.51774124192970539</v>
      </c>
      <c r="M447" s="15">
        <v>42.579055441478438</v>
      </c>
      <c r="N447" s="15">
        <v>0.59358067952632043</v>
      </c>
    </row>
    <row r="448" spans="1:14" x14ac:dyDescent="0.25">
      <c r="A448" s="13" t="s">
        <v>268</v>
      </c>
      <c r="B448">
        <v>56.837782340862425</v>
      </c>
      <c r="C448" s="1">
        <v>0</v>
      </c>
      <c r="D448">
        <v>1</v>
      </c>
      <c r="F448" s="15">
        <v>56.542094455852158</v>
      </c>
      <c r="G448" s="1">
        <v>156</v>
      </c>
      <c r="H448" s="1">
        <v>0</v>
      </c>
      <c r="I448" s="1">
        <v>1</v>
      </c>
      <c r="J448" s="15">
        <v>1</v>
      </c>
      <c r="K448" s="15">
        <v>0.51774124192970539</v>
      </c>
      <c r="M448" s="15">
        <v>42.579055441478438</v>
      </c>
      <c r="N448" s="15">
        <v>0.59140639132292727</v>
      </c>
    </row>
    <row r="449" spans="1:14" x14ac:dyDescent="0.25">
      <c r="A449" s="13" t="s">
        <v>267</v>
      </c>
      <c r="B449">
        <v>48.722792607802873</v>
      </c>
      <c r="C449" s="1">
        <v>0</v>
      </c>
      <c r="D449">
        <v>1</v>
      </c>
      <c r="F449" s="15">
        <v>56.57494866529774</v>
      </c>
      <c r="G449" s="1">
        <v>155</v>
      </c>
      <c r="H449" s="1">
        <v>0</v>
      </c>
      <c r="I449" s="1">
        <v>3</v>
      </c>
      <c r="J449" s="15">
        <v>1</v>
      </c>
      <c r="K449" s="15">
        <v>0.51774124192970539</v>
      </c>
      <c r="M449" s="15">
        <v>42.907597535934293</v>
      </c>
      <c r="N449" s="15">
        <v>0.59140639132292727</v>
      </c>
    </row>
    <row r="450" spans="1:14" x14ac:dyDescent="0.25">
      <c r="A450" s="13" t="s">
        <v>266</v>
      </c>
      <c r="B450">
        <v>22.570841889117045</v>
      </c>
      <c r="C450" s="1">
        <v>1</v>
      </c>
      <c r="D450">
        <v>1</v>
      </c>
      <c r="F450" s="15">
        <v>56.804928131416837</v>
      </c>
      <c r="G450" s="1">
        <v>152</v>
      </c>
      <c r="H450" s="1">
        <v>0</v>
      </c>
      <c r="I450" s="1">
        <v>2</v>
      </c>
      <c r="J450" s="15">
        <v>1</v>
      </c>
      <c r="K450" s="15">
        <v>0.51774124192970539</v>
      </c>
      <c r="M450" s="15">
        <v>42.907597535934293</v>
      </c>
      <c r="N450" s="15">
        <v>0.58922407991583159</v>
      </c>
    </row>
    <row r="451" spans="1:14" x14ac:dyDescent="0.25">
      <c r="A451" s="13" t="s">
        <v>265</v>
      </c>
      <c r="B451">
        <v>10.119096509240247</v>
      </c>
      <c r="C451" s="1">
        <v>1</v>
      </c>
      <c r="D451">
        <v>1</v>
      </c>
      <c r="F451" s="15">
        <v>56.837782340862425</v>
      </c>
      <c r="G451" s="1">
        <v>150</v>
      </c>
      <c r="H451" s="1">
        <v>1</v>
      </c>
      <c r="I451" s="1">
        <v>1</v>
      </c>
      <c r="J451" s="15">
        <v>0.99333333333333329</v>
      </c>
      <c r="K451" s="15">
        <v>0.51428963365017399</v>
      </c>
      <c r="M451" s="15">
        <v>43.663244353182755</v>
      </c>
      <c r="N451" s="15">
        <v>0.58922407991583159</v>
      </c>
    </row>
    <row r="452" spans="1:14" x14ac:dyDescent="0.25">
      <c r="A452" s="13" t="s">
        <v>264</v>
      </c>
      <c r="B452">
        <v>18.496919917864478</v>
      </c>
      <c r="C452" s="1">
        <v>1</v>
      </c>
      <c r="D452">
        <v>1</v>
      </c>
      <c r="F452" s="15">
        <v>57.002053388090346</v>
      </c>
      <c r="G452" s="1">
        <v>148</v>
      </c>
      <c r="H452" s="1">
        <v>0</v>
      </c>
      <c r="I452" s="1">
        <v>1</v>
      </c>
      <c r="J452" s="15">
        <v>1</v>
      </c>
      <c r="K452" s="15">
        <v>0.51428963365017399</v>
      </c>
      <c r="M452" s="15">
        <v>43.663244353182755</v>
      </c>
      <c r="N452" s="15">
        <v>0.58702548260271281</v>
      </c>
    </row>
    <row r="453" spans="1:14" x14ac:dyDescent="0.25">
      <c r="A453" s="13" t="s">
        <v>263</v>
      </c>
      <c r="B453">
        <v>1.5112936344969199</v>
      </c>
      <c r="C453" s="1">
        <v>0</v>
      </c>
      <c r="D453">
        <v>1</v>
      </c>
      <c r="F453" s="15">
        <v>57.264887063655031</v>
      </c>
      <c r="G453" s="1">
        <v>147</v>
      </c>
      <c r="H453" s="1">
        <v>0</v>
      </c>
      <c r="I453" s="1">
        <v>1</v>
      </c>
      <c r="J453" s="15">
        <v>1</v>
      </c>
      <c r="K453" s="15">
        <v>0.51428963365017399</v>
      </c>
      <c r="M453" s="15">
        <v>43.926078028747433</v>
      </c>
      <c r="N453" s="15">
        <v>0.58702548260271281</v>
      </c>
    </row>
    <row r="454" spans="1:14" x14ac:dyDescent="0.25">
      <c r="A454" s="13" t="s">
        <v>262</v>
      </c>
      <c r="B454">
        <v>70.439425051334709</v>
      </c>
      <c r="C454" s="1">
        <v>0</v>
      </c>
      <c r="D454">
        <v>1</v>
      </c>
      <c r="F454" s="15">
        <v>57.52772073921971</v>
      </c>
      <c r="G454" s="1">
        <v>146</v>
      </c>
      <c r="H454" s="1">
        <v>0</v>
      </c>
      <c r="I454" s="1">
        <v>2</v>
      </c>
      <c r="J454" s="15">
        <v>1</v>
      </c>
      <c r="K454" s="15">
        <v>0.51428963365017399</v>
      </c>
      <c r="M454" s="15">
        <v>43.926078028747433</v>
      </c>
      <c r="N454" s="15">
        <v>0.58481029210232527</v>
      </c>
    </row>
    <row r="455" spans="1:14" x14ac:dyDescent="0.25">
      <c r="A455" s="13" t="s">
        <v>261</v>
      </c>
      <c r="B455">
        <v>11.301848049281315</v>
      </c>
      <c r="C455" s="1">
        <v>1</v>
      </c>
      <c r="D455">
        <v>1</v>
      </c>
      <c r="F455" s="15">
        <v>57.593429158110879</v>
      </c>
      <c r="G455" s="1">
        <v>144</v>
      </c>
      <c r="H455" s="1">
        <v>1</v>
      </c>
      <c r="I455" s="1">
        <v>0</v>
      </c>
      <c r="J455" s="15">
        <v>0.99305555555555558</v>
      </c>
      <c r="K455" s="15">
        <v>0.51071817786093665</v>
      </c>
      <c r="M455" s="15">
        <v>44.123203285420942</v>
      </c>
      <c r="N455" s="15">
        <v>0.58481029210232527</v>
      </c>
    </row>
    <row r="456" spans="1:14" x14ac:dyDescent="0.25">
      <c r="A456" s="13" t="s">
        <v>260</v>
      </c>
      <c r="B456">
        <v>31.04722792607803</v>
      </c>
      <c r="C456" s="1">
        <v>0</v>
      </c>
      <c r="D456">
        <v>1</v>
      </c>
      <c r="F456" s="15">
        <v>57.691991786447637</v>
      </c>
      <c r="G456" s="1">
        <v>143</v>
      </c>
      <c r="H456" s="1">
        <v>0</v>
      </c>
      <c r="I456" s="1">
        <v>2</v>
      </c>
      <c r="J456" s="15">
        <v>1</v>
      </c>
      <c r="K456" s="15">
        <v>0.51071817786093665</v>
      </c>
      <c r="M456" s="15">
        <v>44.123203285420942</v>
      </c>
      <c r="N456" s="15">
        <v>0.58256102174808555</v>
      </c>
    </row>
    <row r="457" spans="1:14" x14ac:dyDescent="0.25">
      <c r="A457" s="13" t="s">
        <v>259</v>
      </c>
      <c r="B457">
        <v>62.587268993839835</v>
      </c>
      <c r="C457" s="1">
        <v>0</v>
      </c>
      <c r="D457">
        <v>1</v>
      </c>
      <c r="F457" s="15">
        <v>57.823408624229977</v>
      </c>
      <c r="G457" s="1">
        <v>141</v>
      </c>
      <c r="H457" s="1">
        <v>0</v>
      </c>
      <c r="I457" s="1">
        <v>1</v>
      </c>
      <c r="J457" s="15">
        <v>1</v>
      </c>
      <c r="K457" s="15">
        <v>0.51071817786093665</v>
      </c>
      <c r="M457" s="15">
        <v>44.418891170431209</v>
      </c>
      <c r="N457" s="15">
        <v>0.58256102174808555</v>
      </c>
    </row>
    <row r="458" spans="1:14" x14ac:dyDescent="0.25">
      <c r="A458" s="13" t="s">
        <v>258</v>
      </c>
      <c r="B458">
        <v>28.090349075975361</v>
      </c>
      <c r="C458" s="1">
        <v>1</v>
      </c>
      <c r="D458">
        <v>1</v>
      </c>
      <c r="F458" s="15">
        <v>57.921971252566735</v>
      </c>
      <c r="G458" s="1">
        <v>140</v>
      </c>
      <c r="H458" s="1">
        <v>1</v>
      </c>
      <c r="I458" s="1">
        <v>0</v>
      </c>
      <c r="J458" s="15">
        <v>0.99285714285714288</v>
      </c>
      <c r="K458" s="15">
        <v>0.50707019087621574</v>
      </c>
      <c r="M458" s="15">
        <v>44.418891170431209</v>
      </c>
      <c r="N458" s="15">
        <v>0.58027646872162253</v>
      </c>
    </row>
    <row r="459" spans="1:14" x14ac:dyDescent="0.25">
      <c r="A459" s="13" t="s">
        <v>257</v>
      </c>
      <c r="B459">
        <v>77.864476386036955</v>
      </c>
      <c r="C459" s="1">
        <v>0</v>
      </c>
      <c r="D459">
        <v>1</v>
      </c>
      <c r="F459" s="15">
        <v>57.987679671457904</v>
      </c>
      <c r="G459" s="1">
        <v>139</v>
      </c>
      <c r="H459" s="1">
        <v>0</v>
      </c>
      <c r="I459" s="1">
        <v>1</v>
      </c>
      <c r="J459" s="15">
        <v>1</v>
      </c>
      <c r="K459" s="15">
        <v>0.50707019087621574</v>
      </c>
      <c r="M459" s="15">
        <v>44.780287474332646</v>
      </c>
      <c r="N459" s="15">
        <v>0.58027646872162253</v>
      </c>
    </row>
    <row r="460" spans="1:14" x14ac:dyDescent="0.25">
      <c r="A460" s="13" t="s">
        <v>256</v>
      </c>
      <c r="B460">
        <v>28.024640657084188</v>
      </c>
      <c r="C460" s="1">
        <v>0</v>
      </c>
      <c r="D460">
        <v>1</v>
      </c>
      <c r="F460" s="15">
        <v>58.053388090349074</v>
      </c>
      <c r="G460" s="1">
        <v>138</v>
      </c>
      <c r="H460" s="1">
        <v>0</v>
      </c>
      <c r="I460" s="1">
        <v>1</v>
      </c>
      <c r="J460" s="15">
        <v>1</v>
      </c>
      <c r="K460" s="15">
        <v>0.50707019087621574</v>
      </c>
      <c r="M460" s="15">
        <v>44.780287474332646</v>
      </c>
      <c r="N460" s="15">
        <v>0.5779366442509708</v>
      </c>
    </row>
    <row r="461" spans="1:14" x14ac:dyDescent="0.25">
      <c r="A461" s="13" t="s">
        <v>255</v>
      </c>
      <c r="B461">
        <v>22.735112936344969</v>
      </c>
      <c r="C461" s="1">
        <v>0</v>
      </c>
      <c r="D461">
        <v>1</v>
      </c>
      <c r="F461" s="15">
        <v>58.18480492813142</v>
      </c>
      <c r="G461" s="1">
        <v>137</v>
      </c>
      <c r="H461" s="1">
        <v>0</v>
      </c>
      <c r="I461" s="1">
        <v>1</v>
      </c>
      <c r="J461" s="15">
        <v>1</v>
      </c>
      <c r="K461" s="15">
        <v>0.50707019087621574</v>
      </c>
      <c r="M461" s="15">
        <v>44.878850102669404</v>
      </c>
      <c r="N461" s="15">
        <v>0.5779366442509708</v>
      </c>
    </row>
    <row r="462" spans="1:14" x14ac:dyDescent="0.25">
      <c r="A462" s="13" t="s">
        <v>254</v>
      </c>
      <c r="B462">
        <v>15.605749486652977</v>
      </c>
      <c r="C462" s="1">
        <v>1</v>
      </c>
      <c r="D462">
        <v>1</v>
      </c>
      <c r="F462" s="15">
        <v>58.513347022587268</v>
      </c>
      <c r="G462" s="1">
        <v>136</v>
      </c>
      <c r="H462" s="1">
        <v>0</v>
      </c>
      <c r="I462" s="1">
        <v>1</v>
      </c>
      <c r="J462" s="15">
        <v>1</v>
      </c>
      <c r="K462" s="15">
        <v>0.50707019087621574</v>
      </c>
      <c r="M462" s="15">
        <v>44.878850102669404</v>
      </c>
      <c r="N462" s="15">
        <v>0.57558730829873106</v>
      </c>
    </row>
    <row r="463" spans="1:14" x14ac:dyDescent="0.25">
      <c r="A463" s="13" t="s">
        <v>253</v>
      </c>
      <c r="B463">
        <v>72.114989733059545</v>
      </c>
      <c r="C463" s="1">
        <v>0</v>
      </c>
      <c r="D463">
        <v>1</v>
      </c>
      <c r="F463" s="15">
        <v>58.677618069815196</v>
      </c>
      <c r="G463" s="1">
        <v>135</v>
      </c>
      <c r="H463" s="1">
        <v>0</v>
      </c>
      <c r="I463" s="1">
        <v>1</v>
      </c>
      <c r="J463" s="15">
        <v>1</v>
      </c>
      <c r="K463" s="15">
        <v>0.50707019087621574</v>
      </c>
      <c r="M463" s="15">
        <v>45.043121149897331</v>
      </c>
      <c r="N463" s="15">
        <v>0.57558730829873106</v>
      </c>
    </row>
    <row r="464" spans="1:14" x14ac:dyDescent="0.25">
      <c r="A464" s="13" t="s">
        <v>252</v>
      </c>
      <c r="B464">
        <v>24.903490759753595</v>
      </c>
      <c r="C464" s="1">
        <v>0</v>
      </c>
      <c r="D464">
        <v>1</v>
      </c>
      <c r="F464" s="15">
        <v>58.776180698151954</v>
      </c>
      <c r="G464" s="1">
        <v>134</v>
      </c>
      <c r="H464" s="1">
        <v>0</v>
      </c>
      <c r="I464" s="1">
        <v>1</v>
      </c>
      <c r="J464" s="15">
        <v>1</v>
      </c>
      <c r="K464" s="15">
        <v>0.50707019087621574</v>
      </c>
      <c r="M464" s="15">
        <v>45.043121149897331</v>
      </c>
      <c r="N464" s="15">
        <v>0.57323797234649132</v>
      </c>
    </row>
    <row r="465" spans="1:14" x14ac:dyDescent="0.25">
      <c r="A465" s="13" t="s">
        <v>251</v>
      </c>
      <c r="B465">
        <v>21.289527720739219</v>
      </c>
      <c r="C465" s="1">
        <v>1</v>
      </c>
      <c r="D465">
        <v>1</v>
      </c>
      <c r="F465" s="15">
        <v>58.841889117043124</v>
      </c>
      <c r="G465" s="1">
        <v>133</v>
      </c>
      <c r="H465" s="1">
        <v>0</v>
      </c>
      <c r="I465" s="1">
        <v>1</v>
      </c>
      <c r="J465" s="15">
        <v>1</v>
      </c>
      <c r="K465" s="15">
        <v>0.50707019087621574</v>
      </c>
      <c r="M465" s="15">
        <v>45.568788501026695</v>
      </c>
      <c r="N465" s="15">
        <v>0.57323797234649132</v>
      </c>
    </row>
    <row r="466" spans="1:14" x14ac:dyDescent="0.25">
      <c r="A466" s="13" t="s">
        <v>250</v>
      </c>
      <c r="B466">
        <v>25.002053388090349</v>
      </c>
      <c r="C466" s="1">
        <v>0</v>
      </c>
      <c r="D466">
        <v>1</v>
      </c>
      <c r="F466" s="15">
        <v>59.3347022587269</v>
      </c>
      <c r="G466" s="1">
        <v>132</v>
      </c>
      <c r="H466" s="1">
        <v>1</v>
      </c>
      <c r="I466" s="1">
        <v>0</v>
      </c>
      <c r="J466" s="15">
        <v>0.99242424242424243</v>
      </c>
      <c r="K466" s="15">
        <v>0.50322875003624445</v>
      </c>
      <c r="M466" s="15">
        <v>45.568788501026695</v>
      </c>
      <c r="N466" s="15">
        <v>0.57088863639425158</v>
      </c>
    </row>
    <row r="467" spans="1:14" x14ac:dyDescent="0.25">
      <c r="A467" s="13" t="s">
        <v>249</v>
      </c>
      <c r="B467">
        <v>19.581108829568787</v>
      </c>
      <c r="C467" s="1">
        <v>0</v>
      </c>
      <c r="D467">
        <v>1</v>
      </c>
      <c r="F467" s="15">
        <v>59.367556468172488</v>
      </c>
      <c r="G467" s="1">
        <v>131</v>
      </c>
      <c r="H467" s="1">
        <v>1</v>
      </c>
      <c r="I467" s="1">
        <v>1</v>
      </c>
      <c r="J467" s="15">
        <v>0.99236641221374045</v>
      </c>
      <c r="K467" s="15">
        <v>0.49938730919627311</v>
      </c>
      <c r="M467" s="15">
        <v>45.601642710472277</v>
      </c>
      <c r="N467" s="15">
        <v>0.57088863639425158</v>
      </c>
    </row>
    <row r="468" spans="1:14" x14ac:dyDescent="0.25">
      <c r="A468" s="13" t="s">
        <v>248</v>
      </c>
      <c r="B468">
        <v>6.406570841889117</v>
      </c>
      <c r="C468" s="1">
        <v>1</v>
      </c>
      <c r="D468">
        <v>1</v>
      </c>
      <c r="F468" s="15">
        <v>59.597535934291578</v>
      </c>
      <c r="G468" s="1">
        <v>129</v>
      </c>
      <c r="H468" s="1">
        <v>2</v>
      </c>
      <c r="I468" s="1">
        <v>0</v>
      </c>
      <c r="J468" s="15">
        <v>0.98449612403100772</v>
      </c>
      <c r="K468" s="15">
        <v>0.49164487029400528</v>
      </c>
      <c r="M468" s="15">
        <v>45.601642710472277</v>
      </c>
      <c r="N468" s="15">
        <v>0.56853930044201184</v>
      </c>
    </row>
    <row r="469" spans="1:14" x14ac:dyDescent="0.25">
      <c r="A469" s="13" t="s">
        <v>247</v>
      </c>
      <c r="B469">
        <v>15.540041067761807</v>
      </c>
      <c r="C469" s="1">
        <v>1</v>
      </c>
      <c r="D469">
        <v>1</v>
      </c>
      <c r="F469" s="15">
        <v>59.728952772073924</v>
      </c>
      <c r="G469" s="1">
        <v>127</v>
      </c>
      <c r="H469" s="1">
        <v>0</v>
      </c>
      <c r="I469" s="1">
        <v>2</v>
      </c>
      <c r="J469" s="15">
        <v>1</v>
      </c>
      <c r="K469" s="15">
        <v>0.49164487029400528</v>
      </c>
      <c r="M469" s="15">
        <v>46.652977412731005</v>
      </c>
      <c r="N469" s="15">
        <v>0.56853930044201184</v>
      </c>
    </row>
    <row r="470" spans="1:14" x14ac:dyDescent="0.25">
      <c r="A470" s="13" t="s">
        <v>246</v>
      </c>
      <c r="B470">
        <v>24.542094455852155</v>
      </c>
      <c r="C470" s="1">
        <v>0</v>
      </c>
      <c r="D470">
        <v>1</v>
      </c>
      <c r="F470" s="15">
        <v>59.794661190965094</v>
      </c>
      <c r="G470" s="1">
        <v>125</v>
      </c>
      <c r="H470" s="1">
        <v>0</v>
      </c>
      <c r="I470" s="1">
        <v>1</v>
      </c>
      <c r="J470" s="15">
        <v>1</v>
      </c>
      <c r="K470" s="15">
        <v>0.49164487029400528</v>
      </c>
      <c r="M470" s="15">
        <v>46.652977412731005</v>
      </c>
      <c r="N470" s="15">
        <v>0.56618021620781267</v>
      </c>
    </row>
    <row r="471" spans="1:14" x14ac:dyDescent="0.25">
      <c r="A471" s="13" t="s">
        <v>245</v>
      </c>
      <c r="B471">
        <v>87.359342915811084</v>
      </c>
      <c r="C471" s="1">
        <v>0</v>
      </c>
      <c r="D471">
        <v>1</v>
      </c>
      <c r="F471" s="15">
        <v>59.827515400410675</v>
      </c>
      <c r="G471" s="1">
        <v>124</v>
      </c>
      <c r="H471" s="1">
        <v>0</v>
      </c>
      <c r="I471" s="1">
        <v>1</v>
      </c>
      <c r="J471" s="15">
        <v>1</v>
      </c>
      <c r="K471" s="15">
        <v>0.49164487029400528</v>
      </c>
      <c r="M471" s="15">
        <v>47.605749486652975</v>
      </c>
      <c r="N471" s="15">
        <v>0.56618021620781267</v>
      </c>
    </row>
    <row r="472" spans="1:14" x14ac:dyDescent="0.25">
      <c r="A472" s="13" t="s">
        <v>244</v>
      </c>
      <c r="B472">
        <v>64.952772073921977</v>
      </c>
      <c r="C472" s="1">
        <v>1</v>
      </c>
      <c r="D472">
        <v>1</v>
      </c>
      <c r="F472" s="15">
        <v>59.991786447638603</v>
      </c>
      <c r="G472" s="1">
        <v>123</v>
      </c>
      <c r="H472" s="1">
        <v>0</v>
      </c>
      <c r="I472" s="1">
        <v>2</v>
      </c>
      <c r="J472" s="15">
        <v>1</v>
      </c>
      <c r="K472" s="15">
        <v>0.49164487029400528</v>
      </c>
      <c r="M472" s="15">
        <v>47.605749486652975</v>
      </c>
      <c r="N472" s="15">
        <v>0.5637397842413997</v>
      </c>
    </row>
    <row r="473" spans="1:14" x14ac:dyDescent="0.25">
      <c r="A473" s="13" t="s">
        <v>243</v>
      </c>
      <c r="B473">
        <v>78.882956878850109</v>
      </c>
      <c r="C473" s="1">
        <v>0</v>
      </c>
      <c r="D473">
        <v>1</v>
      </c>
      <c r="F473" s="15">
        <v>60.2217659137577</v>
      </c>
      <c r="G473" s="1">
        <v>121</v>
      </c>
      <c r="H473" s="1">
        <v>0</v>
      </c>
      <c r="I473" s="1">
        <v>2</v>
      </c>
      <c r="J473" s="15">
        <v>1</v>
      </c>
      <c r="K473" s="15">
        <v>0.49164487029400528</v>
      </c>
      <c r="M473" s="15">
        <v>47.93429158110883</v>
      </c>
      <c r="N473" s="15">
        <v>0.5637397842413997</v>
      </c>
    </row>
    <row r="474" spans="1:14" x14ac:dyDescent="0.25">
      <c r="A474" s="13" t="s">
        <v>242</v>
      </c>
      <c r="B474">
        <v>49.248459958932237</v>
      </c>
      <c r="C474" s="1">
        <v>0</v>
      </c>
      <c r="D474">
        <v>1</v>
      </c>
      <c r="F474" s="15">
        <v>60.254620123203289</v>
      </c>
      <c r="G474" s="1">
        <v>119</v>
      </c>
      <c r="H474" s="1">
        <v>0</v>
      </c>
      <c r="I474" s="1">
        <v>1</v>
      </c>
      <c r="J474" s="15">
        <v>1</v>
      </c>
      <c r="K474" s="15">
        <v>0.49164487029400528</v>
      </c>
      <c r="M474" s="15">
        <v>47.93429158110883</v>
      </c>
      <c r="N474" s="15">
        <v>0.56129935227498673</v>
      </c>
    </row>
    <row r="475" spans="1:14" x14ac:dyDescent="0.25">
      <c r="A475" s="13" t="s">
        <v>241</v>
      </c>
      <c r="B475">
        <v>60.977412731006162</v>
      </c>
      <c r="C475" s="1">
        <v>0</v>
      </c>
      <c r="D475">
        <v>1</v>
      </c>
      <c r="F475" s="15">
        <v>60.386036960985628</v>
      </c>
      <c r="G475" s="1">
        <v>118</v>
      </c>
      <c r="H475" s="1">
        <v>0</v>
      </c>
      <c r="I475" s="1">
        <v>2</v>
      </c>
      <c r="J475" s="15">
        <v>1</v>
      </c>
      <c r="K475" s="15">
        <v>0.49164487029400528</v>
      </c>
      <c r="M475" s="15">
        <v>47.967145790554412</v>
      </c>
      <c r="N475" s="15">
        <v>0.56129935227498673</v>
      </c>
    </row>
    <row r="476" spans="1:14" x14ac:dyDescent="0.25">
      <c r="A476" s="13" t="s">
        <v>240</v>
      </c>
      <c r="B476">
        <v>19.548254620123203</v>
      </c>
      <c r="C476" s="1">
        <v>1</v>
      </c>
      <c r="D476">
        <v>1</v>
      </c>
      <c r="F476" s="15">
        <v>60.451745379876797</v>
      </c>
      <c r="G476" s="1">
        <v>116</v>
      </c>
      <c r="H476" s="1">
        <v>0</v>
      </c>
      <c r="I476" s="1">
        <v>1</v>
      </c>
      <c r="J476" s="15">
        <v>1</v>
      </c>
      <c r="K476" s="15">
        <v>0.49164487029400528</v>
      </c>
      <c r="M476" s="15">
        <v>47.967145790554412</v>
      </c>
      <c r="N476" s="15">
        <v>0.55884826340042348</v>
      </c>
    </row>
    <row r="477" spans="1:14" x14ac:dyDescent="0.25">
      <c r="A477" s="13" t="s">
        <v>239</v>
      </c>
      <c r="B477">
        <v>70.570841889117048</v>
      </c>
      <c r="C477" s="1">
        <v>0</v>
      </c>
      <c r="D477">
        <v>1</v>
      </c>
      <c r="F477" s="15">
        <v>60.484599589322379</v>
      </c>
      <c r="G477" s="1">
        <v>115</v>
      </c>
      <c r="H477" s="1">
        <v>0</v>
      </c>
      <c r="I477" s="1">
        <v>1</v>
      </c>
      <c r="J477" s="15">
        <v>1</v>
      </c>
      <c r="K477" s="15">
        <v>0.49164487029400528</v>
      </c>
      <c r="M477" s="15">
        <v>48.06570841889117</v>
      </c>
      <c r="N477" s="15">
        <v>0.55884826340042348</v>
      </c>
    </row>
    <row r="478" spans="1:14" x14ac:dyDescent="0.25">
      <c r="A478" s="13" t="s">
        <v>238</v>
      </c>
      <c r="B478">
        <v>69.848049281314175</v>
      </c>
      <c r="C478" s="1">
        <v>0</v>
      </c>
      <c r="D478">
        <v>1</v>
      </c>
      <c r="F478" s="15">
        <v>60.517453798767967</v>
      </c>
      <c r="G478" s="1">
        <v>114</v>
      </c>
      <c r="H478" s="1">
        <v>0</v>
      </c>
      <c r="I478" s="1">
        <v>1</v>
      </c>
      <c r="J478" s="15">
        <v>1</v>
      </c>
      <c r="K478" s="15">
        <v>0.49164487029400528</v>
      </c>
      <c r="M478" s="15">
        <v>48.06570841889117</v>
      </c>
      <c r="N478" s="15">
        <v>0.55639717452586024</v>
      </c>
    </row>
    <row r="479" spans="1:14" x14ac:dyDescent="0.25">
      <c r="A479" s="13" t="s">
        <v>237</v>
      </c>
      <c r="B479">
        <v>64.887063655030801</v>
      </c>
      <c r="C479" s="1">
        <v>1</v>
      </c>
      <c r="D479">
        <v>1</v>
      </c>
      <c r="F479" s="15">
        <v>60.648870636550306</v>
      </c>
      <c r="G479" s="1">
        <v>113</v>
      </c>
      <c r="H479" s="1">
        <v>0</v>
      </c>
      <c r="I479" s="1">
        <v>1</v>
      </c>
      <c r="J479" s="15">
        <v>1</v>
      </c>
      <c r="K479" s="15">
        <v>0.49164487029400528</v>
      </c>
      <c r="M479" s="15">
        <v>48.657084188911703</v>
      </c>
      <c r="N479" s="15">
        <v>0.55639717452586024</v>
      </c>
    </row>
    <row r="480" spans="1:14" x14ac:dyDescent="0.25">
      <c r="A480" s="13" t="s">
        <v>236</v>
      </c>
      <c r="B480">
        <v>53.913757700205338</v>
      </c>
      <c r="C480" s="1">
        <v>1</v>
      </c>
      <c r="D480">
        <v>1</v>
      </c>
      <c r="F480" s="15">
        <v>60.681724845995895</v>
      </c>
      <c r="G480" s="1">
        <v>112</v>
      </c>
      <c r="H480" s="1">
        <v>0</v>
      </c>
      <c r="I480" s="1">
        <v>1</v>
      </c>
      <c r="J480" s="15">
        <v>1</v>
      </c>
      <c r="K480" s="15">
        <v>0.49164487029400528</v>
      </c>
      <c r="M480" s="15">
        <v>48.657084188911703</v>
      </c>
      <c r="N480" s="15">
        <v>0.5539021199315739</v>
      </c>
    </row>
    <row r="481" spans="1:14" x14ac:dyDescent="0.25">
      <c r="A481" s="13" t="s">
        <v>235</v>
      </c>
      <c r="B481">
        <v>56.410677618069812</v>
      </c>
      <c r="C481" s="1">
        <v>0</v>
      </c>
      <c r="D481">
        <v>1</v>
      </c>
      <c r="F481" s="15">
        <v>60.845995893223822</v>
      </c>
      <c r="G481" s="1">
        <v>111</v>
      </c>
      <c r="H481" s="1">
        <v>0</v>
      </c>
      <c r="I481" s="1">
        <v>1</v>
      </c>
      <c r="J481" s="15">
        <v>1</v>
      </c>
      <c r="K481" s="15">
        <v>0.49164487029400528</v>
      </c>
      <c r="M481" s="15">
        <v>49.051334702258728</v>
      </c>
      <c r="N481" s="15">
        <v>0.5539021199315739</v>
      </c>
    </row>
    <row r="482" spans="1:14" x14ac:dyDescent="0.25">
      <c r="A482" s="13" t="s">
        <v>234</v>
      </c>
      <c r="B482">
        <v>61.043121149897331</v>
      </c>
      <c r="C482" s="1">
        <v>0</v>
      </c>
      <c r="D482">
        <v>1</v>
      </c>
      <c r="F482" s="15">
        <v>60.878850102669404</v>
      </c>
      <c r="G482" s="1">
        <v>110</v>
      </c>
      <c r="H482" s="1">
        <v>0</v>
      </c>
      <c r="I482" s="1">
        <v>1</v>
      </c>
      <c r="J482" s="15">
        <v>1</v>
      </c>
      <c r="K482" s="15">
        <v>0.49164487029400528</v>
      </c>
      <c r="M482" s="15">
        <v>49.051334702258728</v>
      </c>
      <c r="N482" s="15">
        <v>0.55136128451904376</v>
      </c>
    </row>
    <row r="483" spans="1:14" x14ac:dyDescent="0.25">
      <c r="A483" s="13" t="s">
        <v>233</v>
      </c>
      <c r="B483">
        <v>67.318275154004112</v>
      </c>
      <c r="C483" s="1">
        <v>0</v>
      </c>
      <c r="D483">
        <v>1</v>
      </c>
      <c r="F483" s="15">
        <v>60.911704312114992</v>
      </c>
      <c r="G483" s="1">
        <v>109</v>
      </c>
      <c r="H483" s="1">
        <v>0</v>
      </c>
      <c r="I483" s="1">
        <v>1</v>
      </c>
      <c r="J483" s="15">
        <v>1</v>
      </c>
      <c r="K483" s="15">
        <v>0.49164487029400528</v>
      </c>
      <c r="M483" s="15">
        <v>49.347022587268995</v>
      </c>
      <c r="N483" s="15">
        <v>0.55136128451904376</v>
      </c>
    </row>
    <row r="484" spans="1:14" x14ac:dyDescent="0.25">
      <c r="A484" s="13" t="s">
        <v>232</v>
      </c>
      <c r="B484">
        <v>49.347022587268995</v>
      </c>
      <c r="C484" s="1">
        <v>1</v>
      </c>
      <c r="D484">
        <v>1</v>
      </c>
      <c r="F484" s="15">
        <v>60.944558521560573</v>
      </c>
      <c r="G484" s="1">
        <v>108</v>
      </c>
      <c r="H484" s="1">
        <v>0</v>
      </c>
      <c r="I484" s="1">
        <v>1</v>
      </c>
      <c r="J484" s="15">
        <v>1</v>
      </c>
      <c r="K484" s="15">
        <v>0.49164487029400528</v>
      </c>
      <c r="M484" s="15">
        <v>49.347022587268995</v>
      </c>
      <c r="N484" s="15">
        <v>0.54878482991848754</v>
      </c>
    </row>
    <row r="485" spans="1:14" x14ac:dyDescent="0.25">
      <c r="A485" s="13" t="s">
        <v>231</v>
      </c>
      <c r="B485">
        <v>63.145790554414788</v>
      </c>
      <c r="C485" s="1">
        <v>0</v>
      </c>
      <c r="D485">
        <v>1</v>
      </c>
      <c r="F485" s="15">
        <v>60.977412731006162</v>
      </c>
      <c r="G485" s="1">
        <v>107</v>
      </c>
      <c r="H485" s="1">
        <v>0</v>
      </c>
      <c r="I485" s="1">
        <v>1</v>
      </c>
      <c r="J485" s="15">
        <v>1</v>
      </c>
      <c r="K485" s="15">
        <v>0.49164487029400528</v>
      </c>
      <c r="M485" s="15">
        <v>49.97125256673511</v>
      </c>
      <c r="N485" s="15">
        <v>0.54878482991848754</v>
      </c>
    </row>
    <row r="486" spans="1:14" x14ac:dyDescent="0.25">
      <c r="A486" s="13" t="s">
        <v>230</v>
      </c>
      <c r="B486">
        <v>59.728952772073924</v>
      </c>
      <c r="C486" s="1">
        <v>0</v>
      </c>
      <c r="D486">
        <v>1</v>
      </c>
      <c r="F486" s="15">
        <v>61.043121149897331</v>
      </c>
      <c r="G486" s="1">
        <v>106</v>
      </c>
      <c r="H486" s="1">
        <v>0</v>
      </c>
      <c r="I486" s="1">
        <v>1</v>
      </c>
      <c r="J486" s="15">
        <v>1</v>
      </c>
      <c r="K486" s="15">
        <v>0.49164487029400528</v>
      </c>
      <c r="M486" s="15">
        <v>49.97125256673511</v>
      </c>
      <c r="N486" s="15">
        <v>0.54615906518203539</v>
      </c>
    </row>
    <row r="487" spans="1:14" x14ac:dyDescent="0.25">
      <c r="A487" s="13" t="s">
        <v>229</v>
      </c>
      <c r="B487">
        <v>36.139630390143736</v>
      </c>
      <c r="C487" s="1">
        <v>0</v>
      </c>
      <c r="D487">
        <v>1</v>
      </c>
      <c r="F487" s="15">
        <v>61.141683778234089</v>
      </c>
      <c r="G487" s="1">
        <v>105</v>
      </c>
      <c r="H487" s="1">
        <v>0</v>
      </c>
      <c r="I487" s="1">
        <v>1</v>
      </c>
      <c r="J487" s="15">
        <v>1</v>
      </c>
      <c r="K487" s="15">
        <v>0.49164487029400528</v>
      </c>
      <c r="M487" s="15">
        <v>50.102669404517457</v>
      </c>
      <c r="N487" s="15">
        <v>0.54615906518203539</v>
      </c>
    </row>
    <row r="488" spans="1:14" x14ac:dyDescent="0.25">
      <c r="A488" s="13" t="s">
        <v>228</v>
      </c>
      <c r="B488">
        <v>49.248459958932237</v>
      </c>
      <c r="C488" s="1">
        <v>0</v>
      </c>
      <c r="D488">
        <v>1</v>
      </c>
      <c r="F488" s="15">
        <v>61.17453798767967</v>
      </c>
      <c r="G488" s="1">
        <v>104</v>
      </c>
      <c r="H488" s="1">
        <v>0</v>
      </c>
      <c r="I488" s="1">
        <v>1</v>
      </c>
      <c r="J488" s="15">
        <v>1</v>
      </c>
      <c r="K488" s="15">
        <v>0.49164487029400528</v>
      </c>
      <c r="M488" s="15">
        <v>50.102669404517457</v>
      </c>
      <c r="N488" s="15">
        <v>0.54353330044558334</v>
      </c>
    </row>
    <row r="489" spans="1:14" x14ac:dyDescent="0.25">
      <c r="A489" s="13" t="s">
        <v>227</v>
      </c>
      <c r="B489">
        <v>11.794661190965092</v>
      </c>
      <c r="C489" s="1">
        <v>1</v>
      </c>
      <c r="D489">
        <v>1</v>
      </c>
      <c r="F489" s="15">
        <v>61.207392197125259</v>
      </c>
      <c r="G489" s="1">
        <v>103</v>
      </c>
      <c r="H489" s="1">
        <v>0</v>
      </c>
      <c r="I489" s="1">
        <v>1</v>
      </c>
      <c r="J489" s="15">
        <v>1</v>
      </c>
      <c r="K489" s="15">
        <v>0.49164487029400528</v>
      </c>
      <c r="M489" s="15">
        <v>50.201232032854207</v>
      </c>
      <c r="N489" s="15">
        <v>0.54353330044558334</v>
      </c>
    </row>
    <row r="490" spans="1:14" x14ac:dyDescent="0.25">
      <c r="A490" s="13" t="s">
        <v>226</v>
      </c>
      <c r="B490">
        <v>54.045174537987677</v>
      </c>
      <c r="C490" s="1">
        <v>0</v>
      </c>
      <c r="D490">
        <v>1</v>
      </c>
      <c r="F490" s="15">
        <v>61.30595482546201</v>
      </c>
      <c r="G490" s="1">
        <v>102</v>
      </c>
      <c r="H490" s="1">
        <v>0</v>
      </c>
      <c r="I490" s="1">
        <v>1</v>
      </c>
      <c r="J490" s="15">
        <v>1</v>
      </c>
      <c r="K490" s="15">
        <v>0.49164487029400528</v>
      </c>
      <c r="M490" s="15">
        <v>50.201232032854207</v>
      </c>
      <c r="N490" s="15">
        <v>0.54089478927837176</v>
      </c>
    </row>
    <row r="491" spans="1:14" x14ac:dyDescent="0.25">
      <c r="A491" s="13" t="s">
        <v>225</v>
      </c>
      <c r="B491">
        <v>44.550308008213555</v>
      </c>
      <c r="C491" s="1">
        <v>0</v>
      </c>
      <c r="D491">
        <v>1</v>
      </c>
      <c r="F491" s="15">
        <v>61.371663244353179</v>
      </c>
      <c r="G491" s="1">
        <v>101</v>
      </c>
      <c r="H491" s="1">
        <v>0</v>
      </c>
      <c r="I491" s="1">
        <v>1</v>
      </c>
      <c r="J491" s="15">
        <v>1</v>
      </c>
      <c r="K491" s="15">
        <v>0.49164487029400528</v>
      </c>
      <c r="M491" s="15">
        <v>52.139630390143736</v>
      </c>
      <c r="N491" s="15">
        <v>0.54089478927837176</v>
      </c>
    </row>
    <row r="492" spans="1:14" x14ac:dyDescent="0.25">
      <c r="A492" s="13" t="s">
        <v>224</v>
      </c>
      <c r="B492">
        <v>53.618069815195071</v>
      </c>
      <c r="C492" s="1">
        <v>0</v>
      </c>
      <c r="D492">
        <v>1</v>
      </c>
      <c r="F492" s="15">
        <v>61.404517453798768</v>
      </c>
      <c r="G492" s="1">
        <v>100</v>
      </c>
      <c r="H492" s="1">
        <v>0</v>
      </c>
      <c r="I492" s="1">
        <v>1</v>
      </c>
      <c r="J492" s="15">
        <v>1</v>
      </c>
      <c r="K492" s="15">
        <v>0.49164487029400528</v>
      </c>
      <c r="M492" s="15">
        <v>52.139630390143736</v>
      </c>
      <c r="N492" s="15">
        <v>0.53819031533197992</v>
      </c>
    </row>
    <row r="493" spans="1:14" x14ac:dyDescent="0.25">
      <c r="A493" s="13" t="s">
        <v>223</v>
      </c>
      <c r="B493">
        <v>31.770020533880903</v>
      </c>
      <c r="C493" s="1">
        <v>0</v>
      </c>
      <c r="D493">
        <v>1</v>
      </c>
      <c r="F493" s="15">
        <v>61.700205338809035</v>
      </c>
      <c r="G493" s="1">
        <v>99</v>
      </c>
      <c r="H493" s="1">
        <v>0</v>
      </c>
      <c r="I493" s="1">
        <v>1</v>
      </c>
      <c r="J493" s="15">
        <v>1</v>
      </c>
      <c r="K493" s="15">
        <v>0.49164487029400528</v>
      </c>
      <c r="M493" s="15">
        <v>52.205338809034906</v>
      </c>
      <c r="N493" s="15">
        <v>0.53819031533197992</v>
      </c>
    </row>
    <row r="494" spans="1:14" x14ac:dyDescent="0.25">
      <c r="A494" s="13" t="s">
        <v>222</v>
      </c>
      <c r="B494">
        <v>35.843942505133469</v>
      </c>
      <c r="C494" s="1">
        <v>0</v>
      </c>
      <c r="D494">
        <v>1</v>
      </c>
      <c r="F494" s="15">
        <v>61.897330595482543</v>
      </c>
      <c r="G494" s="1">
        <v>98</v>
      </c>
      <c r="H494" s="1">
        <v>0</v>
      </c>
      <c r="I494" s="1">
        <v>1</v>
      </c>
      <c r="J494" s="15">
        <v>1</v>
      </c>
      <c r="K494" s="15">
        <v>0.49164487029400528</v>
      </c>
      <c r="M494" s="15">
        <v>52.205338809034906</v>
      </c>
      <c r="N494" s="15">
        <v>0.53548584138558808</v>
      </c>
    </row>
    <row r="495" spans="1:14" x14ac:dyDescent="0.25">
      <c r="A495" s="13" t="s">
        <v>221</v>
      </c>
      <c r="B495">
        <v>30.160164271047229</v>
      </c>
      <c r="C495" s="1">
        <v>1</v>
      </c>
      <c r="D495">
        <v>1</v>
      </c>
      <c r="F495" s="15">
        <v>62.324435318275157</v>
      </c>
      <c r="G495" s="1">
        <v>97</v>
      </c>
      <c r="H495" s="1">
        <v>0</v>
      </c>
      <c r="I495" s="1">
        <v>1</v>
      </c>
      <c r="J495" s="15">
        <v>1</v>
      </c>
      <c r="K495" s="15">
        <v>0.49164487029400528</v>
      </c>
      <c r="M495" s="15">
        <v>52.599589322381931</v>
      </c>
      <c r="N495" s="15">
        <v>0.53548584138558808</v>
      </c>
    </row>
    <row r="496" spans="1:14" x14ac:dyDescent="0.25">
      <c r="A496" s="13" t="s">
        <v>220</v>
      </c>
      <c r="B496">
        <v>18.299794661190965</v>
      </c>
      <c r="C496" s="1">
        <v>1</v>
      </c>
      <c r="D496">
        <v>1</v>
      </c>
      <c r="F496" s="15">
        <v>62.554414784394254</v>
      </c>
      <c r="G496" s="1">
        <v>96</v>
      </c>
      <c r="H496" s="1">
        <v>0</v>
      </c>
      <c r="I496" s="1">
        <v>1</v>
      </c>
      <c r="J496" s="15">
        <v>1</v>
      </c>
      <c r="K496" s="15">
        <v>0.49164487029400528</v>
      </c>
      <c r="M496" s="15">
        <v>52.599589322381931</v>
      </c>
      <c r="N496" s="15">
        <v>0.53275377076627384</v>
      </c>
    </row>
    <row r="497" spans="1:14" x14ac:dyDescent="0.25">
      <c r="A497" s="13" t="s">
        <v>219</v>
      </c>
      <c r="B497">
        <v>40.049281314168375</v>
      </c>
      <c r="C497" s="1">
        <v>1</v>
      </c>
      <c r="D497">
        <v>1</v>
      </c>
      <c r="F497" s="15">
        <v>62.587268993839835</v>
      </c>
      <c r="G497" s="1">
        <v>95</v>
      </c>
      <c r="H497" s="1">
        <v>0</v>
      </c>
      <c r="I497" s="1">
        <v>1</v>
      </c>
      <c r="J497" s="15">
        <v>1</v>
      </c>
      <c r="K497" s="15">
        <v>0.49164487029400528</v>
      </c>
      <c r="M497" s="15">
        <v>53.913757700205338</v>
      </c>
      <c r="N497" s="15">
        <v>0.53275377076627384</v>
      </c>
    </row>
    <row r="498" spans="1:14" x14ac:dyDescent="0.25">
      <c r="A498" s="13" t="s">
        <v>218</v>
      </c>
      <c r="B498">
        <v>71.293634496919921</v>
      </c>
      <c r="C498" s="1">
        <v>0</v>
      </c>
      <c r="D498">
        <v>1</v>
      </c>
      <c r="F498" s="15">
        <v>63.014373716632441</v>
      </c>
      <c r="G498" s="1">
        <v>94</v>
      </c>
      <c r="H498" s="1">
        <v>1</v>
      </c>
      <c r="I498" s="1">
        <v>0</v>
      </c>
      <c r="J498" s="15">
        <v>0.98936170212765961</v>
      </c>
      <c r="K498" s="15">
        <v>0.48641460571640949</v>
      </c>
      <c r="M498" s="15">
        <v>53.913757700205338</v>
      </c>
      <c r="N498" s="15">
        <v>0.52987402065402378</v>
      </c>
    </row>
    <row r="499" spans="1:14" x14ac:dyDescent="0.25">
      <c r="A499" s="13" t="s">
        <v>217</v>
      </c>
      <c r="B499">
        <v>23.950718685831621</v>
      </c>
      <c r="C499" s="1">
        <v>1</v>
      </c>
      <c r="D499">
        <v>1</v>
      </c>
      <c r="F499" s="15">
        <v>63.145790554414788</v>
      </c>
      <c r="G499" s="1">
        <v>93</v>
      </c>
      <c r="H499" s="1">
        <v>0</v>
      </c>
      <c r="I499" s="1">
        <v>1</v>
      </c>
      <c r="J499" s="15">
        <v>1</v>
      </c>
      <c r="K499" s="15">
        <v>0.48641460571640949</v>
      </c>
      <c r="M499" s="15">
        <v>55.030800821355236</v>
      </c>
      <c r="N499" s="15">
        <v>0.52987402065402378</v>
      </c>
    </row>
    <row r="500" spans="1:14" x14ac:dyDescent="0.25">
      <c r="A500" s="13" t="s">
        <v>216</v>
      </c>
      <c r="B500">
        <v>47.605749486652975</v>
      </c>
      <c r="C500" s="1">
        <v>1</v>
      </c>
      <c r="D500">
        <v>1</v>
      </c>
      <c r="F500" s="15">
        <v>63.277207392197127</v>
      </c>
      <c r="G500" s="1">
        <v>92</v>
      </c>
      <c r="H500" s="1">
        <v>0</v>
      </c>
      <c r="I500" s="1">
        <v>2</v>
      </c>
      <c r="J500" s="15">
        <v>1</v>
      </c>
      <c r="K500" s="15">
        <v>0.48641460571640949</v>
      </c>
      <c r="M500" s="15">
        <v>55.030800821355236</v>
      </c>
      <c r="N500" s="15">
        <v>0.52688038211925536</v>
      </c>
    </row>
    <row r="501" spans="1:14" x14ac:dyDescent="0.25">
      <c r="A501" s="13" t="s">
        <v>215</v>
      </c>
      <c r="B501">
        <v>32.558521560574945</v>
      </c>
      <c r="C501" s="1">
        <v>1</v>
      </c>
      <c r="D501">
        <v>1</v>
      </c>
      <c r="F501" s="15">
        <v>63.507186858316224</v>
      </c>
      <c r="G501" s="1">
        <v>90</v>
      </c>
      <c r="H501" s="1">
        <v>0</v>
      </c>
      <c r="I501" s="1">
        <v>1</v>
      </c>
      <c r="J501" s="15">
        <v>1</v>
      </c>
      <c r="K501" s="15">
        <v>0.48641460571640949</v>
      </c>
      <c r="M501" s="15">
        <v>55.162217659137575</v>
      </c>
      <c r="N501" s="15">
        <v>0.52688038211925536</v>
      </c>
    </row>
    <row r="502" spans="1:14" x14ac:dyDescent="0.25">
      <c r="A502" s="13" t="s">
        <v>214</v>
      </c>
      <c r="B502">
        <v>15.802874743326489</v>
      </c>
      <c r="C502" s="1">
        <v>1</v>
      </c>
      <c r="D502">
        <v>1</v>
      </c>
      <c r="F502" s="15">
        <v>63.671457905544145</v>
      </c>
      <c r="G502" s="1">
        <v>89</v>
      </c>
      <c r="H502" s="1">
        <v>0</v>
      </c>
      <c r="I502" s="1">
        <v>1</v>
      </c>
      <c r="J502" s="15">
        <v>1</v>
      </c>
      <c r="K502" s="15">
        <v>0.48641460571640949</v>
      </c>
      <c r="M502" s="15">
        <v>55.162217659137575</v>
      </c>
      <c r="N502" s="15">
        <v>0.52386963707857392</v>
      </c>
    </row>
    <row r="503" spans="1:14" x14ac:dyDescent="0.25">
      <c r="A503" s="13" t="s">
        <v>213</v>
      </c>
      <c r="B503">
        <v>54.373716632443532</v>
      </c>
      <c r="C503" s="1">
        <v>0</v>
      </c>
      <c r="D503">
        <v>1</v>
      </c>
      <c r="F503" s="15">
        <v>64.262833675564679</v>
      </c>
      <c r="G503" s="1">
        <v>88</v>
      </c>
      <c r="H503" s="1">
        <v>0</v>
      </c>
      <c r="I503" s="1">
        <v>1</v>
      </c>
      <c r="J503" s="15">
        <v>1</v>
      </c>
      <c r="K503" s="15">
        <v>0.48641460571640949</v>
      </c>
      <c r="M503" s="15">
        <v>55.326488706365502</v>
      </c>
      <c r="N503" s="15">
        <v>0.52386963707857392</v>
      </c>
    </row>
    <row r="504" spans="1:14" x14ac:dyDescent="0.25">
      <c r="A504" s="13" t="s">
        <v>212</v>
      </c>
      <c r="B504">
        <v>28.156057494866531</v>
      </c>
      <c r="C504" s="1">
        <v>1</v>
      </c>
      <c r="D504">
        <v>1</v>
      </c>
      <c r="F504" s="15">
        <v>64.361396303901444</v>
      </c>
      <c r="G504" s="1">
        <v>87</v>
      </c>
      <c r="H504" s="1">
        <v>0</v>
      </c>
      <c r="I504" s="1">
        <v>1</v>
      </c>
      <c r="J504" s="15">
        <v>1</v>
      </c>
      <c r="K504" s="15">
        <v>0.48641460571640949</v>
      </c>
      <c r="M504" s="15">
        <v>55.326488706365502</v>
      </c>
      <c r="N504" s="15">
        <v>0.52084148888736825</v>
      </c>
    </row>
    <row r="505" spans="1:14" x14ac:dyDescent="0.25">
      <c r="A505" s="13" t="s">
        <v>211</v>
      </c>
      <c r="B505">
        <v>12.123203285420944</v>
      </c>
      <c r="C505" s="1">
        <v>1</v>
      </c>
      <c r="D505">
        <v>1</v>
      </c>
      <c r="F505" s="15">
        <v>64.558521560574945</v>
      </c>
      <c r="G505" s="1">
        <v>86</v>
      </c>
      <c r="H505" s="1">
        <v>0</v>
      </c>
      <c r="I505" s="1">
        <v>2</v>
      </c>
      <c r="J505" s="15">
        <v>1</v>
      </c>
      <c r="K505" s="15">
        <v>0.48641460571640949</v>
      </c>
      <c r="M505" s="15">
        <v>55.885010266940455</v>
      </c>
      <c r="N505" s="15">
        <v>0.52084148888736825</v>
      </c>
    </row>
    <row r="506" spans="1:14" x14ac:dyDescent="0.25">
      <c r="A506" s="13" t="s">
        <v>210</v>
      </c>
      <c r="B506">
        <v>53.453798767967143</v>
      </c>
      <c r="C506" s="1">
        <v>0</v>
      </c>
      <c r="D506">
        <v>1</v>
      </c>
      <c r="F506" s="15">
        <v>64.887063655030801</v>
      </c>
      <c r="G506" s="1">
        <v>84</v>
      </c>
      <c r="H506" s="1">
        <v>1</v>
      </c>
      <c r="I506" s="1">
        <v>0</v>
      </c>
      <c r="J506" s="15">
        <v>0.98809523809523814</v>
      </c>
      <c r="K506" s="15">
        <v>0.48062395564835703</v>
      </c>
      <c r="M506" s="15">
        <v>55.885010266940455</v>
      </c>
      <c r="N506" s="15">
        <v>0.51774124192970539</v>
      </c>
    </row>
    <row r="507" spans="1:14" x14ac:dyDescent="0.25">
      <c r="A507" s="13" t="s">
        <v>209</v>
      </c>
      <c r="B507">
        <v>51.843942505133469</v>
      </c>
      <c r="C507" s="1">
        <v>0</v>
      </c>
      <c r="D507">
        <v>1</v>
      </c>
      <c r="F507" s="15">
        <v>64.919917864476389</v>
      </c>
      <c r="G507" s="1">
        <v>83</v>
      </c>
      <c r="H507" s="1">
        <v>0</v>
      </c>
      <c r="I507" s="1">
        <v>1</v>
      </c>
      <c r="J507" s="15">
        <v>1</v>
      </c>
      <c r="K507" s="15">
        <v>0.48062395564835703</v>
      </c>
      <c r="M507" s="15">
        <v>56.837782340862425</v>
      </c>
      <c r="N507" s="15">
        <v>0.51774124192970539</v>
      </c>
    </row>
    <row r="508" spans="1:14" x14ac:dyDescent="0.25">
      <c r="A508" s="13" t="s">
        <v>208</v>
      </c>
      <c r="B508">
        <v>24.049281314168379</v>
      </c>
      <c r="C508" s="1">
        <v>1</v>
      </c>
      <c r="D508">
        <v>1</v>
      </c>
      <c r="F508" s="15">
        <v>64.952772073921977</v>
      </c>
      <c r="G508" s="1">
        <v>82</v>
      </c>
      <c r="H508" s="1">
        <v>1</v>
      </c>
      <c r="I508" s="1">
        <v>1</v>
      </c>
      <c r="J508" s="15">
        <v>0.98780487804878048</v>
      </c>
      <c r="K508" s="15">
        <v>0.4747626878965478</v>
      </c>
      <c r="M508" s="15">
        <v>56.837782340862425</v>
      </c>
      <c r="N508" s="15">
        <v>0.51428963365017399</v>
      </c>
    </row>
    <row r="509" spans="1:14" x14ac:dyDescent="0.25">
      <c r="A509" s="13" t="s">
        <v>207</v>
      </c>
      <c r="B509">
        <v>15.112936344969199</v>
      </c>
      <c r="C509" s="1">
        <v>1</v>
      </c>
      <c r="D509">
        <v>1</v>
      </c>
      <c r="F509" s="15">
        <v>65.01848049281314</v>
      </c>
      <c r="G509" s="1">
        <v>80</v>
      </c>
      <c r="H509" s="1">
        <v>0</v>
      </c>
      <c r="I509" s="1">
        <v>1</v>
      </c>
      <c r="J509" s="15">
        <v>1</v>
      </c>
      <c r="K509" s="15">
        <v>0.4747626878965478</v>
      </c>
      <c r="M509" s="15">
        <v>57.593429158110879</v>
      </c>
      <c r="N509" s="15">
        <v>0.51428963365017399</v>
      </c>
    </row>
    <row r="510" spans="1:14" x14ac:dyDescent="0.25">
      <c r="A510" s="13" t="s">
        <v>206</v>
      </c>
      <c r="B510">
        <v>39.687885010266939</v>
      </c>
      <c r="C510" s="1">
        <v>0</v>
      </c>
      <c r="D510">
        <v>1</v>
      </c>
      <c r="F510" s="15">
        <v>65.084188911704317</v>
      </c>
      <c r="G510" s="1">
        <v>79</v>
      </c>
      <c r="H510" s="1">
        <v>0</v>
      </c>
      <c r="I510" s="1">
        <v>1</v>
      </c>
      <c r="J510" s="15">
        <v>1</v>
      </c>
      <c r="K510" s="15">
        <v>0.4747626878965478</v>
      </c>
      <c r="M510" s="15">
        <v>57.593429158110879</v>
      </c>
      <c r="N510" s="15">
        <v>0.51071817786093665</v>
      </c>
    </row>
    <row r="511" spans="1:14" x14ac:dyDescent="0.25">
      <c r="A511" s="13" t="s">
        <v>205</v>
      </c>
      <c r="B511">
        <v>23.983572895277206</v>
      </c>
      <c r="C511" s="1">
        <v>1</v>
      </c>
      <c r="D511">
        <v>1</v>
      </c>
      <c r="F511" s="15">
        <v>65.182751540041068</v>
      </c>
      <c r="G511" s="1">
        <v>78</v>
      </c>
      <c r="H511" s="1">
        <v>0</v>
      </c>
      <c r="I511" s="1">
        <v>1</v>
      </c>
      <c r="J511" s="15">
        <v>1</v>
      </c>
      <c r="K511" s="15">
        <v>0.4747626878965478</v>
      </c>
      <c r="M511" s="15">
        <v>57.921971252566735</v>
      </c>
      <c r="N511" s="15">
        <v>0.51071817786093665</v>
      </c>
    </row>
    <row r="512" spans="1:14" x14ac:dyDescent="0.25">
      <c r="A512" s="13" t="s">
        <v>204</v>
      </c>
      <c r="B512">
        <v>23.720739219712527</v>
      </c>
      <c r="C512" s="1">
        <v>0</v>
      </c>
      <c r="D512">
        <v>1</v>
      </c>
      <c r="F512" s="15">
        <v>65.347022587268995</v>
      </c>
      <c r="G512" s="1">
        <v>77</v>
      </c>
      <c r="H512" s="1">
        <v>1</v>
      </c>
      <c r="I512" s="1">
        <v>0</v>
      </c>
      <c r="J512" s="15">
        <v>0.98701298701298701</v>
      </c>
      <c r="K512" s="15">
        <v>0.46859693870308611</v>
      </c>
      <c r="M512" s="15">
        <v>57.921971252566735</v>
      </c>
      <c r="N512" s="15">
        <v>0.50707019087621574</v>
      </c>
    </row>
    <row r="513" spans="1:14" x14ac:dyDescent="0.25">
      <c r="A513" s="13" t="s">
        <v>203</v>
      </c>
      <c r="B513">
        <v>23.5564681724846</v>
      </c>
      <c r="C513" s="1">
        <v>0</v>
      </c>
      <c r="D513">
        <v>1</v>
      </c>
      <c r="F513" s="15">
        <v>65.379876796714584</v>
      </c>
      <c r="G513" s="1">
        <v>76</v>
      </c>
      <c r="H513" s="1">
        <v>1</v>
      </c>
      <c r="I513" s="1">
        <v>0</v>
      </c>
      <c r="J513" s="15">
        <v>0.98684210526315785</v>
      </c>
      <c r="K513" s="15">
        <v>0.46243118950962442</v>
      </c>
      <c r="M513" s="15">
        <v>59.3347022587269</v>
      </c>
      <c r="N513" s="15">
        <v>0.50707019087621574</v>
      </c>
    </row>
    <row r="514" spans="1:14" x14ac:dyDescent="0.25">
      <c r="A514" s="13" t="s">
        <v>202</v>
      </c>
      <c r="B514">
        <v>21.388090349075977</v>
      </c>
      <c r="C514" s="1">
        <v>0</v>
      </c>
      <c r="D514">
        <v>1</v>
      </c>
      <c r="F514" s="15">
        <v>65.938398357289529</v>
      </c>
      <c r="G514" s="1">
        <v>75</v>
      </c>
      <c r="H514" s="1">
        <v>0</v>
      </c>
      <c r="I514" s="1">
        <v>1</v>
      </c>
      <c r="J514" s="15">
        <v>1</v>
      </c>
      <c r="K514" s="15">
        <v>0.46243118950962442</v>
      </c>
      <c r="M514" s="15">
        <v>59.3347022587269</v>
      </c>
      <c r="N514" s="15">
        <v>0.50322875003624445</v>
      </c>
    </row>
    <row r="515" spans="1:14" x14ac:dyDescent="0.25">
      <c r="A515" s="13" t="s">
        <v>201</v>
      </c>
      <c r="B515">
        <v>20.928131416837783</v>
      </c>
      <c r="C515" s="1">
        <v>0</v>
      </c>
      <c r="D515">
        <v>1</v>
      </c>
      <c r="F515" s="15">
        <v>66.004106776180691</v>
      </c>
      <c r="G515" s="1">
        <v>74</v>
      </c>
      <c r="H515" s="1">
        <v>0</v>
      </c>
      <c r="I515" s="1">
        <v>2</v>
      </c>
      <c r="J515" s="15">
        <v>1</v>
      </c>
      <c r="K515" s="15">
        <v>0.46243118950962442</v>
      </c>
      <c r="M515" s="15">
        <v>59.367556468172488</v>
      </c>
      <c r="N515" s="15">
        <v>0.50322875003624445</v>
      </c>
    </row>
    <row r="516" spans="1:14" x14ac:dyDescent="0.25">
      <c r="A516" s="13" t="s">
        <v>200</v>
      </c>
      <c r="B516">
        <v>20.205338809034906</v>
      </c>
      <c r="C516" s="1">
        <v>0</v>
      </c>
      <c r="D516">
        <v>1</v>
      </c>
      <c r="F516" s="15">
        <v>66.03696098562628</v>
      </c>
      <c r="G516" s="1">
        <v>72</v>
      </c>
      <c r="H516" s="1">
        <v>0</v>
      </c>
      <c r="I516" s="1">
        <v>1</v>
      </c>
      <c r="J516" s="15">
        <v>1</v>
      </c>
      <c r="K516" s="15">
        <v>0.46243118950962442</v>
      </c>
      <c r="M516" s="15">
        <v>59.367556468172488</v>
      </c>
      <c r="N516" s="15">
        <v>0.49938730919627311</v>
      </c>
    </row>
    <row r="517" spans="1:14" x14ac:dyDescent="0.25">
      <c r="A517" s="13" t="s">
        <v>199</v>
      </c>
      <c r="B517">
        <v>1.3798767967145791</v>
      </c>
      <c r="C517" s="1">
        <v>0</v>
      </c>
      <c r="D517">
        <v>1</v>
      </c>
      <c r="F517" s="15">
        <v>66.069815195071868</v>
      </c>
      <c r="G517" s="1">
        <v>71</v>
      </c>
      <c r="H517" s="1">
        <v>0</v>
      </c>
      <c r="I517" s="1">
        <v>1</v>
      </c>
      <c r="J517" s="15">
        <v>1</v>
      </c>
      <c r="K517" s="15">
        <v>0.46243118950962442</v>
      </c>
      <c r="M517" s="15">
        <v>59.597535934291578</v>
      </c>
      <c r="N517" s="15">
        <v>0.49938730919627311</v>
      </c>
    </row>
    <row r="518" spans="1:14" x14ac:dyDescent="0.25">
      <c r="A518" s="13" t="s">
        <v>198</v>
      </c>
      <c r="B518">
        <v>10.086242299794661</v>
      </c>
      <c r="C518" s="1">
        <v>1</v>
      </c>
      <c r="D518">
        <v>1</v>
      </c>
      <c r="F518" s="15">
        <v>66.168377823408619</v>
      </c>
      <c r="G518" s="1">
        <v>70</v>
      </c>
      <c r="H518" s="1">
        <v>0</v>
      </c>
      <c r="I518" s="1">
        <v>2</v>
      </c>
      <c r="J518" s="15">
        <v>1</v>
      </c>
      <c r="K518" s="15">
        <v>0.46243118950962442</v>
      </c>
      <c r="M518" s="15">
        <v>59.597535934291578</v>
      </c>
      <c r="N518" s="15">
        <v>0.49164487029400528</v>
      </c>
    </row>
    <row r="519" spans="1:14" x14ac:dyDescent="0.25">
      <c r="A519" s="13" t="s">
        <v>197</v>
      </c>
      <c r="B519">
        <v>32.295687885010267</v>
      </c>
      <c r="C519" s="1">
        <v>1</v>
      </c>
      <c r="D519">
        <v>1</v>
      </c>
      <c r="F519" s="15">
        <v>66.201232032854207</v>
      </c>
      <c r="G519" s="1">
        <v>68</v>
      </c>
      <c r="H519" s="1">
        <v>1</v>
      </c>
      <c r="I519" s="1">
        <v>0</v>
      </c>
      <c r="J519" s="15">
        <v>0.98529411764705888</v>
      </c>
      <c r="K519" s="15">
        <v>0.45563073084036526</v>
      </c>
      <c r="M519" s="15">
        <v>63.014373716632441</v>
      </c>
      <c r="N519" s="15">
        <v>0.49164487029400528</v>
      </c>
    </row>
    <row r="520" spans="1:14" x14ac:dyDescent="0.25">
      <c r="A520" s="13" t="s">
        <v>196</v>
      </c>
      <c r="B520">
        <v>3.9425051334702257</v>
      </c>
      <c r="C520" s="1">
        <v>1</v>
      </c>
      <c r="D520">
        <v>1</v>
      </c>
      <c r="F520" s="15">
        <v>66.266940451745384</v>
      </c>
      <c r="G520" s="1">
        <v>67</v>
      </c>
      <c r="H520" s="1">
        <v>0</v>
      </c>
      <c r="I520" s="1">
        <v>1</v>
      </c>
      <c r="J520" s="15">
        <v>1</v>
      </c>
      <c r="K520" s="15">
        <v>0.45563073084036526</v>
      </c>
      <c r="M520" s="15">
        <v>63.014373716632441</v>
      </c>
      <c r="N520" s="15">
        <v>0.48641460571640949</v>
      </c>
    </row>
    <row r="521" spans="1:14" x14ac:dyDescent="0.25">
      <c r="A521" s="13" t="s">
        <v>195</v>
      </c>
      <c r="B521">
        <v>50.102669404517457</v>
      </c>
      <c r="C521" s="1">
        <v>1</v>
      </c>
      <c r="D521">
        <v>1</v>
      </c>
      <c r="F521" s="15">
        <v>66.299794661190958</v>
      </c>
      <c r="G521" s="1">
        <v>66</v>
      </c>
      <c r="H521" s="1">
        <v>1</v>
      </c>
      <c r="I521" s="1">
        <v>0</v>
      </c>
      <c r="J521" s="15">
        <v>0.98484848484848486</v>
      </c>
      <c r="K521" s="15">
        <v>0.44872723491854155</v>
      </c>
      <c r="M521" s="15">
        <v>64.887063655030801</v>
      </c>
      <c r="N521" s="15">
        <v>0.48641460571640949</v>
      </c>
    </row>
    <row r="522" spans="1:14" x14ac:dyDescent="0.25">
      <c r="A522" s="13" t="s">
        <v>194</v>
      </c>
      <c r="B522">
        <v>55.195071868583163</v>
      </c>
      <c r="C522" s="1">
        <v>0</v>
      </c>
      <c r="D522">
        <v>1</v>
      </c>
      <c r="F522" s="15">
        <v>66.496919917864474</v>
      </c>
      <c r="G522" s="1">
        <v>65</v>
      </c>
      <c r="H522" s="1">
        <v>0</v>
      </c>
      <c r="I522" s="1">
        <v>1</v>
      </c>
      <c r="J522" s="15">
        <v>1</v>
      </c>
      <c r="K522" s="15">
        <v>0.44872723491854155</v>
      </c>
      <c r="M522" s="15">
        <v>64.887063655030801</v>
      </c>
      <c r="N522" s="15">
        <v>0.48062395564835703</v>
      </c>
    </row>
    <row r="523" spans="1:14" x14ac:dyDescent="0.25">
      <c r="A523" s="13" t="s">
        <v>193</v>
      </c>
      <c r="B523">
        <v>56.837782340862425</v>
      </c>
      <c r="C523" s="1">
        <v>1</v>
      </c>
      <c r="D523">
        <v>1</v>
      </c>
      <c r="F523" s="15">
        <v>66.595482546201225</v>
      </c>
      <c r="G523" s="1">
        <v>64</v>
      </c>
      <c r="H523" s="1">
        <v>0</v>
      </c>
      <c r="I523" s="1">
        <v>1</v>
      </c>
      <c r="J523" s="15">
        <v>1</v>
      </c>
      <c r="K523" s="15">
        <v>0.44872723491854155</v>
      </c>
      <c r="M523" s="15">
        <v>64.952772073921977</v>
      </c>
      <c r="N523" s="15">
        <v>0.48062395564835703</v>
      </c>
    </row>
    <row r="524" spans="1:14" x14ac:dyDescent="0.25">
      <c r="A524" s="13" t="s">
        <v>192</v>
      </c>
      <c r="B524">
        <v>26.447638603696099</v>
      </c>
      <c r="C524" s="1">
        <v>1</v>
      </c>
      <c r="D524">
        <v>1</v>
      </c>
      <c r="F524" s="15">
        <v>66.69404517453799</v>
      </c>
      <c r="G524" s="1">
        <v>63</v>
      </c>
      <c r="H524" s="1">
        <v>1</v>
      </c>
      <c r="I524" s="1">
        <v>1</v>
      </c>
      <c r="J524" s="15">
        <v>0.98412698412698407</v>
      </c>
      <c r="K524" s="15">
        <v>0.44160458039602501</v>
      </c>
      <c r="M524" s="15">
        <v>64.952772073921977</v>
      </c>
      <c r="N524" s="15">
        <v>0.4747626878965478</v>
      </c>
    </row>
    <row r="525" spans="1:14" x14ac:dyDescent="0.25">
      <c r="A525" s="13" t="s">
        <v>191</v>
      </c>
      <c r="B525">
        <v>78.455852156057489</v>
      </c>
      <c r="C525" s="1">
        <v>0</v>
      </c>
      <c r="D525">
        <v>1</v>
      </c>
      <c r="F525" s="15">
        <v>66.82546201232033</v>
      </c>
      <c r="G525" s="1">
        <v>61</v>
      </c>
      <c r="H525" s="1">
        <v>1</v>
      </c>
      <c r="I525" s="1">
        <v>0</v>
      </c>
      <c r="J525" s="15">
        <v>0.98360655737704916</v>
      </c>
      <c r="K525" s="15">
        <v>0.43436516104527051</v>
      </c>
      <c r="M525" s="15">
        <v>65.347022587268995</v>
      </c>
      <c r="N525" s="15">
        <v>0.4747626878965478</v>
      </c>
    </row>
    <row r="526" spans="1:14" x14ac:dyDescent="0.25">
      <c r="A526" s="13" t="s">
        <v>190</v>
      </c>
      <c r="B526">
        <v>18.365503080082135</v>
      </c>
      <c r="C526" s="1">
        <v>1</v>
      </c>
      <c r="D526">
        <v>1</v>
      </c>
      <c r="F526" s="15">
        <v>66.989733059548257</v>
      </c>
      <c r="G526" s="1">
        <v>60</v>
      </c>
      <c r="H526" s="1">
        <v>1</v>
      </c>
      <c r="I526" s="1">
        <v>0</v>
      </c>
      <c r="J526" s="15">
        <v>0.98333333333333328</v>
      </c>
      <c r="K526" s="15">
        <v>0.427125741694516</v>
      </c>
      <c r="M526" s="15">
        <v>65.347022587268995</v>
      </c>
      <c r="N526" s="15">
        <v>0.46859693870308611</v>
      </c>
    </row>
    <row r="527" spans="1:14" x14ac:dyDescent="0.25">
      <c r="A527" s="13" t="s">
        <v>189</v>
      </c>
      <c r="B527">
        <v>64.952772073921977</v>
      </c>
      <c r="C527" s="1">
        <v>0</v>
      </c>
      <c r="D527">
        <v>1</v>
      </c>
      <c r="F527" s="15">
        <v>67.285420944558524</v>
      </c>
      <c r="G527" s="1">
        <v>59</v>
      </c>
      <c r="H527" s="1">
        <v>0</v>
      </c>
      <c r="I527" s="1">
        <v>1</v>
      </c>
      <c r="J527" s="15">
        <v>1</v>
      </c>
      <c r="K527" s="15">
        <v>0.427125741694516</v>
      </c>
      <c r="M527" s="15">
        <v>65.379876796714584</v>
      </c>
      <c r="N527" s="15">
        <v>0.46859693870308611</v>
      </c>
    </row>
    <row r="528" spans="1:14" x14ac:dyDescent="0.25">
      <c r="A528" s="13" t="s">
        <v>188</v>
      </c>
      <c r="B528">
        <v>15.638603696098563</v>
      </c>
      <c r="C528" s="1">
        <v>1</v>
      </c>
      <c r="D528">
        <v>1</v>
      </c>
      <c r="F528" s="15">
        <v>67.318275154004112</v>
      </c>
      <c r="G528" s="1">
        <v>58</v>
      </c>
      <c r="H528" s="1">
        <v>0</v>
      </c>
      <c r="I528" s="1">
        <v>1</v>
      </c>
      <c r="J528" s="15">
        <v>1</v>
      </c>
      <c r="K528" s="15">
        <v>0.427125741694516</v>
      </c>
      <c r="M528" s="15">
        <v>65.379876796714584</v>
      </c>
      <c r="N528" s="15">
        <v>0.46243118950962442</v>
      </c>
    </row>
    <row r="529" spans="1:14" x14ac:dyDescent="0.25">
      <c r="A529" s="13" t="s">
        <v>187</v>
      </c>
      <c r="B529">
        <v>49.741273100616013</v>
      </c>
      <c r="C529" s="1">
        <v>0</v>
      </c>
      <c r="D529">
        <v>1</v>
      </c>
      <c r="F529" s="15">
        <v>67.383983572895275</v>
      </c>
      <c r="G529" s="1">
        <v>57</v>
      </c>
      <c r="H529" s="1">
        <v>0</v>
      </c>
      <c r="I529" s="1">
        <v>1</v>
      </c>
      <c r="J529" s="15">
        <v>1</v>
      </c>
      <c r="K529" s="15">
        <v>0.427125741694516</v>
      </c>
      <c r="M529" s="15">
        <v>66.201232032854207</v>
      </c>
      <c r="N529" s="15">
        <v>0.46243118950962442</v>
      </c>
    </row>
    <row r="530" spans="1:14" x14ac:dyDescent="0.25">
      <c r="A530" s="13" t="s">
        <v>186</v>
      </c>
      <c r="B530">
        <v>53.125256673511295</v>
      </c>
      <c r="C530" s="1">
        <v>0</v>
      </c>
      <c r="D530">
        <v>1</v>
      </c>
      <c r="F530" s="15">
        <v>67.416837782340863</v>
      </c>
      <c r="G530" s="1">
        <v>56</v>
      </c>
      <c r="H530" s="1">
        <v>0</v>
      </c>
      <c r="I530" s="1">
        <v>1</v>
      </c>
      <c r="J530" s="15">
        <v>1</v>
      </c>
      <c r="K530" s="15">
        <v>0.427125741694516</v>
      </c>
      <c r="M530" s="15">
        <v>66.201232032854207</v>
      </c>
      <c r="N530" s="15">
        <v>0.45563073084036526</v>
      </c>
    </row>
    <row r="531" spans="1:14" x14ac:dyDescent="0.25">
      <c r="A531" s="13" t="s">
        <v>185</v>
      </c>
      <c r="B531">
        <v>35.942505133470227</v>
      </c>
      <c r="C531" s="1">
        <v>1</v>
      </c>
      <c r="D531">
        <v>1</v>
      </c>
      <c r="F531" s="15">
        <v>67.548254620123203</v>
      </c>
      <c r="G531" s="1">
        <v>55</v>
      </c>
      <c r="H531" s="1">
        <v>0</v>
      </c>
      <c r="I531" s="1">
        <v>1</v>
      </c>
      <c r="J531" s="15">
        <v>1</v>
      </c>
      <c r="K531" s="15">
        <v>0.427125741694516</v>
      </c>
      <c r="M531" s="15">
        <v>66.299794661190958</v>
      </c>
      <c r="N531" s="15">
        <v>0.45563073084036526</v>
      </c>
    </row>
    <row r="532" spans="1:14" x14ac:dyDescent="0.25">
      <c r="A532" s="13" t="s">
        <v>184</v>
      </c>
      <c r="B532">
        <v>25.757700205338811</v>
      </c>
      <c r="C532" s="1">
        <v>1</v>
      </c>
      <c r="D532">
        <v>1</v>
      </c>
      <c r="F532" s="15">
        <v>67.581108829568791</v>
      </c>
      <c r="G532" s="1">
        <v>54</v>
      </c>
      <c r="H532" s="1">
        <v>0</v>
      </c>
      <c r="I532" s="1">
        <v>1</v>
      </c>
      <c r="J532" s="15">
        <v>1</v>
      </c>
      <c r="K532" s="15">
        <v>0.427125741694516</v>
      </c>
      <c r="M532" s="15">
        <v>66.299794661190958</v>
      </c>
      <c r="N532" s="15">
        <v>0.44872723491854155</v>
      </c>
    </row>
    <row r="533" spans="1:14" x14ac:dyDescent="0.25">
      <c r="A533" s="13" t="s">
        <v>183</v>
      </c>
      <c r="B533">
        <v>5.9466119096509242</v>
      </c>
      <c r="C533" s="1">
        <v>1</v>
      </c>
      <c r="D533">
        <v>1</v>
      </c>
      <c r="F533" s="15">
        <v>67.646817248459953</v>
      </c>
      <c r="G533" s="1">
        <v>53</v>
      </c>
      <c r="H533" s="1">
        <v>0</v>
      </c>
      <c r="I533" s="1">
        <v>1</v>
      </c>
      <c r="J533" s="15">
        <v>1</v>
      </c>
      <c r="K533" s="15">
        <v>0.427125741694516</v>
      </c>
      <c r="M533" s="15">
        <v>66.69404517453799</v>
      </c>
      <c r="N533" s="15">
        <v>0.44872723491854155</v>
      </c>
    </row>
    <row r="534" spans="1:14" x14ac:dyDescent="0.25">
      <c r="A534" s="13" t="s">
        <v>182</v>
      </c>
      <c r="B534">
        <v>13.634496919917865</v>
      </c>
      <c r="C534" s="1">
        <v>1</v>
      </c>
      <c r="D534">
        <v>1</v>
      </c>
      <c r="F534" s="15">
        <v>67.843942505133469</v>
      </c>
      <c r="G534" s="1">
        <v>52</v>
      </c>
      <c r="H534" s="1">
        <v>0</v>
      </c>
      <c r="I534" s="1">
        <v>1</v>
      </c>
      <c r="J534" s="15">
        <v>1</v>
      </c>
      <c r="K534" s="15">
        <v>0.427125741694516</v>
      </c>
      <c r="M534" s="15">
        <v>66.69404517453799</v>
      </c>
      <c r="N534" s="15">
        <v>0.44160458039602501</v>
      </c>
    </row>
    <row r="535" spans="1:14" x14ac:dyDescent="0.25">
      <c r="A535" s="13" t="s">
        <v>181</v>
      </c>
      <c r="B535">
        <v>36.79671457905544</v>
      </c>
      <c r="C535" s="1">
        <v>1</v>
      </c>
      <c r="D535">
        <v>1</v>
      </c>
      <c r="F535" s="15">
        <v>68.763860369609858</v>
      </c>
      <c r="G535" s="1">
        <v>51</v>
      </c>
      <c r="H535" s="1">
        <v>1</v>
      </c>
      <c r="I535" s="1">
        <v>0</v>
      </c>
      <c r="J535" s="15">
        <v>0.98039215686274506</v>
      </c>
      <c r="K535" s="15">
        <v>0.41875072715148626</v>
      </c>
      <c r="M535" s="15">
        <v>66.82546201232033</v>
      </c>
      <c r="N535" s="15">
        <v>0.44160458039602501</v>
      </c>
    </row>
    <row r="536" spans="1:14" x14ac:dyDescent="0.25">
      <c r="A536" s="13" t="s">
        <v>180</v>
      </c>
      <c r="B536">
        <v>10.381930184804927</v>
      </c>
      <c r="C536" s="1">
        <v>1</v>
      </c>
      <c r="D536">
        <v>1</v>
      </c>
      <c r="F536" s="15">
        <v>69.848049281314175</v>
      </c>
      <c r="G536" s="1">
        <v>50</v>
      </c>
      <c r="H536" s="1">
        <v>0</v>
      </c>
      <c r="I536" s="1">
        <v>1</v>
      </c>
      <c r="J536" s="15">
        <v>1</v>
      </c>
      <c r="K536" s="15">
        <v>0.41875072715148626</v>
      </c>
      <c r="M536" s="15">
        <v>66.82546201232033</v>
      </c>
      <c r="N536" s="15">
        <v>0.43436516104527051</v>
      </c>
    </row>
    <row r="537" spans="1:14" x14ac:dyDescent="0.25">
      <c r="A537" s="13" t="s">
        <v>179</v>
      </c>
      <c r="B537">
        <v>20.928131416837783</v>
      </c>
      <c r="C537" s="1">
        <v>1</v>
      </c>
      <c r="D537">
        <v>1</v>
      </c>
      <c r="F537" s="15">
        <v>69.913757700205338</v>
      </c>
      <c r="G537" s="1">
        <v>49</v>
      </c>
      <c r="H537" s="1">
        <v>0</v>
      </c>
      <c r="I537" s="1">
        <v>1</v>
      </c>
      <c r="J537" s="15">
        <v>1</v>
      </c>
      <c r="K537" s="15">
        <v>0.41875072715148626</v>
      </c>
      <c r="M537" s="15">
        <v>66.989733059548257</v>
      </c>
      <c r="N537" s="15">
        <v>0.43436516104527051</v>
      </c>
    </row>
    <row r="538" spans="1:14" x14ac:dyDescent="0.25">
      <c r="A538" s="13" t="s">
        <v>178</v>
      </c>
      <c r="B538">
        <v>8.1149897330595486</v>
      </c>
      <c r="C538" s="1">
        <v>1</v>
      </c>
      <c r="D538">
        <v>1</v>
      </c>
      <c r="F538" s="15">
        <v>70.045174537987677</v>
      </c>
      <c r="G538" s="1">
        <v>48</v>
      </c>
      <c r="H538" s="1">
        <v>0</v>
      </c>
      <c r="I538" s="1">
        <v>1</v>
      </c>
      <c r="J538" s="15">
        <v>1</v>
      </c>
      <c r="K538" s="15">
        <v>0.41875072715148626</v>
      </c>
      <c r="M538" s="15">
        <v>66.989733059548257</v>
      </c>
      <c r="N538" s="15">
        <v>0.427125741694516</v>
      </c>
    </row>
    <row r="539" spans="1:14" x14ac:dyDescent="0.25">
      <c r="A539" s="13" t="s">
        <v>177</v>
      </c>
      <c r="B539">
        <v>29.17453798767967</v>
      </c>
      <c r="C539" s="1">
        <v>0</v>
      </c>
      <c r="D539">
        <v>1</v>
      </c>
      <c r="F539" s="15">
        <v>70.242299794661193</v>
      </c>
      <c r="G539" s="1">
        <v>47</v>
      </c>
      <c r="H539" s="1">
        <v>0</v>
      </c>
      <c r="I539" s="1">
        <v>1</v>
      </c>
      <c r="J539" s="15">
        <v>1</v>
      </c>
      <c r="K539" s="15">
        <v>0.41875072715148626</v>
      </c>
      <c r="M539" s="15">
        <v>68.763860369609858</v>
      </c>
      <c r="N539" s="15">
        <v>0.427125741694516</v>
      </c>
    </row>
    <row r="540" spans="1:14" x14ac:dyDescent="0.25">
      <c r="A540" s="13" t="s">
        <v>176</v>
      </c>
      <c r="B540">
        <v>20.435318275154003</v>
      </c>
      <c r="C540" s="1">
        <v>1</v>
      </c>
      <c r="D540">
        <v>1</v>
      </c>
      <c r="F540" s="15">
        <v>70.439425051334709</v>
      </c>
      <c r="G540" s="1">
        <v>46</v>
      </c>
      <c r="H540" s="1">
        <v>0</v>
      </c>
      <c r="I540" s="1">
        <v>1</v>
      </c>
      <c r="J540" s="15">
        <v>1</v>
      </c>
      <c r="K540" s="15">
        <v>0.41875072715148626</v>
      </c>
      <c r="M540" s="15">
        <v>68.763860369609858</v>
      </c>
      <c r="N540" s="15">
        <v>0.41875072715148626</v>
      </c>
    </row>
    <row r="541" spans="1:14" x14ac:dyDescent="0.25">
      <c r="A541" s="13" t="s">
        <v>175</v>
      </c>
      <c r="B541">
        <v>26.480492813141684</v>
      </c>
      <c r="C541" s="1">
        <v>0</v>
      </c>
      <c r="D541">
        <v>1</v>
      </c>
      <c r="F541" s="15">
        <v>70.570841889117048</v>
      </c>
      <c r="G541" s="1">
        <v>45</v>
      </c>
      <c r="H541" s="1">
        <v>0</v>
      </c>
      <c r="I541" s="1">
        <v>1</v>
      </c>
      <c r="J541" s="15">
        <v>1</v>
      </c>
      <c r="K541" s="15">
        <v>0.41875072715148626</v>
      </c>
      <c r="M541" s="15">
        <v>75.104722792607802</v>
      </c>
      <c r="N541" s="15">
        <v>0.41875072715148626</v>
      </c>
    </row>
    <row r="542" spans="1:14" x14ac:dyDescent="0.25">
      <c r="A542" s="13" t="s">
        <v>174</v>
      </c>
      <c r="B542">
        <v>38.209445585215605</v>
      </c>
      <c r="C542" s="1">
        <v>0</v>
      </c>
      <c r="D542">
        <v>1</v>
      </c>
      <c r="F542" s="15">
        <v>70.735112936344976</v>
      </c>
      <c r="G542" s="1">
        <v>44</v>
      </c>
      <c r="H542" s="1">
        <v>0</v>
      </c>
      <c r="I542" s="1">
        <v>1</v>
      </c>
      <c r="J542" s="15">
        <v>1</v>
      </c>
      <c r="K542" s="15">
        <v>0.41875072715148626</v>
      </c>
      <c r="M542" s="15">
        <v>75.104722792607802</v>
      </c>
      <c r="N542" s="15">
        <v>0.40200069806542676</v>
      </c>
    </row>
    <row r="543" spans="1:14" x14ac:dyDescent="0.25">
      <c r="A543" s="13" t="s">
        <v>173</v>
      </c>
      <c r="B543">
        <v>56.542094455852158</v>
      </c>
      <c r="C543" s="1">
        <v>0</v>
      </c>
      <c r="D543">
        <v>1</v>
      </c>
      <c r="F543" s="15">
        <v>70.833675564681727</v>
      </c>
      <c r="G543" s="1">
        <v>43</v>
      </c>
      <c r="H543" s="1">
        <v>0</v>
      </c>
      <c r="I543" s="1">
        <v>1</v>
      </c>
      <c r="J543" s="15">
        <v>1</v>
      </c>
      <c r="K543" s="15">
        <v>0.41875072715148626</v>
      </c>
      <c r="M543" s="15">
        <v>77.930184804928132</v>
      </c>
      <c r="N543" s="15">
        <v>0.40200069806542676</v>
      </c>
    </row>
    <row r="544" spans="1:14" x14ac:dyDescent="0.25">
      <c r="A544" s="13" t="s">
        <v>172</v>
      </c>
      <c r="B544">
        <v>24.344969199178646</v>
      </c>
      <c r="C544" s="1">
        <v>0</v>
      </c>
      <c r="D544">
        <v>1</v>
      </c>
      <c r="F544" s="15">
        <v>70.997946611909654</v>
      </c>
      <c r="G544" s="1">
        <v>42</v>
      </c>
      <c r="H544" s="1">
        <v>0</v>
      </c>
      <c r="I544" s="1">
        <v>2</v>
      </c>
      <c r="J544" s="15">
        <v>1</v>
      </c>
      <c r="K544" s="15">
        <v>0.41875072715148626</v>
      </c>
      <c r="M544" s="15">
        <v>77.930184804928132</v>
      </c>
      <c r="N544" s="15">
        <v>0.38084276658829902</v>
      </c>
    </row>
    <row r="545" spans="1:14" x14ac:dyDescent="0.25">
      <c r="A545" s="13" t="s">
        <v>171</v>
      </c>
      <c r="B545">
        <v>12.2217659137577</v>
      </c>
      <c r="C545" s="1">
        <v>1</v>
      </c>
      <c r="D545">
        <v>1</v>
      </c>
      <c r="F545" s="15">
        <v>71.293634496919921</v>
      </c>
      <c r="G545" s="1">
        <v>40</v>
      </c>
      <c r="H545" s="1">
        <v>0</v>
      </c>
      <c r="I545" s="1">
        <v>1</v>
      </c>
      <c r="J545" s="15">
        <v>1</v>
      </c>
      <c r="K545" s="15">
        <v>0.41875072715148626</v>
      </c>
      <c r="M545" s="15">
        <v>80.689938398357285</v>
      </c>
      <c r="N545" s="15">
        <v>0.38084276658829902</v>
      </c>
    </row>
    <row r="546" spans="1:14" x14ac:dyDescent="0.25">
      <c r="A546" s="13" t="s">
        <v>170</v>
      </c>
      <c r="B546">
        <v>43.728952772073924</v>
      </c>
      <c r="C546" s="1">
        <v>0</v>
      </c>
      <c r="D546">
        <v>1</v>
      </c>
      <c r="F546" s="15">
        <v>71.359342915811084</v>
      </c>
      <c r="G546" s="1">
        <v>39</v>
      </c>
      <c r="H546" s="1">
        <v>0</v>
      </c>
      <c r="I546" s="1">
        <v>1</v>
      </c>
      <c r="J546" s="15">
        <v>1</v>
      </c>
      <c r="K546" s="15">
        <v>0.41875072715148626</v>
      </c>
      <c r="M546" s="15">
        <v>80.689938398357285</v>
      </c>
      <c r="N546" s="15">
        <v>0.34275848992946911</v>
      </c>
    </row>
    <row r="547" spans="1:14" x14ac:dyDescent="0.25">
      <c r="A547" s="13" t="s">
        <v>169</v>
      </c>
      <c r="B547">
        <v>12.944558521560575</v>
      </c>
      <c r="C547" s="1">
        <v>1</v>
      </c>
      <c r="D547">
        <v>1</v>
      </c>
      <c r="F547" s="15">
        <v>71.457905544147849</v>
      </c>
      <c r="G547" s="1">
        <v>38</v>
      </c>
      <c r="H547" s="1">
        <v>0</v>
      </c>
      <c r="I547" s="1">
        <v>1</v>
      </c>
      <c r="J547" s="15">
        <v>1</v>
      </c>
      <c r="K547" s="15">
        <v>0.41875072715148626</v>
      </c>
      <c r="M547" s="15">
        <v>87.359342915811084</v>
      </c>
      <c r="N547" s="15">
        <v>0.34275848992946911</v>
      </c>
    </row>
    <row r="548" spans="1:14" x14ac:dyDescent="0.25">
      <c r="A548" s="13" t="s">
        <v>168</v>
      </c>
      <c r="B548">
        <v>21.420944558521562</v>
      </c>
      <c r="C548" s="1">
        <v>0</v>
      </c>
      <c r="D548">
        <v>1</v>
      </c>
      <c r="F548" s="15">
        <v>71.523613963039011</v>
      </c>
      <c r="G548" s="1">
        <v>37</v>
      </c>
      <c r="H548" s="1">
        <v>0</v>
      </c>
      <c r="I548" s="1">
        <v>1</v>
      </c>
      <c r="J548" s="15">
        <v>1</v>
      </c>
      <c r="K548" s="15">
        <v>0.41875072715148626</v>
      </c>
    </row>
    <row r="549" spans="1:14" x14ac:dyDescent="0.25">
      <c r="A549" s="13" t="s">
        <v>167</v>
      </c>
      <c r="B549">
        <v>21.585215605749486</v>
      </c>
      <c r="C549" s="1">
        <v>0</v>
      </c>
      <c r="D549">
        <v>1</v>
      </c>
      <c r="F549" s="15">
        <v>72.016427104722794</v>
      </c>
      <c r="G549" s="1">
        <v>36</v>
      </c>
      <c r="H549" s="1">
        <v>0</v>
      </c>
      <c r="I549" s="1">
        <v>1</v>
      </c>
      <c r="J549" s="15">
        <v>1</v>
      </c>
      <c r="K549" s="15">
        <v>0.41875072715148626</v>
      </c>
    </row>
    <row r="550" spans="1:14" x14ac:dyDescent="0.25">
      <c r="A550" s="13" t="s">
        <v>166</v>
      </c>
      <c r="B550">
        <v>18.628336755646817</v>
      </c>
      <c r="C550" s="1">
        <v>0</v>
      </c>
      <c r="D550">
        <v>1</v>
      </c>
      <c r="F550" s="15">
        <v>72.114989733059545</v>
      </c>
      <c r="G550" s="1">
        <v>35</v>
      </c>
      <c r="H550" s="1">
        <v>0</v>
      </c>
      <c r="I550" s="1">
        <v>1</v>
      </c>
      <c r="J550" s="15">
        <v>1</v>
      </c>
      <c r="K550" s="15">
        <v>0.41875072715148626</v>
      </c>
    </row>
    <row r="551" spans="1:14" x14ac:dyDescent="0.25">
      <c r="A551" s="13" t="s">
        <v>165</v>
      </c>
      <c r="B551">
        <v>14.094455852156058</v>
      </c>
      <c r="C551" s="1">
        <v>0</v>
      </c>
      <c r="D551">
        <v>1</v>
      </c>
      <c r="F551" s="15">
        <v>72.4435318275154</v>
      </c>
      <c r="G551" s="1">
        <v>34</v>
      </c>
      <c r="H551" s="1">
        <v>0</v>
      </c>
      <c r="I551" s="1">
        <v>1</v>
      </c>
      <c r="J551" s="15">
        <v>1</v>
      </c>
      <c r="K551" s="15">
        <v>0.41875072715148626</v>
      </c>
    </row>
    <row r="552" spans="1:14" x14ac:dyDescent="0.25">
      <c r="A552" s="13" t="s">
        <v>164</v>
      </c>
      <c r="B552">
        <v>18.595482546201232</v>
      </c>
      <c r="C552" s="1">
        <v>0</v>
      </c>
      <c r="D552">
        <v>1</v>
      </c>
      <c r="F552" s="15">
        <v>72.837782340862418</v>
      </c>
      <c r="G552" s="1">
        <v>33</v>
      </c>
      <c r="H552" s="1">
        <v>0</v>
      </c>
      <c r="I552" s="1">
        <v>1</v>
      </c>
      <c r="J552" s="15">
        <v>1</v>
      </c>
      <c r="K552" s="15">
        <v>0.41875072715148626</v>
      </c>
    </row>
    <row r="553" spans="1:14" x14ac:dyDescent="0.25">
      <c r="A553" s="13" t="s">
        <v>163</v>
      </c>
      <c r="B553">
        <v>0.49281314168377821</v>
      </c>
      <c r="C553" s="1">
        <v>0</v>
      </c>
      <c r="D553">
        <v>1</v>
      </c>
      <c r="F553" s="15">
        <v>73.166324435318273</v>
      </c>
      <c r="G553" s="1">
        <v>32</v>
      </c>
      <c r="H553" s="1">
        <v>0</v>
      </c>
      <c r="I553" s="1">
        <v>1</v>
      </c>
      <c r="J553" s="15">
        <v>1</v>
      </c>
      <c r="K553" s="15">
        <v>0.41875072715148626</v>
      </c>
    </row>
    <row r="554" spans="1:14" x14ac:dyDescent="0.25">
      <c r="A554" s="13" t="s">
        <v>162</v>
      </c>
      <c r="B554">
        <v>3.2197125256673513</v>
      </c>
      <c r="C554" s="1">
        <v>1</v>
      </c>
      <c r="D554">
        <v>1</v>
      </c>
      <c r="F554" s="15">
        <v>73.363449691991789</v>
      </c>
      <c r="G554" s="1">
        <v>31</v>
      </c>
      <c r="H554" s="1">
        <v>0</v>
      </c>
      <c r="I554" s="1">
        <v>1</v>
      </c>
      <c r="J554" s="15">
        <v>1</v>
      </c>
      <c r="K554" s="15">
        <v>0.41875072715148626</v>
      </c>
    </row>
    <row r="555" spans="1:14" x14ac:dyDescent="0.25">
      <c r="A555" s="13" t="s">
        <v>161</v>
      </c>
      <c r="B555">
        <v>12.090349075975359</v>
      </c>
      <c r="C555" s="1">
        <v>0</v>
      </c>
      <c r="D555">
        <v>1</v>
      </c>
      <c r="F555" s="15">
        <v>73.396303901437378</v>
      </c>
      <c r="G555" s="1">
        <v>30</v>
      </c>
      <c r="H555" s="1">
        <v>0</v>
      </c>
      <c r="I555" s="1">
        <v>1</v>
      </c>
      <c r="J555" s="15">
        <v>1</v>
      </c>
      <c r="K555" s="15">
        <v>0.41875072715148626</v>
      </c>
    </row>
    <row r="556" spans="1:14" x14ac:dyDescent="0.25">
      <c r="A556" s="13" t="s">
        <v>160</v>
      </c>
      <c r="B556">
        <v>14.193018480492814</v>
      </c>
      <c r="C556" s="1">
        <v>0</v>
      </c>
      <c r="D556">
        <v>1</v>
      </c>
      <c r="F556" s="15">
        <v>73.494866529774129</v>
      </c>
      <c r="G556" s="1">
        <v>29</v>
      </c>
      <c r="H556" s="1">
        <v>0</v>
      </c>
      <c r="I556" s="1">
        <v>2</v>
      </c>
      <c r="J556" s="15">
        <v>1</v>
      </c>
      <c r="K556" s="15">
        <v>0.41875072715148626</v>
      </c>
    </row>
    <row r="557" spans="1:14" x14ac:dyDescent="0.25">
      <c r="A557" s="13" t="s">
        <v>159</v>
      </c>
      <c r="B557">
        <v>10.480492813141684</v>
      </c>
      <c r="C557" s="1">
        <v>0</v>
      </c>
      <c r="D557">
        <v>1</v>
      </c>
      <c r="F557" s="15">
        <v>73.560574948665291</v>
      </c>
      <c r="G557" s="1">
        <v>27</v>
      </c>
      <c r="H557" s="1">
        <v>0</v>
      </c>
      <c r="I557" s="1">
        <v>1</v>
      </c>
      <c r="J557" s="15">
        <v>1</v>
      </c>
      <c r="K557" s="15">
        <v>0.41875072715148626</v>
      </c>
    </row>
    <row r="558" spans="1:14" x14ac:dyDescent="0.25">
      <c r="A558" s="13" t="s">
        <v>158</v>
      </c>
      <c r="B558">
        <v>2.1355236139630391</v>
      </c>
      <c r="C558" s="1">
        <v>0</v>
      </c>
      <c r="D558">
        <v>1</v>
      </c>
      <c r="F558" s="15">
        <v>74.611909650924019</v>
      </c>
      <c r="G558" s="1">
        <v>26</v>
      </c>
      <c r="H558" s="1">
        <v>0</v>
      </c>
      <c r="I558" s="1">
        <v>1</v>
      </c>
      <c r="J558" s="15">
        <v>1</v>
      </c>
      <c r="K558" s="15">
        <v>0.41875072715148626</v>
      </c>
    </row>
    <row r="559" spans="1:14" x14ac:dyDescent="0.25">
      <c r="A559" s="13" t="s">
        <v>157</v>
      </c>
      <c r="B559">
        <v>0.52566735112936347</v>
      </c>
      <c r="C559" s="1">
        <v>0</v>
      </c>
      <c r="D559">
        <v>1</v>
      </c>
      <c r="F559" s="15">
        <v>75.104722792607802</v>
      </c>
      <c r="G559" s="1">
        <v>25</v>
      </c>
      <c r="H559" s="1">
        <v>1</v>
      </c>
      <c r="I559" s="1">
        <v>0</v>
      </c>
      <c r="J559" s="15">
        <v>0.96</v>
      </c>
      <c r="K559" s="15">
        <v>0.40200069806542676</v>
      </c>
    </row>
    <row r="560" spans="1:14" x14ac:dyDescent="0.25">
      <c r="A560" s="13" t="s">
        <v>156</v>
      </c>
      <c r="B560">
        <v>0.95277207392197127</v>
      </c>
      <c r="C560" s="1">
        <v>0</v>
      </c>
      <c r="D560">
        <v>1</v>
      </c>
      <c r="F560" s="15">
        <v>75.433264887063658</v>
      </c>
      <c r="G560" s="1">
        <v>24</v>
      </c>
      <c r="H560" s="1">
        <v>0</v>
      </c>
      <c r="I560" s="1">
        <v>1</v>
      </c>
      <c r="J560" s="15">
        <v>1</v>
      </c>
      <c r="K560" s="15">
        <v>0.40200069806542676</v>
      </c>
    </row>
    <row r="561" spans="1:11" x14ac:dyDescent="0.25">
      <c r="A561" s="13" t="s">
        <v>155</v>
      </c>
      <c r="B561">
        <v>0.59137577002053388</v>
      </c>
      <c r="C561" s="1">
        <v>0</v>
      </c>
      <c r="D561">
        <v>1</v>
      </c>
      <c r="F561" s="15">
        <v>75.466119096509246</v>
      </c>
      <c r="G561" s="1">
        <v>23</v>
      </c>
      <c r="H561" s="1">
        <v>0</v>
      </c>
      <c r="I561" s="1">
        <v>1</v>
      </c>
      <c r="J561" s="15">
        <v>1</v>
      </c>
      <c r="K561" s="15">
        <v>0.40200069806542676</v>
      </c>
    </row>
    <row r="562" spans="1:11" x14ac:dyDescent="0.25">
      <c r="A562" s="13" t="s">
        <v>154</v>
      </c>
      <c r="B562">
        <v>0.55852156057494862</v>
      </c>
      <c r="C562" s="1">
        <v>0</v>
      </c>
      <c r="D562">
        <v>1</v>
      </c>
      <c r="F562" s="15">
        <v>76.221765913757707</v>
      </c>
      <c r="G562" s="1">
        <v>22</v>
      </c>
      <c r="H562" s="1">
        <v>0</v>
      </c>
      <c r="I562" s="1">
        <v>1</v>
      </c>
      <c r="J562" s="15">
        <v>1</v>
      </c>
      <c r="K562" s="15">
        <v>0.40200069806542676</v>
      </c>
    </row>
    <row r="563" spans="1:11" x14ac:dyDescent="0.25">
      <c r="A563" s="13" t="s">
        <v>153</v>
      </c>
      <c r="B563">
        <v>10.119096509240247</v>
      </c>
      <c r="C563" s="1">
        <v>1</v>
      </c>
      <c r="D563">
        <v>1</v>
      </c>
      <c r="F563" s="15">
        <v>77.30595482546201</v>
      </c>
      <c r="G563" s="1">
        <v>21</v>
      </c>
      <c r="H563" s="1">
        <v>0</v>
      </c>
      <c r="I563" s="1">
        <v>1</v>
      </c>
      <c r="J563" s="15">
        <v>1</v>
      </c>
      <c r="K563" s="15">
        <v>0.40200069806542676</v>
      </c>
    </row>
    <row r="564" spans="1:11" x14ac:dyDescent="0.25">
      <c r="A564" s="13" t="s">
        <v>152</v>
      </c>
      <c r="B564">
        <v>64.558521560574945</v>
      </c>
      <c r="C564" s="1">
        <v>0</v>
      </c>
      <c r="D564">
        <v>1</v>
      </c>
      <c r="F564" s="15">
        <v>77.864476386036955</v>
      </c>
      <c r="G564" s="1">
        <v>20</v>
      </c>
      <c r="H564" s="1">
        <v>0</v>
      </c>
      <c r="I564" s="1">
        <v>1</v>
      </c>
      <c r="J564" s="15">
        <v>1</v>
      </c>
      <c r="K564" s="15">
        <v>0.40200069806542676</v>
      </c>
    </row>
    <row r="565" spans="1:11" x14ac:dyDescent="0.25">
      <c r="A565" s="13" t="s">
        <v>151</v>
      </c>
      <c r="B565">
        <v>18.004106776180699</v>
      </c>
      <c r="C565" s="1">
        <v>1</v>
      </c>
      <c r="D565">
        <v>1</v>
      </c>
      <c r="F565" s="15">
        <v>77.930184804928132</v>
      </c>
      <c r="G565" s="1">
        <v>19</v>
      </c>
      <c r="H565" s="1">
        <v>1</v>
      </c>
      <c r="I565" s="1">
        <v>2</v>
      </c>
      <c r="J565" s="15">
        <v>0.94736842105263153</v>
      </c>
      <c r="K565" s="15">
        <v>0.38084276658829902</v>
      </c>
    </row>
    <row r="566" spans="1:11" x14ac:dyDescent="0.25">
      <c r="A566" s="13" t="s">
        <v>150</v>
      </c>
      <c r="B566">
        <v>9.6262833675564679</v>
      </c>
      <c r="C566" s="1">
        <v>1</v>
      </c>
      <c r="D566">
        <v>1</v>
      </c>
      <c r="F566" s="15">
        <v>78.19301848049281</v>
      </c>
      <c r="G566" s="1">
        <v>16</v>
      </c>
      <c r="H566" s="1">
        <v>0</v>
      </c>
      <c r="I566" s="1">
        <v>1</v>
      </c>
      <c r="J566" s="15">
        <v>1</v>
      </c>
      <c r="K566" s="15">
        <v>0.38084276658829902</v>
      </c>
    </row>
    <row r="567" spans="1:11" x14ac:dyDescent="0.25">
      <c r="A567" s="13" t="s">
        <v>149</v>
      </c>
      <c r="B567">
        <v>66.266940451745384</v>
      </c>
      <c r="C567" s="1">
        <v>0</v>
      </c>
      <c r="D567">
        <v>1</v>
      </c>
      <c r="F567" s="15">
        <v>78.455852156057489</v>
      </c>
      <c r="G567" s="1">
        <v>15</v>
      </c>
      <c r="H567" s="1">
        <v>0</v>
      </c>
      <c r="I567" s="1">
        <v>2</v>
      </c>
      <c r="J567" s="15">
        <v>1</v>
      </c>
      <c r="K567" s="15">
        <v>0.38084276658829902</v>
      </c>
    </row>
    <row r="568" spans="1:11" x14ac:dyDescent="0.25">
      <c r="A568" s="13" t="s">
        <v>148</v>
      </c>
      <c r="B568">
        <v>35.909650924024639</v>
      </c>
      <c r="C568" s="1">
        <v>0</v>
      </c>
      <c r="D568">
        <v>1</v>
      </c>
      <c r="F568" s="15">
        <v>78.882956878850109</v>
      </c>
      <c r="G568" s="1">
        <v>13</v>
      </c>
      <c r="H568" s="1">
        <v>0</v>
      </c>
      <c r="I568" s="1">
        <v>1</v>
      </c>
      <c r="J568" s="15">
        <v>1</v>
      </c>
      <c r="K568" s="15">
        <v>0.38084276658829902</v>
      </c>
    </row>
    <row r="569" spans="1:11" x14ac:dyDescent="0.25">
      <c r="A569" s="13" t="s">
        <v>147</v>
      </c>
      <c r="B569">
        <v>26.020533880903489</v>
      </c>
      <c r="C569" s="1">
        <v>0</v>
      </c>
      <c r="D569">
        <v>1</v>
      </c>
      <c r="F569" s="15">
        <v>80.098562628336751</v>
      </c>
      <c r="G569" s="1">
        <v>12</v>
      </c>
      <c r="H569" s="1">
        <v>0</v>
      </c>
      <c r="I569" s="1">
        <v>1</v>
      </c>
      <c r="J569" s="15">
        <v>1</v>
      </c>
      <c r="K569" s="15">
        <v>0.38084276658829902</v>
      </c>
    </row>
    <row r="570" spans="1:11" x14ac:dyDescent="0.25">
      <c r="A570" s="13" t="s">
        <v>146</v>
      </c>
      <c r="B570">
        <v>19.252566735112936</v>
      </c>
      <c r="C570" s="1">
        <v>1</v>
      </c>
      <c r="D570">
        <v>1</v>
      </c>
      <c r="F570" s="15">
        <v>80.459958932238195</v>
      </c>
      <c r="G570" s="1">
        <v>11</v>
      </c>
      <c r="H570" s="1">
        <v>0</v>
      </c>
      <c r="I570" s="1">
        <v>1</v>
      </c>
      <c r="J570" s="15">
        <v>1</v>
      </c>
      <c r="K570" s="15">
        <v>0.38084276658829902</v>
      </c>
    </row>
    <row r="571" spans="1:11" x14ac:dyDescent="0.25">
      <c r="A571" s="13" t="s">
        <v>145</v>
      </c>
      <c r="B571">
        <v>47.112936344969199</v>
      </c>
      <c r="C571" s="1">
        <v>0</v>
      </c>
      <c r="D571">
        <v>1</v>
      </c>
      <c r="F571" s="15">
        <v>80.689938398357285</v>
      </c>
      <c r="G571" s="1">
        <v>10</v>
      </c>
      <c r="H571" s="1">
        <v>1</v>
      </c>
      <c r="I571" s="1">
        <v>1</v>
      </c>
      <c r="J571" s="15">
        <v>0.9</v>
      </c>
      <c r="K571" s="15">
        <v>0.34275848992946911</v>
      </c>
    </row>
    <row r="572" spans="1:11" x14ac:dyDescent="0.25">
      <c r="A572" s="13" t="s">
        <v>144</v>
      </c>
      <c r="B572">
        <v>2.2012320328542097</v>
      </c>
      <c r="C572" s="1">
        <v>0</v>
      </c>
      <c r="D572">
        <v>1</v>
      </c>
      <c r="F572" s="15">
        <v>81.051334702258728</v>
      </c>
      <c r="G572" s="1">
        <v>8</v>
      </c>
      <c r="H572" s="1">
        <v>0</v>
      </c>
      <c r="I572" s="1">
        <v>1</v>
      </c>
      <c r="J572" s="15">
        <v>1</v>
      </c>
      <c r="K572" s="15">
        <v>0.34275848992946911</v>
      </c>
    </row>
    <row r="573" spans="1:11" x14ac:dyDescent="0.25">
      <c r="A573" s="13" t="s">
        <v>143</v>
      </c>
      <c r="B573">
        <v>20.468172484599588</v>
      </c>
      <c r="C573" s="1">
        <v>0</v>
      </c>
      <c r="D573">
        <v>1</v>
      </c>
      <c r="F573" s="15">
        <v>81.182751540041068</v>
      </c>
      <c r="G573" s="1">
        <v>7</v>
      </c>
      <c r="H573" s="1">
        <v>0</v>
      </c>
      <c r="I573" s="1">
        <v>1</v>
      </c>
      <c r="J573" s="15">
        <v>1</v>
      </c>
      <c r="K573" s="15">
        <v>0.34275848992946911</v>
      </c>
    </row>
    <row r="574" spans="1:11" x14ac:dyDescent="0.25">
      <c r="A574" s="13" t="s">
        <v>142</v>
      </c>
      <c r="B574">
        <v>69.913757700205338</v>
      </c>
      <c r="C574" s="1">
        <v>0</v>
      </c>
      <c r="D574">
        <v>1</v>
      </c>
      <c r="F574" s="15">
        <v>83.416837782340863</v>
      </c>
      <c r="G574" s="1">
        <v>6</v>
      </c>
      <c r="H574" s="1">
        <v>0</v>
      </c>
      <c r="I574" s="1">
        <v>1</v>
      </c>
      <c r="J574" s="15">
        <v>1</v>
      </c>
      <c r="K574" s="15">
        <v>0.34275848992946911</v>
      </c>
    </row>
    <row r="575" spans="1:11" x14ac:dyDescent="0.25">
      <c r="A575" s="13" t="s">
        <v>141</v>
      </c>
      <c r="B575">
        <v>64.558521560574945</v>
      </c>
      <c r="C575" s="1">
        <v>0</v>
      </c>
      <c r="D575">
        <v>1</v>
      </c>
      <c r="F575" s="15">
        <v>83.811088295687881</v>
      </c>
      <c r="G575" s="1">
        <v>5</v>
      </c>
      <c r="H575" s="1">
        <v>0</v>
      </c>
      <c r="I575" s="1">
        <v>1</v>
      </c>
      <c r="J575" s="15">
        <v>1</v>
      </c>
      <c r="K575" s="15">
        <v>0.34275848992946911</v>
      </c>
    </row>
    <row r="576" spans="1:11" x14ac:dyDescent="0.25">
      <c r="A576" s="13" t="s">
        <v>140</v>
      </c>
      <c r="B576">
        <v>70.997946611909654</v>
      </c>
      <c r="C576" s="1">
        <v>0</v>
      </c>
      <c r="D576">
        <v>1</v>
      </c>
      <c r="F576" s="15">
        <v>83.975359342915809</v>
      </c>
      <c r="G576" s="1">
        <v>4</v>
      </c>
      <c r="H576" s="1">
        <v>0</v>
      </c>
      <c r="I576" s="1">
        <v>1</v>
      </c>
      <c r="J576" s="15">
        <v>1</v>
      </c>
      <c r="K576" s="15">
        <v>0.34275848992946911</v>
      </c>
    </row>
    <row r="577" spans="1:11" x14ac:dyDescent="0.25">
      <c r="A577" s="13" t="s">
        <v>139</v>
      </c>
      <c r="B577">
        <v>38.866529774127308</v>
      </c>
      <c r="C577" s="1">
        <v>1</v>
      </c>
      <c r="D577">
        <v>1</v>
      </c>
      <c r="F577" s="15">
        <v>84.205338809034913</v>
      </c>
      <c r="G577" s="1">
        <v>3</v>
      </c>
      <c r="H577" s="1">
        <v>0</v>
      </c>
      <c r="I577" s="1">
        <v>1</v>
      </c>
      <c r="J577" s="15">
        <v>1</v>
      </c>
      <c r="K577" s="15">
        <v>0.34275848992946911</v>
      </c>
    </row>
    <row r="578" spans="1:11" x14ac:dyDescent="0.25">
      <c r="A578" s="13" t="s">
        <v>138</v>
      </c>
      <c r="B578">
        <v>36.402464065708422</v>
      </c>
      <c r="C578" s="1">
        <v>1</v>
      </c>
      <c r="D578">
        <v>1</v>
      </c>
      <c r="F578" s="15">
        <v>85.815195071868587</v>
      </c>
      <c r="G578" s="1">
        <v>2</v>
      </c>
      <c r="H578" s="1">
        <v>0</v>
      </c>
      <c r="I578" s="1">
        <v>1</v>
      </c>
      <c r="J578" s="15">
        <v>1</v>
      </c>
      <c r="K578" s="15">
        <v>0.34275848992946911</v>
      </c>
    </row>
    <row r="579" spans="1:11" x14ac:dyDescent="0.25">
      <c r="A579" s="13" t="s">
        <v>137</v>
      </c>
      <c r="B579">
        <v>67.843942505133469</v>
      </c>
      <c r="C579" s="1">
        <v>0</v>
      </c>
      <c r="D579">
        <v>1</v>
      </c>
      <c r="F579" s="15">
        <v>87.359342915811084</v>
      </c>
      <c r="G579" s="1">
        <v>1</v>
      </c>
      <c r="H579" s="1">
        <v>0</v>
      </c>
      <c r="I579" s="1">
        <v>1</v>
      </c>
      <c r="J579" s="15">
        <v>1</v>
      </c>
      <c r="K579" s="15">
        <v>0.34275848992946911</v>
      </c>
    </row>
    <row r="580" spans="1:11" x14ac:dyDescent="0.25">
      <c r="A580" s="13" t="s">
        <v>136</v>
      </c>
      <c r="B580">
        <v>52.501026694045173</v>
      </c>
      <c r="C580" s="1">
        <v>0</v>
      </c>
      <c r="D580">
        <v>1</v>
      </c>
    </row>
    <row r="581" spans="1:11" x14ac:dyDescent="0.25">
      <c r="A581" s="13" t="s">
        <v>135</v>
      </c>
      <c r="B581">
        <v>16.131416837782339</v>
      </c>
      <c r="C581" s="1">
        <v>1</v>
      </c>
      <c r="D581">
        <v>1</v>
      </c>
    </row>
    <row r="582" spans="1:11" x14ac:dyDescent="0.25">
      <c r="A582" s="13" t="s">
        <v>134</v>
      </c>
      <c r="B582">
        <v>44.878850102669404</v>
      </c>
      <c r="C582" s="1">
        <v>1</v>
      </c>
      <c r="D582">
        <v>1</v>
      </c>
    </row>
    <row r="583" spans="1:11" x14ac:dyDescent="0.25">
      <c r="A583" s="13" t="s">
        <v>133</v>
      </c>
      <c r="B583">
        <v>13.930184804928132</v>
      </c>
      <c r="C583" s="1">
        <v>0</v>
      </c>
      <c r="D583">
        <v>1</v>
      </c>
    </row>
    <row r="584" spans="1:11" x14ac:dyDescent="0.25">
      <c r="A584" s="13" t="s">
        <v>132</v>
      </c>
      <c r="B584">
        <v>28.2217659137577</v>
      </c>
      <c r="C584" s="1">
        <v>1</v>
      </c>
      <c r="D584">
        <v>1</v>
      </c>
    </row>
    <row r="585" spans="1:11" x14ac:dyDescent="0.25">
      <c r="A585" s="13" t="s">
        <v>131</v>
      </c>
      <c r="B585">
        <v>5.9137577002053385</v>
      </c>
      <c r="C585" s="1">
        <v>1</v>
      </c>
      <c r="D585">
        <v>1</v>
      </c>
    </row>
    <row r="586" spans="1:11" x14ac:dyDescent="0.25">
      <c r="A586" s="13" t="s">
        <v>130</v>
      </c>
      <c r="B586">
        <v>53.388090349075974</v>
      </c>
      <c r="C586" s="1">
        <v>0</v>
      </c>
      <c r="D586">
        <v>1</v>
      </c>
    </row>
    <row r="587" spans="1:11" x14ac:dyDescent="0.25">
      <c r="A587" s="13" t="s">
        <v>129</v>
      </c>
      <c r="B587">
        <v>63.671457905544145</v>
      </c>
      <c r="C587" s="1">
        <v>0</v>
      </c>
      <c r="D587">
        <v>1</v>
      </c>
    </row>
    <row r="588" spans="1:11" x14ac:dyDescent="0.25">
      <c r="A588" s="13" t="s">
        <v>128</v>
      </c>
      <c r="B588">
        <v>44.123203285420942</v>
      </c>
      <c r="C588" s="1">
        <v>1</v>
      </c>
      <c r="D588">
        <v>1</v>
      </c>
    </row>
    <row r="589" spans="1:11" x14ac:dyDescent="0.25">
      <c r="A589" s="13" t="s">
        <v>127</v>
      </c>
      <c r="B589">
        <v>21.223819301848049</v>
      </c>
      <c r="C589" s="1">
        <v>1</v>
      </c>
      <c r="D589">
        <v>1</v>
      </c>
    </row>
    <row r="590" spans="1:11" x14ac:dyDescent="0.25">
      <c r="A590" s="13" t="s">
        <v>126</v>
      </c>
      <c r="B590">
        <v>72.016427104722794</v>
      </c>
      <c r="C590" s="1">
        <v>0</v>
      </c>
      <c r="D590">
        <v>1</v>
      </c>
    </row>
    <row r="591" spans="1:11" x14ac:dyDescent="0.25">
      <c r="A591" s="13" t="s">
        <v>125</v>
      </c>
      <c r="B591">
        <v>16.492813141683779</v>
      </c>
      <c r="C591" s="1">
        <v>1</v>
      </c>
      <c r="D591">
        <v>1</v>
      </c>
    </row>
    <row r="592" spans="1:11" x14ac:dyDescent="0.25">
      <c r="A592" s="13" t="s">
        <v>124</v>
      </c>
      <c r="B592">
        <v>55.030800821355236</v>
      </c>
      <c r="C592" s="1">
        <v>0</v>
      </c>
      <c r="D592">
        <v>1</v>
      </c>
    </row>
    <row r="593" spans="1:4" x14ac:dyDescent="0.25">
      <c r="A593" s="13" t="s">
        <v>123</v>
      </c>
      <c r="B593">
        <v>44.780287474332646</v>
      </c>
      <c r="C593" s="1">
        <v>1</v>
      </c>
      <c r="D593">
        <v>1</v>
      </c>
    </row>
    <row r="594" spans="1:4" x14ac:dyDescent="0.25">
      <c r="A594" s="13" t="s">
        <v>122</v>
      </c>
      <c r="B594">
        <v>13.798767967145791</v>
      </c>
      <c r="C594" s="1">
        <v>1</v>
      </c>
      <c r="D594">
        <v>1</v>
      </c>
    </row>
    <row r="595" spans="1:4" x14ac:dyDescent="0.25">
      <c r="A595" s="13" t="s">
        <v>121</v>
      </c>
      <c r="B595">
        <v>32.262833675564679</v>
      </c>
      <c r="C595" s="1">
        <v>1</v>
      </c>
      <c r="D595">
        <v>1</v>
      </c>
    </row>
    <row r="596" spans="1:4" x14ac:dyDescent="0.25">
      <c r="A596" s="13" t="s">
        <v>120</v>
      </c>
      <c r="B596">
        <v>47.93429158110883</v>
      </c>
      <c r="C596" s="1">
        <v>0</v>
      </c>
      <c r="D596">
        <v>1</v>
      </c>
    </row>
    <row r="597" spans="1:4" x14ac:dyDescent="0.25">
      <c r="A597" s="13" t="s">
        <v>119</v>
      </c>
      <c r="B597">
        <v>39.162217659137575</v>
      </c>
      <c r="C597" s="1">
        <v>0</v>
      </c>
      <c r="D597">
        <v>1</v>
      </c>
    </row>
    <row r="598" spans="1:4" x14ac:dyDescent="0.25">
      <c r="A598" s="13" t="s">
        <v>118</v>
      </c>
      <c r="B598">
        <v>41.52772073921971</v>
      </c>
      <c r="C598" s="1">
        <v>0</v>
      </c>
      <c r="D598">
        <v>1</v>
      </c>
    </row>
    <row r="599" spans="1:4" x14ac:dyDescent="0.25">
      <c r="A599" s="13" t="s">
        <v>117</v>
      </c>
      <c r="B599">
        <v>35.975359342915809</v>
      </c>
      <c r="C599" s="1">
        <v>0</v>
      </c>
      <c r="D599">
        <v>1</v>
      </c>
    </row>
    <row r="600" spans="1:4" x14ac:dyDescent="0.25">
      <c r="A600" s="13" t="s">
        <v>116</v>
      </c>
      <c r="B600">
        <v>35.416837782340863</v>
      </c>
      <c r="C600" s="1">
        <v>0</v>
      </c>
      <c r="D600">
        <v>1</v>
      </c>
    </row>
    <row r="601" spans="1:4" x14ac:dyDescent="0.25">
      <c r="A601" s="13" t="s">
        <v>115</v>
      </c>
      <c r="B601">
        <v>24.213552361396303</v>
      </c>
      <c r="C601" s="1">
        <v>0</v>
      </c>
      <c r="D601">
        <v>1</v>
      </c>
    </row>
    <row r="602" spans="1:4" x14ac:dyDescent="0.25">
      <c r="A602" s="13" t="s">
        <v>114</v>
      </c>
      <c r="B602">
        <v>15.145790554414784</v>
      </c>
      <c r="C602" s="1">
        <v>0</v>
      </c>
      <c r="D602">
        <v>1</v>
      </c>
    </row>
    <row r="603" spans="1:4" x14ac:dyDescent="0.25">
      <c r="A603" s="13" t="s">
        <v>113</v>
      </c>
      <c r="B603">
        <v>15.277207392197125</v>
      </c>
      <c r="C603" s="1">
        <v>1</v>
      </c>
      <c r="D603">
        <v>1</v>
      </c>
    </row>
    <row r="604" spans="1:4" x14ac:dyDescent="0.25">
      <c r="A604" s="13" t="s">
        <v>112</v>
      </c>
      <c r="B604">
        <v>27.663244353182751</v>
      </c>
      <c r="C604" s="1">
        <v>1</v>
      </c>
      <c r="D604">
        <v>1</v>
      </c>
    </row>
    <row r="605" spans="1:4" x14ac:dyDescent="0.25">
      <c r="A605" s="13" t="s">
        <v>111</v>
      </c>
      <c r="B605">
        <v>30.160164271047229</v>
      </c>
      <c r="C605" s="1">
        <v>0</v>
      </c>
      <c r="D605">
        <v>1</v>
      </c>
    </row>
    <row r="606" spans="1:4" x14ac:dyDescent="0.25">
      <c r="A606" s="13" t="s">
        <v>110</v>
      </c>
      <c r="B606">
        <v>12.28747433264887</v>
      </c>
      <c r="C606" s="1">
        <v>1</v>
      </c>
      <c r="D606">
        <v>1</v>
      </c>
    </row>
    <row r="607" spans="1:4" x14ac:dyDescent="0.25">
      <c r="A607" s="13" t="s">
        <v>109</v>
      </c>
      <c r="B607">
        <v>35.7782340862423</v>
      </c>
      <c r="C607" s="1">
        <v>0</v>
      </c>
      <c r="D607">
        <v>1</v>
      </c>
    </row>
    <row r="608" spans="1:4" x14ac:dyDescent="0.25">
      <c r="A608" s="13" t="s">
        <v>108</v>
      </c>
      <c r="B608">
        <v>50.168377823408626</v>
      </c>
      <c r="C608" s="1">
        <v>0</v>
      </c>
      <c r="D608">
        <v>1</v>
      </c>
    </row>
    <row r="609" spans="1:4" x14ac:dyDescent="0.25">
      <c r="A609" s="13" t="s">
        <v>107</v>
      </c>
      <c r="B609">
        <v>9.3634496919917858</v>
      </c>
      <c r="C609" s="1">
        <v>1</v>
      </c>
      <c r="D609">
        <v>1</v>
      </c>
    </row>
    <row r="610" spans="1:4" x14ac:dyDescent="0.25">
      <c r="A610" s="13" t="s">
        <v>106</v>
      </c>
      <c r="B610">
        <v>42.907597535934293</v>
      </c>
      <c r="C610" s="1">
        <v>1</v>
      </c>
      <c r="D610">
        <v>1</v>
      </c>
    </row>
    <row r="611" spans="1:4" x14ac:dyDescent="0.25">
      <c r="A611" s="13" t="s">
        <v>105</v>
      </c>
      <c r="B611">
        <v>26.184804928131417</v>
      </c>
      <c r="C611" s="1">
        <v>1</v>
      </c>
      <c r="D611">
        <v>1</v>
      </c>
    </row>
    <row r="612" spans="1:4" x14ac:dyDescent="0.25">
      <c r="A612" s="13" t="s">
        <v>104</v>
      </c>
      <c r="B612">
        <v>47.342915811088297</v>
      </c>
      <c r="C612" s="1">
        <v>0</v>
      </c>
      <c r="D612">
        <v>1</v>
      </c>
    </row>
    <row r="613" spans="1:4" x14ac:dyDescent="0.25">
      <c r="A613" s="13" t="s">
        <v>103</v>
      </c>
      <c r="B613">
        <v>11.268993839835728</v>
      </c>
      <c r="C613" s="1">
        <v>1</v>
      </c>
      <c r="D613">
        <v>1</v>
      </c>
    </row>
    <row r="614" spans="1:4" x14ac:dyDescent="0.25">
      <c r="A614" s="13" t="s">
        <v>102</v>
      </c>
      <c r="B614">
        <v>30.751540041067763</v>
      </c>
      <c r="C614" s="1">
        <v>0</v>
      </c>
      <c r="D614">
        <v>1</v>
      </c>
    </row>
    <row r="615" spans="1:4" x14ac:dyDescent="0.25">
      <c r="A615" s="13" t="s">
        <v>101</v>
      </c>
      <c r="B615">
        <v>6.406570841889117</v>
      </c>
      <c r="C615" s="1">
        <v>0</v>
      </c>
      <c r="D615">
        <v>1</v>
      </c>
    </row>
    <row r="616" spans="1:4" x14ac:dyDescent="0.25">
      <c r="A616" s="13" t="s">
        <v>100</v>
      </c>
      <c r="B616">
        <v>16.525667351129364</v>
      </c>
      <c r="C616" s="1">
        <v>1</v>
      </c>
      <c r="D616">
        <v>1</v>
      </c>
    </row>
    <row r="617" spans="1:4" x14ac:dyDescent="0.25">
      <c r="A617" s="13" t="s">
        <v>99</v>
      </c>
      <c r="B617">
        <v>27.170431211498972</v>
      </c>
      <c r="C617" s="1">
        <v>1</v>
      </c>
      <c r="D617">
        <v>1</v>
      </c>
    </row>
    <row r="618" spans="1:4" x14ac:dyDescent="0.25">
      <c r="A618" s="13" t="s">
        <v>98</v>
      </c>
      <c r="B618">
        <v>46.882956878850102</v>
      </c>
      <c r="C618" s="1">
        <v>0</v>
      </c>
      <c r="D618">
        <v>1</v>
      </c>
    </row>
    <row r="619" spans="1:4" x14ac:dyDescent="0.25">
      <c r="A619" s="13" t="s">
        <v>97</v>
      </c>
      <c r="B619">
        <v>28.057494866529773</v>
      </c>
      <c r="C619" s="1">
        <v>0</v>
      </c>
      <c r="D619">
        <v>1</v>
      </c>
    </row>
    <row r="620" spans="1:4" x14ac:dyDescent="0.25">
      <c r="A620" s="13" t="s">
        <v>96</v>
      </c>
      <c r="B620">
        <v>5.8151950718685832</v>
      </c>
      <c r="C620" s="1">
        <v>1</v>
      </c>
      <c r="D620">
        <v>1</v>
      </c>
    </row>
    <row r="621" spans="1:4" x14ac:dyDescent="0.25">
      <c r="A621" s="13" t="s">
        <v>95</v>
      </c>
      <c r="B621">
        <v>9.2320328542094447</v>
      </c>
      <c r="C621" s="1">
        <v>1</v>
      </c>
      <c r="D621">
        <v>1</v>
      </c>
    </row>
    <row r="622" spans="1:4" x14ac:dyDescent="0.25">
      <c r="A622" s="13" t="s">
        <v>94</v>
      </c>
      <c r="B622">
        <v>6.7351129363449695</v>
      </c>
      <c r="C622" s="1">
        <v>1</v>
      </c>
      <c r="D622">
        <v>1</v>
      </c>
    </row>
    <row r="623" spans="1:4" x14ac:dyDescent="0.25">
      <c r="A623" s="13" t="s">
        <v>93</v>
      </c>
      <c r="B623">
        <v>24.673511293634498</v>
      </c>
      <c r="C623" s="1">
        <v>0</v>
      </c>
      <c r="D623">
        <v>1</v>
      </c>
    </row>
    <row r="624" spans="1:4" x14ac:dyDescent="0.25">
      <c r="A624" s="13" t="s">
        <v>92</v>
      </c>
      <c r="B624">
        <v>20.6652977412731</v>
      </c>
      <c r="C624" s="1">
        <v>1</v>
      </c>
      <c r="D624">
        <v>1</v>
      </c>
    </row>
    <row r="625" spans="1:4" x14ac:dyDescent="0.25">
      <c r="A625" s="13" t="s">
        <v>91</v>
      </c>
      <c r="B625">
        <v>17.281314168377822</v>
      </c>
      <c r="C625" s="1">
        <v>0</v>
      </c>
      <c r="D625">
        <v>1</v>
      </c>
    </row>
    <row r="626" spans="1:4" x14ac:dyDescent="0.25">
      <c r="A626" s="13" t="s">
        <v>90</v>
      </c>
      <c r="B626">
        <v>15.211498973305956</v>
      </c>
      <c r="C626" s="1">
        <v>0</v>
      </c>
      <c r="D626">
        <v>1</v>
      </c>
    </row>
    <row r="627" spans="1:4" x14ac:dyDescent="0.25">
      <c r="A627" s="13" t="s">
        <v>89</v>
      </c>
      <c r="B627">
        <v>17.37987679671458</v>
      </c>
      <c r="C627" s="1">
        <v>0</v>
      </c>
      <c r="D627">
        <v>1</v>
      </c>
    </row>
    <row r="628" spans="1:4" x14ac:dyDescent="0.25">
      <c r="A628" s="13" t="s">
        <v>88</v>
      </c>
      <c r="B628">
        <v>20.468172484599588</v>
      </c>
      <c r="C628" s="1">
        <v>0</v>
      </c>
      <c r="D628">
        <v>1</v>
      </c>
    </row>
    <row r="629" spans="1:4" x14ac:dyDescent="0.25">
      <c r="A629" s="13" t="s">
        <v>87</v>
      </c>
      <c r="B629">
        <v>17.938398357289529</v>
      </c>
      <c r="C629" s="1">
        <v>0</v>
      </c>
      <c r="D629">
        <v>1</v>
      </c>
    </row>
    <row r="630" spans="1:4" x14ac:dyDescent="0.25">
      <c r="A630" s="13" t="s">
        <v>86</v>
      </c>
      <c r="B630">
        <v>6.9979466119096507</v>
      </c>
      <c r="C630" s="1">
        <v>0</v>
      </c>
      <c r="D630">
        <v>1</v>
      </c>
    </row>
    <row r="631" spans="1:4" x14ac:dyDescent="0.25">
      <c r="A631" s="13" t="s">
        <v>85</v>
      </c>
      <c r="B631">
        <v>9.0677618069815189</v>
      </c>
      <c r="C631" s="1">
        <v>0</v>
      </c>
      <c r="D631">
        <v>1</v>
      </c>
    </row>
    <row r="632" spans="1:4" x14ac:dyDescent="0.25">
      <c r="A632" s="13" t="s">
        <v>84</v>
      </c>
      <c r="B632">
        <v>66.03696098562628</v>
      </c>
      <c r="C632" s="1">
        <v>0</v>
      </c>
      <c r="D632">
        <v>1</v>
      </c>
    </row>
    <row r="633" spans="1:4" x14ac:dyDescent="0.25">
      <c r="A633" s="13" t="s">
        <v>83</v>
      </c>
      <c r="B633">
        <v>66.004106776180691</v>
      </c>
      <c r="C633" s="1">
        <v>0</v>
      </c>
      <c r="D633">
        <v>1</v>
      </c>
    </row>
    <row r="634" spans="1:4" x14ac:dyDescent="0.25">
      <c r="A634" s="13" t="s">
        <v>82</v>
      </c>
      <c r="B634">
        <v>65.182751540041068</v>
      </c>
      <c r="C634" s="1">
        <v>0</v>
      </c>
      <c r="D634">
        <v>1</v>
      </c>
    </row>
    <row r="635" spans="1:4" x14ac:dyDescent="0.25">
      <c r="A635" s="13" t="s">
        <v>81</v>
      </c>
      <c r="B635">
        <v>65.084188911704317</v>
      </c>
      <c r="C635" s="1">
        <v>0</v>
      </c>
      <c r="D635">
        <v>1</v>
      </c>
    </row>
    <row r="636" spans="1:4" x14ac:dyDescent="0.25">
      <c r="A636" s="13" t="s">
        <v>80</v>
      </c>
      <c r="B636">
        <v>20.501026694045173</v>
      </c>
      <c r="C636" s="1">
        <v>1</v>
      </c>
      <c r="D636">
        <v>1</v>
      </c>
    </row>
    <row r="637" spans="1:4" x14ac:dyDescent="0.25">
      <c r="A637" s="13" t="s">
        <v>79</v>
      </c>
      <c r="B637">
        <v>24.377823408624231</v>
      </c>
      <c r="C637" s="1">
        <v>1</v>
      </c>
      <c r="D637">
        <v>1</v>
      </c>
    </row>
    <row r="638" spans="1:4" x14ac:dyDescent="0.25">
      <c r="A638" s="13" t="s">
        <v>78</v>
      </c>
      <c r="B638">
        <v>59.728952772073924</v>
      </c>
      <c r="C638" s="1">
        <v>0</v>
      </c>
      <c r="D638">
        <v>1</v>
      </c>
    </row>
    <row r="639" spans="1:4" x14ac:dyDescent="0.25">
      <c r="A639" s="13" t="s">
        <v>77</v>
      </c>
      <c r="B639">
        <v>49.051334702258728</v>
      </c>
      <c r="C639" s="1">
        <v>1</v>
      </c>
      <c r="D639">
        <v>1</v>
      </c>
    </row>
    <row r="640" spans="1:4" x14ac:dyDescent="0.25">
      <c r="A640" s="13" t="s">
        <v>76</v>
      </c>
      <c r="B640">
        <v>47.04722792607803</v>
      </c>
      <c r="C640" s="1">
        <v>0</v>
      </c>
      <c r="D640">
        <v>1</v>
      </c>
    </row>
    <row r="641" spans="1:4" x14ac:dyDescent="0.25">
      <c r="A641" s="13" t="s">
        <v>75</v>
      </c>
      <c r="B641">
        <v>26.316221765913756</v>
      </c>
      <c r="C641" s="1">
        <v>1</v>
      </c>
      <c r="D641">
        <v>1</v>
      </c>
    </row>
    <row r="642" spans="1:4" x14ac:dyDescent="0.25">
      <c r="A642" s="13" t="s">
        <v>74</v>
      </c>
      <c r="B642">
        <v>38.833675564681727</v>
      </c>
      <c r="C642" s="1">
        <v>0</v>
      </c>
      <c r="D642">
        <v>1</v>
      </c>
    </row>
    <row r="643" spans="1:4" x14ac:dyDescent="0.25">
      <c r="A643" s="13" t="s">
        <v>73</v>
      </c>
      <c r="B643">
        <v>2.3326488706365502</v>
      </c>
      <c r="C643" s="1">
        <v>0</v>
      </c>
      <c r="D643">
        <v>1</v>
      </c>
    </row>
    <row r="644" spans="1:4" x14ac:dyDescent="0.25">
      <c r="A644" s="13" t="s">
        <v>72</v>
      </c>
      <c r="B644">
        <v>3.7453798767967146</v>
      </c>
      <c r="C644" s="1">
        <v>0</v>
      </c>
      <c r="D644">
        <v>1</v>
      </c>
    </row>
    <row r="645" spans="1:4" x14ac:dyDescent="0.25">
      <c r="A645" s="13" t="s">
        <v>71</v>
      </c>
      <c r="B645">
        <v>2.0698151950718686</v>
      </c>
      <c r="C645" s="1">
        <v>0</v>
      </c>
      <c r="D645">
        <v>1</v>
      </c>
    </row>
    <row r="646" spans="1:4" x14ac:dyDescent="0.25">
      <c r="A646" s="13" t="s">
        <v>70</v>
      </c>
      <c r="B646">
        <v>56.57494866529774</v>
      </c>
      <c r="C646" s="1">
        <v>0</v>
      </c>
      <c r="D646">
        <v>1</v>
      </c>
    </row>
    <row r="647" spans="1:4" x14ac:dyDescent="0.25">
      <c r="A647" s="13" t="s">
        <v>69</v>
      </c>
      <c r="B647">
        <v>55.589322381930188</v>
      </c>
      <c r="C647" s="1">
        <v>0</v>
      </c>
      <c r="D647">
        <v>1</v>
      </c>
    </row>
    <row r="648" spans="1:4" x14ac:dyDescent="0.25">
      <c r="A648" s="13" t="s">
        <v>68</v>
      </c>
      <c r="B648">
        <v>5.8151950718685832</v>
      </c>
      <c r="C648" s="1">
        <v>0</v>
      </c>
      <c r="D648">
        <v>1</v>
      </c>
    </row>
    <row r="649" spans="1:4" x14ac:dyDescent="0.25">
      <c r="A649" s="13" t="s">
        <v>67</v>
      </c>
      <c r="B649">
        <v>1.8726899383983573</v>
      </c>
      <c r="C649" s="1">
        <v>0</v>
      </c>
      <c r="D649">
        <v>1</v>
      </c>
    </row>
    <row r="650" spans="1:4" x14ac:dyDescent="0.25">
      <c r="A650" s="13" t="s">
        <v>66</v>
      </c>
      <c r="B650">
        <v>37.848049281314168</v>
      </c>
      <c r="C650" s="1">
        <v>0</v>
      </c>
      <c r="D650">
        <v>1</v>
      </c>
    </row>
    <row r="651" spans="1:4" x14ac:dyDescent="0.25">
      <c r="A651" s="13" t="s">
        <v>65</v>
      </c>
      <c r="B651">
        <v>24.082135523613964</v>
      </c>
      <c r="C651" s="1">
        <v>0</v>
      </c>
      <c r="D651">
        <v>1</v>
      </c>
    </row>
    <row r="652" spans="1:4" x14ac:dyDescent="0.25">
      <c r="A652" s="13" t="s">
        <v>64</v>
      </c>
      <c r="B652">
        <v>47.93429158110883</v>
      </c>
      <c r="C652" s="1">
        <v>1</v>
      </c>
      <c r="D652">
        <v>1</v>
      </c>
    </row>
    <row r="653" spans="1:4" x14ac:dyDescent="0.25">
      <c r="A653" s="13" t="s">
        <v>63</v>
      </c>
      <c r="B653">
        <v>73.494866529774129</v>
      </c>
      <c r="C653" s="1">
        <v>0</v>
      </c>
      <c r="D653">
        <v>1</v>
      </c>
    </row>
    <row r="654" spans="1:4" x14ac:dyDescent="0.25">
      <c r="A654" s="13" t="s">
        <v>62</v>
      </c>
      <c r="B654">
        <v>30.652977412731005</v>
      </c>
      <c r="C654" s="1">
        <v>0</v>
      </c>
      <c r="D654">
        <v>1</v>
      </c>
    </row>
    <row r="655" spans="1:4" x14ac:dyDescent="0.25">
      <c r="A655" s="13" t="s">
        <v>61</v>
      </c>
      <c r="B655">
        <v>67.548254620123203</v>
      </c>
      <c r="C655" s="1">
        <v>0</v>
      </c>
      <c r="D655">
        <v>1</v>
      </c>
    </row>
    <row r="656" spans="1:4" x14ac:dyDescent="0.25">
      <c r="A656" s="13" t="s">
        <v>60</v>
      </c>
      <c r="B656">
        <v>56.804928131416837</v>
      </c>
      <c r="C656" s="1">
        <v>0</v>
      </c>
      <c r="D656">
        <v>1</v>
      </c>
    </row>
    <row r="657" spans="1:22" x14ac:dyDescent="0.25">
      <c r="A657" s="13" t="s">
        <v>59</v>
      </c>
      <c r="B657">
        <v>66.496919917864474</v>
      </c>
      <c r="C657" s="1">
        <v>0</v>
      </c>
      <c r="D657">
        <v>1</v>
      </c>
    </row>
    <row r="658" spans="1:22" x14ac:dyDescent="0.25">
      <c r="A658" s="13" t="s">
        <v>58</v>
      </c>
      <c r="B658">
        <v>66.989733059548257</v>
      </c>
      <c r="C658" s="1">
        <v>1</v>
      </c>
      <c r="D658">
        <v>1</v>
      </c>
    </row>
    <row r="659" spans="1:22" x14ac:dyDescent="0.25">
      <c r="A659" s="13" t="s">
        <v>57</v>
      </c>
      <c r="B659">
        <v>66.595482546201225</v>
      </c>
      <c r="C659" s="1">
        <v>0</v>
      </c>
      <c r="D659">
        <v>1</v>
      </c>
    </row>
    <row r="660" spans="1:22" x14ac:dyDescent="0.25">
      <c r="A660" s="13" t="s">
        <v>56</v>
      </c>
      <c r="B660">
        <v>65.938398357289529</v>
      </c>
      <c r="C660" s="1">
        <v>0</v>
      </c>
      <c r="D660">
        <v>1</v>
      </c>
    </row>
    <row r="661" spans="1:22" x14ac:dyDescent="0.25">
      <c r="A661" s="13" t="s">
        <v>55</v>
      </c>
      <c r="B661">
        <v>41.166324435318273</v>
      </c>
      <c r="C661" s="1">
        <v>1</v>
      </c>
      <c r="D661">
        <v>1</v>
      </c>
    </row>
    <row r="662" spans="1:22" x14ac:dyDescent="0.25">
      <c r="A662" s="13" t="s">
        <v>54</v>
      </c>
      <c r="B662">
        <v>58.776180698151954</v>
      </c>
      <c r="C662" s="1">
        <v>0</v>
      </c>
      <c r="D662">
        <v>1</v>
      </c>
      <c r="U662" s="16"/>
      <c r="V662" s="16"/>
    </row>
    <row r="663" spans="1:22" x14ac:dyDescent="0.25">
      <c r="A663" s="13" t="s">
        <v>53</v>
      </c>
      <c r="B663">
        <v>56.082135523613964</v>
      </c>
      <c r="C663" s="1">
        <v>0</v>
      </c>
      <c r="D663">
        <v>1</v>
      </c>
      <c r="V663" s="1"/>
    </row>
    <row r="664" spans="1:22" x14ac:dyDescent="0.25">
      <c r="A664" s="13" t="s">
        <v>52</v>
      </c>
      <c r="B664">
        <v>56.312114989733061</v>
      </c>
      <c r="C664" s="1">
        <v>0</v>
      </c>
      <c r="D664">
        <v>1</v>
      </c>
      <c r="V664" s="1"/>
    </row>
    <row r="665" spans="1:22" x14ac:dyDescent="0.25">
      <c r="A665" s="13" t="s">
        <v>51</v>
      </c>
      <c r="B665">
        <v>56.410677618069812</v>
      </c>
      <c r="C665" s="1">
        <v>0</v>
      </c>
      <c r="D665">
        <v>1</v>
      </c>
      <c r="V665" s="1"/>
    </row>
    <row r="666" spans="1:22" x14ac:dyDescent="0.25">
      <c r="A666" s="13" t="s">
        <v>50</v>
      </c>
      <c r="B666">
        <v>10.809034907597535</v>
      </c>
      <c r="C666" s="1">
        <v>1</v>
      </c>
      <c r="D666">
        <v>1</v>
      </c>
      <c r="V666" s="1"/>
    </row>
    <row r="667" spans="1:22" x14ac:dyDescent="0.25">
      <c r="A667" s="13" t="s">
        <v>49</v>
      </c>
      <c r="B667">
        <v>53.355236139630392</v>
      </c>
      <c r="C667" s="1">
        <v>0</v>
      </c>
      <c r="D667">
        <v>1</v>
      </c>
      <c r="V667" s="1"/>
    </row>
    <row r="668" spans="1:22" x14ac:dyDescent="0.25">
      <c r="A668" s="13" t="s">
        <v>48</v>
      </c>
      <c r="B668">
        <v>52.566735112936342</v>
      </c>
      <c r="C668" s="1">
        <v>0</v>
      </c>
      <c r="D668">
        <v>1</v>
      </c>
      <c r="V668" s="1"/>
    </row>
    <row r="669" spans="1:22" x14ac:dyDescent="0.25">
      <c r="A669" s="13" t="s">
        <v>47</v>
      </c>
      <c r="B669">
        <v>12.648870636550308</v>
      </c>
      <c r="C669" s="1">
        <v>1</v>
      </c>
      <c r="D669">
        <v>1</v>
      </c>
      <c r="V669" s="1"/>
    </row>
    <row r="670" spans="1:22" x14ac:dyDescent="0.25">
      <c r="A670" s="13" t="s">
        <v>46</v>
      </c>
      <c r="B670">
        <v>48.459958932238195</v>
      </c>
      <c r="C670" s="1">
        <v>0</v>
      </c>
      <c r="D670">
        <v>1</v>
      </c>
      <c r="V670" s="1"/>
    </row>
    <row r="671" spans="1:22" x14ac:dyDescent="0.25">
      <c r="A671" s="13" t="s">
        <v>45</v>
      </c>
      <c r="B671">
        <v>47.145790554414788</v>
      </c>
      <c r="C671" s="1">
        <v>0</v>
      </c>
      <c r="D671">
        <v>1</v>
      </c>
      <c r="V671" s="1"/>
    </row>
    <row r="672" spans="1:22" x14ac:dyDescent="0.25">
      <c r="A672" s="13" t="s">
        <v>44</v>
      </c>
      <c r="B672">
        <v>17.774127310061601</v>
      </c>
      <c r="C672" s="1">
        <v>0</v>
      </c>
      <c r="D672">
        <v>1</v>
      </c>
      <c r="V672" s="1"/>
    </row>
    <row r="673" spans="1:22" x14ac:dyDescent="0.25">
      <c r="A673" s="13" t="s">
        <v>43</v>
      </c>
      <c r="B673">
        <v>43.663244353182755</v>
      </c>
      <c r="C673" s="1">
        <v>0</v>
      </c>
      <c r="D673">
        <v>1</v>
      </c>
      <c r="V673" s="1"/>
    </row>
    <row r="674" spans="1:22" x14ac:dyDescent="0.25">
      <c r="A674" s="13" t="s">
        <v>42</v>
      </c>
      <c r="B674">
        <v>44.583162217659137</v>
      </c>
      <c r="C674" s="1">
        <v>0</v>
      </c>
      <c r="D674">
        <v>1</v>
      </c>
      <c r="V674" s="1"/>
    </row>
    <row r="675" spans="1:22" x14ac:dyDescent="0.25">
      <c r="A675" s="13" t="s">
        <v>41</v>
      </c>
      <c r="B675">
        <v>44.123203285420942</v>
      </c>
      <c r="C675" s="1">
        <v>0</v>
      </c>
      <c r="D675">
        <v>1</v>
      </c>
      <c r="V675" s="1"/>
    </row>
    <row r="676" spans="1:22" x14ac:dyDescent="0.25">
      <c r="A676" s="13" t="s">
        <v>40</v>
      </c>
      <c r="B676">
        <v>24.57494866529774</v>
      </c>
      <c r="C676" s="1">
        <v>1</v>
      </c>
      <c r="D676">
        <v>1</v>
      </c>
      <c r="V676" s="1"/>
    </row>
    <row r="677" spans="1:22" x14ac:dyDescent="0.25">
      <c r="A677" s="13" t="s">
        <v>39</v>
      </c>
      <c r="B677">
        <v>35.811088295687888</v>
      </c>
      <c r="C677" s="1">
        <v>1</v>
      </c>
      <c r="D677">
        <v>1</v>
      </c>
      <c r="V677" s="1"/>
    </row>
    <row r="678" spans="1:22" x14ac:dyDescent="0.25">
      <c r="A678" s="13" t="s">
        <v>38</v>
      </c>
      <c r="B678">
        <v>40.049281314168375</v>
      </c>
      <c r="C678" s="1">
        <v>0</v>
      </c>
      <c r="D678">
        <v>1</v>
      </c>
      <c r="V678" s="1"/>
    </row>
    <row r="679" spans="1:22" x14ac:dyDescent="0.25">
      <c r="A679" s="13" t="s">
        <v>37</v>
      </c>
      <c r="B679">
        <v>18.168377823408623</v>
      </c>
      <c r="C679" s="1">
        <v>0</v>
      </c>
      <c r="D679">
        <v>1</v>
      </c>
      <c r="V679" s="1"/>
    </row>
    <row r="680" spans="1:22" x14ac:dyDescent="0.25">
      <c r="A680" s="13" t="s">
        <v>36</v>
      </c>
      <c r="B680">
        <v>21.749486652977414</v>
      </c>
      <c r="C680" s="1">
        <v>1</v>
      </c>
      <c r="D680">
        <v>1</v>
      </c>
      <c r="V680" s="1"/>
    </row>
    <row r="681" spans="1:22" x14ac:dyDescent="0.25">
      <c r="A681" s="13" t="s">
        <v>35</v>
      </c>
      <c r="B681">
        <v>31.835728952772072</v>
      </c>
      <c r="C681" s="1">
        <v>0</v>
      </c>
      <c r="D681">
        <v>1</v>
      </c>
      <c r="V681" s="1"/>
    </row>
    <row r="682" spans="1:22" x14ac:dyDescent="0.25">
      <c r="A682" s="13" t="s">
        <v>34</v>
      </c>
      <c r="B682">
        <v>32</v>
      </c>
      <c r="C682" s="1">
        <v>0</v>
      </c>
      <c r="D682">
        <v>1</v>
      </c>
      <c r="V682" s="1"/>
    </row>
    <row r="683" spans="1:22" x14ac:dyDescent="0.25">
      <c r="A683" s="13" t="s">
        <v>33</v>
      </c>
      <c r="B683">
        <v>28.451745379876797</v>
      </c>
      <c r="C683" s="1">
        <v>1</v>
      </c>
      <c r="D683">
        <v>1</v>
      </c>
      <c r="V683" s="1"/>
    </row>
    <row r="684" spans="1:22" x14ac:dyDescent="0.25">
      <c r="A684" s="13" t="s">
        <v>32</v>
      </c>
      <c r="B684">
        <v>16.558521560574949</v>
      </c>
      <c r="C684" s="1">
        <v>1</v>
      </c>
      <c r="D684">
        <v>1</v>
      </c>
      <c r="V684" s="1"/>
    </row>
    <row r="685" spans="1:22" x14ac:dyDescent="0.25">
      <c r="A685" s="13" t="s">
        <v>31</v>
      </c>
      <c r="B685">
        <v>23.687885010266939</v>
      </c>
      <c r="C685" s="1">
        <v>0</v>
      </c>
      <c r="D685">
        <v>1</v>
      </c>
      <c r="V685" s="1"/>
    </row>
    <row r="686" spans="1:22" x14ac:dyDescent="0.25">
      <c r="A686" s="13" t="s">
        <v>30</v>
      </c>
      <c r="B686">
        <v>6.1108829568788501</v>
      </c>
      <c r="C686" s="1">
        <v>0</v>
      </c>
      <c r="D686">
        <v>1</v>
      </c>
      <c r="V686" s="1"/>
    </row>
    <row r="687" spans="1:22" x14ac:dyDescent="0.25">
      <c r="A687" s="13" t="s">
        <v>29</v>
      </c>
      <c r="B687">
        <v>25.264887063655031</v>
      </c>
      <c r="C687" s="1">
        <v>1</v>
      </c>
      <c r="D687">
        <v>1</v>
      </c>
      <c r="V687" s="1"/>
    </row>
    <row r="688" spans="1:22" x14ac:dyDescent="0.25">
      <c r="A688" s="13" t="s">
        <v>28</v>
      </c>
      <c r="B688">
        <v>23.885010266940451</v>
      </c>
      <c r="C688" s="1">
        <v>1</v>
      </c>
      <c r="D688">
        <v>1</v>
      </c>
      <c r="V688" s="1"/>
    </row>
    <row r="689" spans="1:22" x14ac:dyDescent="0.25">
      <c r="A689" s="13" t="s">
        <v>27</v>
      </c>
      <c r="B689">
        <v>55.885010266940455</v>
      </c>
      <c r="C689" s="1">
        <v>1</v>
      </c>
      <c r="D689">
        <v>1</v>
      </c>
      <c r="V689" s="1"/>
    </row>
    <row r="690" spans="1:22" x14ac:dyDescent="0.25">
      <c r="V690" s="1"/>
    </row>
    <row r="691" spans="1:22" x14ac:dyDescent="0.25">
      <c r="V691" s="1"/>
    </row>
    <row r="692" spans="1:22" x14ac:dyDescent="0.25">
      <c r="V692" s="1"/>
    </row>
    <row r="693" spans="1:22" x14ac:dyDescent="0.25">
      <c r="V693" s="1"/>
    </row>
    <row r="694" spans="1:22" x14ac:dyDescent="0.25">
      <c r="V694" s="1"/>
    </row>
    <row r="695" spans="1:22" x14ac:dyDescent="0.25">
      <c r="V695" s="1"/>
    </row>
    <row r="696" spans="1:22" x14ac:dyDescent="0.25">
      <c r="V696" s="1"/>
    </row>
    <row r="697" spans="1:22" x14ac:dyDescent="0.25">
      <c r="V697" s="1"/>
    </row>
    <row r="698" spans="1:22" x14ac:dyDescent="0.25">
      <c r="V698" s="1"/>
    </row>
    <row r="699" spans="1:22" x14ac:dyDescent="0.25">
      <c r="V699" s="1"/>
    </row>
    <row r="700" spans="1:22" x14ac:dyDescent="0.25">
      <c r="V700" s="1"/>
    </row>
    <row r="701" spans="1:22" x14ac:dyDescent="0.25">
      <c r="V701" s="1"/>
    </row>
    <row r="702" spans="1:22" x14ac:dyDescent="0.25">
      <c r="V702" s="1"/>
    </row>
    <row r="703" spans="1:22" x14ac:dyDescent="0.25">
      <c r="V703" s="1"/>
    </row>
    <row r="704" spans="1:22" x14ac:dyDescent="0.25">
      <c r="V704" s="1"/>
    </row>
    <row r="705" spans="22:22" x14ac:dyDescent="0.25">
      <c r="V705" s="1"/>
    </row>
    <row r="706" spans="22:22" x14ac:dyDescent="0.25">
      <c r="V706" s="1"/>
    </row>
    <row r="707" spans="22:22" x14ac:dyDescent="0.25">
      <c r="V707" s="1"/>
    </row>
    <row r="708" spans="22:22" x14ac:dyDescent="0.25">
      <c r="V708" s="1"/>
    </row>
    <row r="709" spans="22:22" x14ac:dyDescent="0.25">
      <c r="V709" s="1"/>
    </row>
    <row r="710" spans="22:22" x14ac:dyDescent="0.25">
      <c r="V710" s="1"/>
    </row>
    <row r="711" spans="22:22" x14ac:dyDescent="0.25">
      <c r="V711" s="1"/>
    </row>
    <row r="712" spans="22:22" x14ac:dyDescent="0.25">
      <c r="V712" s="1"/>
    </row>
    <row r="713" spans="22:22" x14ac:dyDescent="0.25">
      <c r="V713" s="1"/>
    </row>
    <row r="714" spans="22:22" x14ac:dyDescent="0.25">
      <c r="V714" s="1"/>
    </row>
    <row r="715" spans="22:22" x14ac:dyDescent="0.25">
      <c r="V715" s="1"/>
    </row>
    <row r="716" spans="22:22" x14ac:dyDescent="0.25">
      <c r="V716" s="1"/>
    </row>
    <row r="717" spans="22:22" x14ac:dyDescent="0.25">
      <c r="V717" s="1"/>
    </row>
    <row r="718" spans="22:22" x14ac:dyDescent="0.25">
      <c r="V718" s="1"/>
    </row>
    <row r="719" spans="22:22" x14ac:dyDescent="0.25">
      <c r="V719" s="1"/>
    </row>
    <row r="720" spans="22:22" x14ac:dyDescent="0.25">
      <c r="V720" s="1"/>
    </row>
    <row r="721" spans="22:22" x14ac:dyDescent="0.25">
      <c r="V721" s="1"/>
    </row>
    <row r="722" spans="22:22" x14ac:dyDescent="0.25">
      <c r="V722" s="1"/>
    </row>
    <row r="723" spans="22:22" x14ac:dyDescent="0.25">
      <c r="V723" s="1"/>
    </row>
    <row r="724" spans="22:22" x14ac:dyDescent="0.25">
      <c r="V724" s="1"/>
    </row>
    <row r="725" spans="22:22" x14ac:dyDescent="0.25">
      <c r="V725" s="1"/>
    </row>
    <row r="726" spans="22:22" x14ac:dyDescent="0.25">
      <c r="V726" s="1"/>
    </row>
    <row r="727" spans="22:22" x14ac:dyDescent="0.25">
      <c r="V727" s="1"/>
    </row>
    <row r="728" spans="22:22" x14ac:dyDescent="0.25">
      <c r="V728" s="1"/>
    </row>
    <row r="729" spans="22:22" x14ac:dyDescent="0.25">
      <c r="V729" s="1"/>
    </row>
    <row r="730" spans="22:22" x14ac:dyDescent="0.25">
      <c r="V730" s="1"/>
    </row>
    <row r="731" spans="22:22" x14ac:dyDescent="0.25">
      <c r="V731" s="1"/>
    </row>
    <row r="732" spans="22:22" x14ac:dyDescent="0.25">
      <c r="V732" s="1"/>
    </row>
    <row r="733" spans="22:22" x14ac:dyDescent="0.25">
      <c r="V733" s="1"/>
    </row>
    <row r="734" spans="22:22" x14ac:dyDescent="0.25">
      <c r="V734" s="1"/>
    </row>
    <row r="735" spans="22:22" x14ac:dyDescent="0.25">
      <c r="V735" s="1"/>
    </row>
    <row r="736" spans="22:22" x14ac:dyDescent="0.25">
      <c r="V736" s="1"/>
    </row>
    <row r="737" spans="22:22" x14ac:dyDescent="0.25">
      <c r="V737" s="1"/>
    </row>
    <row r="738" spans="22:22" x14ac:dyDescent="0.25">
      <c r="V738" s="1"/>
    </row>
    <row r="739" spans="22:22" x14ac:dyDescent="0.25">
      <c r="V739" s="1"/>
    </row>
    <row r="740" spans="22:22" x14ac:dyDescent="0.25">
      <c r="V740" s="1"/>
    </row>
    <row r="741" spans="22:22" x14ac:dyDescent="0.25">
      <c r="V741" s="1"/>
    </row>
    <row r="742" spans="22:22" x14ac:dyDescent="0.25">
      <c r="V742" s="1"/>
    </row>
    <row r="743" spans="22:22" x14ac:dyDescent="0.25">
      <c r="V743" s="1"/>
    </row>
    <row r="744" spans="22:22" x14ac:dyDescent="0.25">
      <c r="V744" s="1"/>
    </row>
    <row r="745" spans="22:22" x14ac:dyDescent="0.25">
      <c r="V745" s="1"/>
    </row>
    <row r="746" spans="22:22" x14ac:dyDescent="0.25">
      <c r="V746" s="1"/>
    </row>
    <row r="747" spans="22:22" x14ac:dyDescent="0.25">
      <c r="V747" s="1"/>
    </row>
    <row r="748" spans="22:22" x14ac:dyDescent="0.25">
      <c r="V748" s="1"/>
    </row>
    <row r="749" spans="22:22" x14ac:dyDescent="0.25">
      <c r="V749" s="1"/>
    </row>
    <row r="750" spans="22:22" x14ac:dyDescent="0.25">
      <c r="V750" s="1"/>
    </row>
    <row r="751" spans="22:22" x14ac:dyDescent="0.25">
      <c r="V751" s="1"/>
    </row>
    <row r="752" spans="22:22" x14ac:dyDescent="0.25">
      <c r="V752" s="1"/>
    </row>
    <row r="753" spans="22:22" x14ac:dyDescent="0.25">
      <c r="V753" s="1"/>
    </row>
    <row r="754" spans="22:22" x14ac:dyDescent="0.25">
      <c r="V754" s="1"/>
    </row>
    <row r="755" spans="22:22" x14ac:dyDescent="0.25">
      <c r="V755" s="1"/>
    </row>
    <row r="756" spans="22:22" x14ac:dyDescent="0.25">
      <c r="V756" s="1"/>
    </row>
    <row r="757" spans="22:22" x14ac:dyDescent="0.25">
      <c r="V757" s="1"/>
    </row>
    <row r="758" spans="22:22" x14ac:dyDescent="0.25">
      <c r="V758" s="1"/>
    </row>
    <row r="759" spans="22:22" x14ac:dyDescent="0.25">
      <c r="V759" s="1"/>
    </row>
    <row r="760" spans="22:22" x14ac:dyDescent="0.25">
      <c r="V760" s="1"/>
    </row>
    <row r="761" spans="22:22" x14ac:dyDescent="0.25">
      <c r="V761" s="1"/>
    </row>
    <row r="762" spans="22:22" x14ac:dyDescent="0.25">
      <c r="V762" s="1"/>
    </row>
    <row r="763" spans="22:22" x14ac:dyDescent="0.25">
      <c r="V763" s="1"/>
    </row>
    <row r="764" spans="22:22" x14ac:dyDescent="0.25">
      <c r="V764" s="1"/>
    </row>
    <row r="765" spans="22:22" x14ac:dyDescent="0.25">
      <c r="V765" s="1"/>
    </row>
    <row r="766" spans="22:22" x14ac:dyDescent="0.25">
      <c r="V766" s="1"/>
    </row>
    <row r="767" spans="22:22" x14ac:dyDescent="0.25">
      <c r="V767" s="1"/>
    </row>
    <row r="768" spans="22:22" x14ac:dyDescent="0.25">
      <c r="V768" s="1"/>
    </row>
    <row r="769" spans="22:22" x14ac:dyDescent="0.25">
      <c r="V769" s="1"/>
    </row>
    <row r="770" spans="22:22" x14ac:dyDescent="0.25">
      <c r="V770" s="1"/>
    </row>
    <row r="771" spans="22:22" x14ac:dyDescent="0.25">
      <c r="V771" s="1"/>
    </row>
    <row r="772" spans="22:22" x14ac:dyDescent="0.25">
      <c r="V772" s="1"/>
    </row>
    <row r="773" spans="22:22" x14ac:dyDescent="0.25">
      <c r="V773" s="1"/>
    </row>
    <row r="774" spans="22:22" x14ac:dyDescent="0.25">
      <c r="V774" s="1"/>
    </row>
    <row r="775" spans="22:22" x14ac:dyDescent="0.25">
      <c r="V775" s="1"/>
    </row>
    <row r="776" spans="22:22" x14ac:dyDescent="0.25">
      <c r="V776" s="1"/>
    </row>
    <row r="777" spans="22:22" x14ac:dyDescent="0.25">
      <c r="V777" s="1"/>
    </row>
    <row r="778" spans="22:22" x14ac:dyDescent="0.25">
      <c r="V778" s="1"/>
    </row>
    <row r="779" spans="22:22" x14ac:dyDescent="0.25">
      <c r="V779" s="1"/>
    </row>
    <row r="780" spans="22:22" x14ac:dyDescent="0.25">
      <c r="V780" s="1"/>
    </row>
    <row r="781" spans="22:22" x14ac:dyDescent="0.25">
      <c r="V781" s="1"/>
    </row>
    <row r="782" spans="22:22" x14ac:dyDescent="0.25">
      <c r="V782" s="1"/>
    </row>
    <row r="783" spans="22:22" x14ac:dyDescent="0.25">
      <c r="V783" s="1"/>
    </row>
    <row r="784" spans="22:22" x14ac:dyDescent="0.25">
      <c r="V784" s="1"/>
    </row>
    <row r="785" spans="22:22" x14ac:dyDescent="0.25">
      <c r="V785" s="1"/>
    </row>
    <row r="786" spans="22:22" x14ac:dyDescent="0.25">
      <c r="V786" s="1"/>
    </row>
    <row r="787" spans="22:22" x14ac:dyDescent="0.25">
      <c r="V787" s="1"/>
    </row>
    <row r="788" spans="22:22" x14ac:dyDescent="0.25">
      <c r="V788" s="1"/>
    </row>
    <row r="789" spans="22:22" x14ac:dyDescent="0.25">
      <c r="V789" s="1"/>
    </row>
    <row r="790" spans="22:22" x14ac:dyDescent="0.25">
      <c r="V790" s="1"/>
    </row>
    <row r="791" spans="22:22" x14ac:dyDescent="0.25">
      <c r="V791" s="1"/>
    </row>
    <row r="792" spans="22:22" x14ac:dyDescent="0.25">
      <c r="V792" s="1"/>
    </row>
    <row r="793" spans="22:22" x14ac:dyDescent="0.25">
      <c r="V793" s="1"/>
    </row>
    <row r="794" spans="22:22" x14ac:dyDescent="0.25">
      <c r="V794" s="1"/>
    </row>
    <row r="795" spans="22:22" x14ac:dyDescent="0.25">
      <c r="V795" s="1"/>
    </row>
    <row r="796" spans="22:22" x14ac:dyDescent="0.25">
      <c r="V796" s="1"/>
    </row>
    <row r="797" spans="22:22" x14ac:dyDescent="0.25">
      <c r="V797" s="1"/>
    </row>
    <row r="798" spans="22:22" x14ac:dyDescent="0.25">
      <c r="V798" s="1"/>
    </row>
    <row r="799" spans="22:22" x14ac:dyDescent="0.25">
      <c r="V799" s="1"/>
    </row>
    <row r="800" spans="22:22" x14ac:dyDescent="0.25">
      <c r="V800" s="1"/>
    </row>
    <row r="801" spans="22:22" x14ac:dyDescent="0.25">
      <c r="V801" s="1"/>
    </row>
    <row r="802" spans="22:22" x14ac:dyDescent="0.25">
      <c r="V802" s="1"/>
    </row>
    <row r="803" spans="22:22" x14ac:dyDescent="0.25">
      <c r="V803" s="1"/>
    </row>
    <row r="804" spans="22:22" x14ac:dyDescent="0.25">
      <c r="V804" s="1"/>
    </row>
    <row r="805" spans="22:22" x14ac:dyDescent="0.25">
      <c r="V805" s="1"/>
    </row>
    <row r="806" spans="22:22" x14ac:dyDescent="0.25">
      <c r="V806" s="1"/>
    </row>
    <row r="807" spans="22:22" x14ac:dyDescent="0.25">
      <c r="V807" s="1"/>
    </row>
    <row r="808" spans="22:22" x14ac:dyDescent="0.25">
      <c r="V808" s="1"/>
    </row>
    <row r="809" spans="22:22" x14ac:dyDescent="0.25">
      <c r="V809" s="1"/>
    </row>
    <row r="810" spans="22:22" x14ac:dyDescent="0.25">
      <c r="V810" s="1"/>
    </row>
    <row r="811" spans="22:22" x14ac:dyDescent="0.25">
      <c r="V811" s="1"/>
    </row>
    <row r="812" spans="22:22" x14ac:dyDescent="0.25">
      <c r="V812" s="1"/>
    </row>
    <row r="813" spans="22:22" x14ac:dyDescent="0.25">
      <c r="V813" s="1"/>
    </row>
    <row r="814" spans="22:22" x14ac:dyDescent="0.25">
      <c r="V814" s="1"/>
    </row>
    <row r="815" spans="22:22" x14ac:dyDescent="0.25">
      <c r="V815" s="1"/>
    </row>
    <row r="816" spans="22:22" x14ac:dyDescent="0.25">
      <c r="V816" s="1"/>
    </row>
    <row r="817" spans="22:22" x14ac:dyDescent="0.25">
      <c r="V817" s="1"/>
    </row>
    <row r="818" spans="22:22" x14ac:dyDescent="0.25">
      <c r="V818" s="1"/>
    </row>
    <row r="819" spans="22:22" x14ac:dyDescent="0.25">
      <c r="V819" s="1"/>
    </row>
    <row r="820" spans="22:22" x14ac:dyDescent="0.25">
      <c r="V820" s="1"/>
    </row>
    <row r="821" spans="22:22" x14ac:dyDescent="0.25">
      <c r="V821" s="1"/>
    </row>
    <row r="822" spans="22:22" x14ac:dyDescent="0.25">
      <c r="V822" s="1"/>
    </row>
    <row r="823" spans="22:22" x14ac:dyDescent="0.25">
      <c r="V823" s="1"/>
    </row>
    <row r="824" spans="22:22" x14ac:dyDescent="0.25">
      <c r="V824" s="1"/>
    </row>
    <row r="825" spans="22:22" x14ac:dyDescent="0.25">
      <c r="V825" s="1"/>
    </row>
    <row r="826" spans="22:22" x14ac:dyDescent="0.25">
      <c r="V826" s="1"/>
    </row>
    <row r="827" spans="22:22" x14ac:dyDescent="0.25">
      <c r="V827" s="1"/>
    </row>
    <row r="828" spans="22:22" x14ac:dyDescent="0.25">
      <c r="V828" s="1"/>
    </row>
    <row r="829" spans="22:22" x14ac:dyDescent="0.25">
      <c r="V829" s="1"/>
    </row>
    <row r="830" spans="22:22" x14ac:dyDescent="0.25">
      <c r="V830" s="1"/>
    </row>
    <row r="831" spans="22:22" x14ac:dyDescent="0.25">
      <c r="V831" s="1"/>
    </row>
    <row r="832" spans="22:22" x14ac:dyDescent="0.25">
      <c r="V832" s="1"/>
    </row>
    <row r="833" spans="22:22" x14ac:dyDescent="0.25">
      <c r="V833" s="1"/>
    </row>
    <row r="834" spans="22:22" x14ac:dyDescent="0.25">
      <c r="V834" s="1"/>
    </row>
    <row r="835" spans="22:22" x14ac:dyDescent="0.25">
      <c r="V835" s="1"/>
    </row>
    <row r="836" spans="22:22" x14ac:dyDescent="0.25">
      <c r="V836" s="1"/>
    </row>
    <row r="837" spans="22:22" x14ac:dyDescent="0.25">
      <c r="V837" s="1"/>
    </row>
    <row r="838" spans="22:22" x14ac:dyDescent="0.25">
      <c r="V838" s="1"/>
    </row>
    <row r="839" spans="22:22" x14ac:dyDescent="0.25">
      <c r="V839" s="1"/>
    </row>
    <row r="840" spans="22:22" x14ac:dyDescent="0.25">
      <c r="V840" s="1"/>
    </row>
    <row r="841" spans="22:22" x14ac:dyDescent="0.25">
      <c r="V841" s="1"/>
    </row>
    <row r="842" spans="22:22" x14ac:dyDescent="0.25">
      <c r="V842" s="1"/>
    </row>
    <row r="843" spans="22:22" x14ac:dyDescent="0.25">
      <c r="V843" s="1"/>
    </row>
    <row r="844" spans="22:22" x14ac:dyDescent="0.25">
      <c r="V844" s="1"/>
    </row>
    <row r="845" spans="22:22" x14ac:dyDescent="0.25">
      <c r="V845" s="1"/>
    </row>
    <row r="846" spans="22:22" x14ac:dyDescent="0.25">
      <c r="V846" s="1"/>
    </row>
    <row r="847" spans="22:22" x14ac:dyDescent="0.25">
      <c r="V847" s="1"/>
    </row>
    <row r="848" spans="22:22" x14ac:dyDescent="0.25">
      <c r="V848" s="1"/>
    </row>
    <row r="849" spans="22:22" x14ac:dyDescent="0.25">
      <c r="V849" s="1"/>
    </row>
    <row r="850" spans="22:22" x14ac:dyDescent="0.25">
      <c r="V850" s="1"/>
    </row>
    <row r="851" spans="22:22" x14ac:dyDescent="0.25">
      <c r="V851" s="1"/>
    </row>
    <row r="852" spans="22:22" x14ac:dyDescent="0.25">
      <c r="V852" s="1"/>
    </row>
    <row r="853" spans="22:22" x14ac:dyDescent="0.25">
      <c r="V853" s="1"/>
    </row>
    <row r="854" spans="22:22" x14ac:dyDescent="0.25">
      <c r="V854" s="1"/>
    </row>
    <row r="855" spans="22:22" x14ac:dyDescent="0.25">
      <c r="V855" s="1"/>
    </row>
    <row r="856" spans="22:22" x14ac:dyDescent="0.25">
      <c r="V856" s="1"/>
    </row>
    <row r="857" spans="22:22" x14ac:dyDescent="0.25">
      <c r="V857" s="1"/>
    </row>
    <row r="858" spans="22:22" x14ac:dyDescent="0.25">
      <c r="V858" s="1"/>
    </row>
    <row r="859" spans="22:22" x14ac:dyDescent="0.25">
      <c r="V859" s="1"/>
    </row>
    <row r="860" spans="22:22" x14ac:dyDescent="0.25">
      <c r="V860" s="1"/>
    </row>
    <row r="861" spans="22:22" x14ac:dyDescent="0.25">
      <c r="V861" s="1"/>
    </row>
    <row r="862" spans="22:22" x14ac:dyDescent="0.25">
      <c r="V862" s="1"/>
    </row>
    <row r="863" spans="22:22" x14ac:dyDescent="0.25">
      <c r="V863" s="1"/>
    </row>
    <row r="864" spans="22:22" x14ac:dyDescent="0.25">
      <c r="V864" s="1"/>
    </row>
    <row r="865" spans="22:22" x14ac:dyDescent="0.25">
      <c r="V865" s="1"/>
    </row>
    <row r="866" spans="22:22" x14ac:dyDescent="0.25">
      <c r="V866" s="1"/>
    </row>
    <row r="867" spans="22:22" x14ac:dyDescent="0.25">
      <c r="V867" s="1"/>
    </row>
    <row r="868" spans="22:22" x14ac:dyDescent="0.25">
      <c r="V868" s="1"/>
    </row>
    <row r="869" spans="22:22" x14ac:dyDescent="0.25">
      <c r="V869" s="1"/>
    </row>
    <row r="870" spans="22:22" x14ac:dyDescent="0.25">
      <c r="V870" s="1"/>
    </row>
    <row r="871" spans="22:22" x14ac:dyDescent="0.25">
      <c r="V871" s="1"/>
    </row>
    <row r="872" spans="22:22" x14ac:dyDescent="0.25">
      <c r="V872" s="1"/>
    </row>
    <row r="873" spans="22:22" x14ac:dyDescent="0.25">
      <c r="V873" s="1"/>
    </row>
    <row r="874" spans="22:22" x14ac:dyDescent="0.25">
      <c r="V874" s="1"/>
    </row>
    <row r="875" spans="22:22" x14ac:dyDescent="0.25">
      <c r="V875" s="1"/>
    </row>
    <row r="876" spans="22:22" x14ac:dyDescent="0.25">
      <c r="V876" s="1"/>
    </row>
    <row r="877" spans="22:22" x14ac:dyDescent="0.25">
      <c r="V877" s="1"/>
    </row>
    <row r="878" spans="22:22" x14ac:dyDescent="0.25">
      <c r="V878" s="1"/>
    </row>
    <row r="879" spans="22:22" x14ac:dyDescent="0.25">
      <c r="V879" s="1"/>
    </row>
    <row r="880" spans="22:22" x14ac:dyDescent="0.25">
      <c r="V880" s="1"/>
    </row>
    <row r="881" spans="22:22" x14ac:dyDescent="0.25">
      <c r="V881" s="1"/>
    </row>
    <row r="882" spans="22:22" x14ac:dyDescent="0.25">
      <c r="V882" s="1"/>
    </row>
    <row r="883" spans="22:22" x14ac:dyDescent="0.25">
      <c r="V883" s="1"/>
    </row>
    <row r="884" spans="22:22" x14ac:dyDescent="0.25">
      <c r="V884" s="1"/>
    </row>
    <row r="885" spans="22:22" x14ac:dyDescent="0.25">
      <c r="V885" s="1"/>
    </row>
    <row r="886" spans="22:22" x14ac:dyDescent="0.25">
      <c r="V886" s="1"/>
    </row>
    <row r="887" spans="22:22" x14ac:dyDescent="0.25">
      <c r="V887" s="1"/>
    </row>
    <row r="888" spans="22:22" x14ac:dyDescent="0.25">
      <c r="V888" s="1"/>
    </row>
    <row r="889" spans="22:22" x14ac:dyDescent="0.25">
      <c r="V889" s="1"/>
    </row>
    <row r="890" spans="22:22" x14ac:dyDescent="0.25">
      <c r="V890" s="1"/>
    </row>
    <row r="891" spans="22:22" x14ac:dyDescent="0.25">
      <c r="V891" s="1"/>
    </row>
    <row r="892" spans="22:22" x14ac:dyDescent="0.25">
      <c r="V892" s="1"/>
    </row>
    <row r="893" spans="22:22" x14ac:dyDescent="0.25">
      <c r="V893" s="1"/>
    </row>
    <row r="894" spans="22:22" x14ac:dyDescent="0.25">
      <c r="V894" s="1"/>
    </row>
    <row r="895" spans="22:22" x14ac:dyDescent="0.25">
      <c r="V895" s="1"/>
    </row>
    <row r="896" spans="22:22" x14ac:dyDescent="0.25">
      <c r="V896" s="1"/>
    </row>
    <row r="897" spans="22:22" x14ac:dyDescent="0.25">
      <c r="V897" s="1"/>
    </row>
    <row r="898" spans="22:22" x14ac:dyDescent="0.25">
      <c r="V898" s="1"/>
    </row>
    <row r="899" spans="22:22" x14ac:dyDescent="0.25">
      <c r="V899" s="1"/>
    </row>
    <row r="900" spans="22:22" x14ac:dyDescent="0.25">
      <c r="V900" s="1"/>
    </row>
    <row r="901" spans="22:22" x14ac:dyDescent="0.25">
      <c r="V901" s="1"/>
    </row>
    <row r="902" spans="22:22" x14ac:dyDescent="0.25">
      <c r="V902" s="1"/>
    </row>
    <row r="903" spans="22:22" x14ac:dyDescent="0.25">
      <c r="V903" s="1"/>
    </row>
    <row r="904" spans="22:22" x14ac:dyDescent="0.25">
      <c r="V904" s="1"/>
    </row>
    <row r="905" spans="22:22" x14ac:dyDescent="0.25">
      <c r="V905" s="1"/>
    </row>
    <row r="906" spans="22:22" x14ac:dyDescent="0.25">
      <c r="V906" s="1"/>
    </row>
    <row r="907" spans="22:22" x14ac:dyDescent="0.25">
      <c r="V907" s="1"/>
    </row>
    <row r="908" spans="22:22" x14ac:dyDescent="0.25">
      <c r="V908" s="1"/>
    </row>
    <row r="909" spans="22:22" x14ac:dyDescent="0.25">
      <c r="V909" s="1"/>
    </row>
    <row r="910" spans="22:22" x14ac:dyDescent="0.25">
      <c r="V910" s="1"/>
    </row>
    <row r="911" spans="22:22" x14ac:dyDescent="0.25">
      <c r="V911" s="1"/>
    </row>
    <row r="912" spans="22:22" x14ac:dyDescent="0.25">
      <c r="V912" s="1"/>
    </row>
    <row r="913" spans="22:22" x14ac:dyDescent="0.25">
      <c r="V913" s="1"/>
    </row>
    <row r="914" spans="22:22" x14ac:dyDescent="0.25">
      <c r="V914" s="1"/>
    </row>
    <row r="915" spans="22:22" x14ac:dyDescent="0.25">
      <c r="V915" s="1"/>
    </row>
    <row r="916" spans="22:22" x14ac:dyDescent="0.25">
      <c r="V916" s="1"/>
    </row>
    <row r="917" spans="22:22" x14ac:dyDescent="0.25">
      <c r="V917" s="1"/>
    </row>
    <row r="918" spans="22:22" x14ac:dyDescent="0.25">
      <c r="V918" s="1"/>
    </row>
    <row r="919" spans="22:22" x14ac:dyDescent="0.25">
      <c r="V919" s="1"/>
    </row>
    <row r="920" spans="22:22" x14ac:dyDescent="0.25">
      <c r="V920" s="1"/>
    </row>
    <row r="921" spans="22:22" x14ac:dyDescent="0.25">
      <c r="V921" s="1"/>
    </row>
    <row r="922" spans="22:22" x14ac:dyDescent="0.25">
      <c r="V922" s="1"/>
    </row>
    <row r="923" spans="22:22" x14ac:dyDescent="0.25">
      <c r="V923" s="1"/>
    </row>
    <row r="924" spans="22:22" x14ac:dyDescent="0.25">
      <c r="V924" s="1"/>
    </row>
    <row r="925" spans="22:22" x14ac:dyDescent="0.25">
      <c r="V925" s="1"/>
    </row>
    <row r="926" spans="22:22" x14ac:dyDescent="0.25">
      <c r="V926" s="1"/>
    </row>
    <row r="927" spans="22:22" x14ac:dyDescent="0.25">
      <c r="V927" s="1"/>
    </row>
    <row r="928" spans="22:22" x14ac:dyDescent="0.25">
      <c r="V928" s="1"/>
    </row>
    <row r="929" spans="22:22" x14ac:dyDescent="0.25">
      <c r="V929" s="1"/>
    </row>
    <row r="930" spans="22:22" x14ac:dyDescent="0.25">
      <c r="V930" s="1"/>
    </row>
    <row r="931" spans="22:22" x14ac:dyDescent="0.25">
      <c r="V931" s="1"/>
    </row>
    <row r="932" spans="22:22" x14ac:dyDescent="0.25">
      <c r="V932" s="1"/>
    </row>
    <row r="933" spans="22:22" x14ac:dyDescent="0.25">
      <c r="V933" s="1"/>
    </row>
    <row r="934" spans="22:22" x14ac:dyDescent="0.25">
      <c r="V934" s="1"/>
    </row>
    <row r="935" spans="22:22" x14ac:dyDescent="0.25">
      <c r="V935" s="1"/>
    </row>
    <row r="936" spans="22:22" x14ac:dyDescent="0.25">
      <c r="V936" s="1"/>
    </row>
    <row r="937" spans="22:22" x14ac:dyDescent="0.25">
      <c r="V937" s="1"/>
    </row>
    <row r="938" spans="22:22" x14ac:dyDescent="0.25">
      <c r="V938" s="1"/>
    </row>
    <row r="939" spans="22:22" x14ac:dyDescent="0.25">
      <c r="V939" s="1"/>
    </row>
    <row r="940" spans="22:22" x14ac:dyDescent="0.25">
      <c r="V940" s="1"/>
    </row>
    <row r="941" spans="22:22" x14ac:dyDescent="0.25">
      <c r="V941" s="1"/>
    </row>
    <row r="942" spans="22:22" x14ac:dyDescent="0.25">
      <c r="V942" s="1"/>
    </row>
    <row r="943" spans="22:22" x14ac:dyDescent="0.25">
      <c r="V943" s="1"/>
    </row>
    <row r="944" spans="22:22" x14ac:dyDescent="0.25">
      <c r="V944" s="1"/>
    </row>
    <row r="945" spans="22:22" x14ac:dyDescent="0.25">
      <c r="V945" s="1"/>
    </row>
    <row r="946" spans="22:22" x14ac:dyDescent="0.25">
      <c r="V946" s="1"/>
    </row>
    <row r="947" spans="22:22" x14ac:dyDescent="0.25">
      <c r="V947" s="1"/>
    </row>
    <row r="948" spans="22:22" x14ac:dyDescent="0.25">
      <c r="V948" s="1"/>
    </row>
    <row r="949" spans="22:22" x14ac:dyDescent="0.25">
      <c r="V949" s="1"/>
    </row>
    <row r="950" spans="22:22" x14ac:dyDescent="0.25">
      <c r="V950" s="1"/>
    </row>
    <row r="951" spans="22:22" x14ac:dyDescent="0.25">
      <c r="V951" s="1"/>
    </row>
    <row r="952" spans="22:22" x14ac:dyDescent="0.25">
      <c r="V952" s="1"/>
    </row>
    <row r="953" spans="22:22" x14ac:dyDescent="0.25">
      <c r="V953" s="1"/>
    </row>
    <row r="954" spans="22:22" x14ac:dyDescent="0.25">
      <c r="V954" s="1"/>
    </row>
    <row r="955" spans="22:22" x14ac:dyDescent="0.25">
      <c r="V955" s="1"/>
    </row>
    <row r="956" spans="22:22" x14ac:dyDescent="0.25">
      <c r="V956" s="1"/>
    </row>
    <row r="957" spans="22:22" x14ac:dyDescent="0.25">
      <c r="V957" s="1"/>
    </row>
    <row r="958" spans="22:22" x14ac:dyDescent="0.25">
      <c r="V958" s="1"/>
    </row>
    <row r="959" spans="22:22" x14ac:dyDescent="0.25">
      <c r="V959" s="1"/>
    </row>
    <row r="960" spans="22:22" x14ac:dyDescent="0.25">
      <c r="V960" s="1"/>
    </row>
    <row r="961" spans="22:22" x14ac:dyDescent="0.25">
      <c r="V961" s="1"/>
    </row>
    <row r="962" spans="22:22" x14ac:dyDescent="0.25">
      <c r="V962" s="1"/>
    </row>
    <row r="963" spans="22:22" x14ac:dyDescent="0.25">
      <c r="V963" s="1"/>
    </row>
    <row r="964" spans="22:22" x14ac:dyDescent="0.25">
      <c r="V964" s="1"/>
    </row>
    <row r="965" spans="22:22" x14ac:dyDescent="0.25">
      <c r="V965" s="1"/>
    </row>
    <row r="966" spans="22:22" x14ac:dyDescent="0.25">
      <c r="V966" s="1"/>
    </row>
    <row r="967" spans="22:22" x14ac:dyDescent="0.25">
      <c r="V967" s="1"/>
    </row>
    <row r="968" spans="22:22" x14ac:dyDescent="0.25">
      <c r="V968" s="1"/>
    </row>
    <row r="969" spans="22:22" x14ac:dyDescent="0.25">
      <c r="V969" s="1"/>
    </row>
    <row r="970" spans="22:22" x14ac:dyDescent="0.25">
      <c r="V970" s="1"/>
    </row>
    <row r="971" spans="22:22" x14ac:dyDescent="0.25">
      <c r="V971" s="1"/>
    </row>
    <row r="972" spans="22:22" x14ac:dyDescent="0.25">
      <c r="V972" s="1"/>
    </row>
    <row r="973" spans="22:22" x14ac:dyDescent="0.25">
      <c r="V973" s="1"/>
    </row>
    <row r="974" spans="22:22" x14ac:dyDescent="0.25">
      <c r="V974" s="1"/>
    </row>
    <row r="975" spans="22:22" x14ac:dyDescent="0.25">
      <c r="V975" s="1"/>
    </row>
    <row r="976" spans="22:22" x14ac:dyDescent="0.25">
      <c r="V976" s="1"/>
    </row>
    <row r="977" spans="22:22" x14ac:dyDescent="0.25">
      <c r="V977" s="1"/>
    </row>
    <row r="978" spans="22:22" x14ac:dyDescent="0.25">
      <c r="V978" s="1"/>
    </row>
    <row r="979" spans="22:22" x14ac:dyDescent="0.25">
      <c r="V979" s="1"/>
    </row>
    <row r="980" spans="22:22" x14ac:dyDescent="0.25">
      <c r="V980" s="1"/>
    </row>
    <row r="981" spans="22:22" x14ac:dyDescent="0.25">
      <c r="V981" s="1"/>
    </row>
    <row r="982" spans="22:22" x14ac:dyDescent="0.25">
      <c r="V982" s="1"/>
    </row>
    <row r="983" spans="22:22" x14ac:dyDescent="0.25">
      <c r="V983" s="1"/>
    </row>
    <row r="984" spans="22:22" x14ac:dyDescent="0.25">
      <c r="V984" s="1"/>
    </row>
    <row r="985" spans="22:22" x14ac:dyDescent="0.25">
      <c r="V985" s="1"/>
    </row>
    <row r="986" spans="22:22" x14ac:dyDescent="0.25">
      <c r="V986" s="1"/>
    </row>
    <row r="987" spans="22:22" x14ac:dyDescent="0.25">
      <c r="V987" s="1"/>
    </row>
    <row r="988" spans="22:22" x14ac:dyDescent="0.25">
      <c r="V988" s="1"/>
    </row>
    <row r="989" spans="22:22" x14ac:dyDescent="0.25">
      <c r="V989" s="1"/>
    </row>
    <row r="990" spans="22:22" x14ac:dyDescent="0.25">
      <c r="V990" s="1"/>
    </row>
    <row r="991" spans="22:22" x14ac:dyDescent="0.25">
      <c r="V991" s="1"/>
    </row>
    <row r="992" spans="22:22" x14ac:dyDescent="0.25">
      <c r="V992" s="1"/>
    </row>
    <row r="993" spans="22:22" x14ac:dyDescent="0.25">
      <c r="V993" s="1"/>
    </row>
    <row r="994" spans="22:22" x14ac:dyDescent="0.25">
      <c r="V994" s="1"/>
    </row>
    <row r="995" spans="22:22" x14ac:dyDescent="0.25">
      <c r="V995" s="1"/>
    </row>
    <row r="996" spans="22:22" x14ac:dyDescent="0.25">
      <c r="V996" s="1"/>
    </row>
    <row r="997" spans="22:22" x14ac:dyDescent="0.25">
      <c r="V997" s="1"/>
    </row>
    <row r="998" spans="22:22" x14ac:dyDescent="0.25">
      <c r="V998" s="1"/>
    </row>
    <row r="999" spans="22:22" x14ac:dyDescent="0.25">
      <c r="V999" s="1"/>
    </row>
    <row r="1000" spans="22:22" x14ac:dyDescent="0.25">
      <c r="V1000" s="1"/>
    </row>
    <row r="1001" spans="22:22" x14ac:dyDescent="0.25">
      <c r="V1001" s="1"/>
    </row>
    <row r="1002" spans="22:22" x14ac:dyDescent="0.25">
      <c r="V1002" s="1"/>
    </row>
    <row r="1003" spans="22:22" x14ac:dyDescent="0.25">
      <c r="V1003" s="1"/>
    </row>
    <row r="1004" spans="22:22" x14ac:dyDescent="0.25">
      <c r="V1004" s="1"/>
    </row>
    <row r="1005" spans="22:22" x14ac:dyDescent="0.25">
      <c r="V1005" s="1"/>
    </row>
    <row r="1006" spans="22:22" x14ac:dyDescent="0.25">
      <c r="V1006" s="1"/>
    </row>
    <row r="1007" spans="22:22" x14ac:dyDescent="0.25">
      <c r="V1007" s="1"/>
    </row>
    <row r="1008" spans="22:22" x14ac:dyDescent="0.25">
      <c r="V1008" s="1"/>
    </row>
    <row r="1009" spans="22:22" x14ac:dyDescent="0.25">
      <c r="V1009" s="1"/>
    </row>
    <row r="1010" spans="22:22" x14ac:dyDescent="0.25">
      <c r="V1010" s="1"/>
    </row>
    <row r="1011" spans="22:22" x14ac:dyDescent="0.25">
      <c r="V1011" s="1"/>
    </row>
    <row r="1012" spans="22:22" x14ac:dyDescent="0.25">
      <c r="V1012" s="1"/>
    </row>
    <row r="1013" spans="22:22" x14ac:dyDescent="0.25">
      <c r="V1013" s="1"/>
    </row>
    <row r="1014" spans="22:22" x14ac:dyDescent="0.25">
      <c r="V1014" s="1"/>
    </row>
    <row r="1015" spans="22:22" x14ac:dyDescent="0.25">
      <c r="V1015" s="1"/>
    </row>
    <row r="1016" spans="22:22" x14ac:dyDescent="0.25">
      <c r="V1016" s="1"/>
    </row>
    <row r="1017" spans="22:22" x14ac:dyDescent="0.25">
      <c r="V1017" s="1"/>
    </row>
    <row r="1018" spans="22:22" x14ac:dyDescent="0.25">
      <c r="V1018" s="1"/>
    </row>
    <row r="1019" spans="22:22" x14ac:dyDescent="0.25">
      <c r="V1019" s="1"/>
    </row>
    <row r="1020" spans="22:22" x14ac:dyDescent="0.25">
      <c r="V1020" s="1"/>
    </row>
    <row r="1021" spans="22:22" x14ac:dyDescent="0.25">
      <c r="V1021" s="1"/>
    </row>
    <row r="1022" spans="22:22" x14ac:dyDescent="0.25">
      <c r="V1022" s="1"/>
    </row>
    <row r="1023" spans="22:22" x14ac:dyDescent="0.25">
      <c r="V1023" s="1"/>
    </row>
    <row r="1024" spans="22:22" x14ac:dyDescent="0.25">
      <c r="V1024" s="1"/>
    </row>
    <row r="1025" spans="22:22" x14ac:dyDescent="0.25">
      <c r="V1025" s="1"/>
    </row>
    <row r="1026" spans="22:22" x14ac:dyDescent="0.25">
      <c r="V1026" s="1"/>
    </row>
    <row r="1027" spans="22:22" x14ac:dyDescent="0.25">
      <c r="V1027" s="1"/>
    </row>
    <row r="1028" spans="22:22" x14ac:dyDescent="0.25">
      <c r="V1028" s="1"/>
    </row>
    <row r="1029" spans="22:22" x14ac:dyDescent="0.25">
      <c r="V1029" s="1"/>
    </row>
    <row r="1030" spans="22:22" x14ac:dyDescent="0.25">
      <c r="V1030" s="1"/>
    </row>
    <row r="1031" spans="22:22" x14ac:dyDescent="0.25">
      <c r="V1031" s="1"/>
    </row>
    <row r="1032" spans="22:22" x14ac:dyDescent="0.25">
      <c r="V1032" s="1"/>
    </row>
    <row r="1033" spans="22:22" x14ac:dyDescent="0.25">
      <c r="V1033" s="1"/>
    </row>
    <row r="1034" spans="22:22" x14ac:dyDescent="0.25">
      <c r="V1034" s="1"/>
    </row>
    <row r="1035" spans="22:22" x14ac:dyDescent="0.25">
      <c r="V1035" s="1"/>
    </row>
    <row r="1036" spans="22:22" x14ac:dyDescent="0.25">
      <c r="V1036" s="1"/>
    </row>
    <row r="1037" spans="22:22" x14ac:dyDescent="0.25">
      <c r="V1037" s="1"/>
    </row>
    <row r="1038" spans="22:22" x14ac:dyDescent="0.25">
      <c r="V1038" s="1"/>
    </row>
    <row r="1039" spans="22:22" x14ac:dyDescent="0.25">
      <c r="V1039" s="1"/>
    </row>
    <row r="1040" spans="22:22" x14ac:dyDescent="0.25">
      <c r="V1040" s="1"/>
    </row>
    <row r="1041" spans="22:22" x14ac:dyDescent="0.25">
      <c r="V1041" s="1"/>
    </row>
    <row r="1042" spans="22:22" x14ac:dyDescent="0.25">
      <c r="V1042" s="1"/>
    </row>
    <row r="1043" spans="22:22" x14ac:dyDescent="0.25">
      <c r="V1043" s="1"/>
    </row>
    <row r="1044" spans="22:22" x14ac:dyDescent="0.25">
      <c r="V1044" s="1"/>
    </row>
    <row r="1045" spans="22:22" x14ac:dyDescent="0.25">
      <c r="V1045" s="1"/>
    </row>
    <row r="1046" spans="22:22" x14ac:dyDescent="0.25">
      <c r="V1046" s="1"/>
    </row>
    <row r="1047" spans="22:22" x14ac:dyDescent="0.25">
      <c r="V1047" s="1"/>
    </row>
    <row r="1048" spans="22:22" x14ac:dyDescent="0.25">
      <c r="V1048" s="1"/>
    </row>
    <row r="1049" spans="22:22" x14ac:dyDescent="0.25">
      <c r="V1049" s="1"/>
    </row>
    <row r="1050" spans="22:22" x14ac:dyDescent="0.25">
      <c r="V1050" s="1"/>
    </row>
    <row r="1051" spans="22:22" x14ac:dyDescent="0.25">
      <c r="V1051" s="1"/>
    </row>
    <row r="1052" spans="22:22" x14ac:dyDescent="0.25">
      <c r="V1052" s="1"/>
    </row>
    <row r="1053" spans="22:22" x14ac:dyDescent="0.25">
      <c r="V1053" s="1"/>
    </row>
    <row r="1054" spans="22:22" x14ac:dyDescent="0.25">
      <c r="V1054" s="1"/>
    </row>
    <row r="1055" spans="22:22" x14ac:dyDescent="0.25">
      <c r="V1055" s="1"/>
    </row>
    <row r="1056" spans="22:22" x14ac:dyDescent="0.25">
      <c r="V1056" s="1"/>
    </row>
    <row r="1057" spans="22:22" x14ac:dyDescent="0.25">
      <c r="V1057" s="1"/>
    </row>
    <row r="1058" spans="22:22" x14ac:dyDescent="0.25">
      <c r="V1058" s="1"/>
    </row>
    <row r="1059" spans="22:22" x14ac:dyDescent="0.25">
      <c r="V1059" s="1"/>
    </row>
    <row r="1060" spans="22:22" x14ac:dyDescent="0.25">
      <c r="V1060" s="1"/>
    </row>
    <row r="1061" spans="22:22" x14ac:dyDescent="0.25">
      <c r="V1061" s="1"/>
    </row>
    <row r="1062" spans="22:22" x14ac:dyDescent="0.25">
      <c r="V1062" s="1"/>
    </row>
    <row r="1063" spans="22:22" x14ac:dyDescent="0.25">
      <c r="V1063" s="1"/>
    </row>
    <row r="1064" spans="22:22" x14ac:dyDescent="0.25">
      <c r="V1064" s="1"/>
    </row>
    <row r="1065" spans="22:22" x14ac:dyDescent="0.25">
      <c r="V1065" s="1"/>
    </row>
    <row r="1066" spans="22:22" x14ac:dyDescent="0.25">
      <c r="V1066" s="1"/>
    </row>
    <row r="1067" spans="22:22" x14ac:dyDescent="0.25">
      <c r="V1067" s="1"/>
    </row>
    <row r="1068" spans="22:22" x14ac:dyDescent="0.25">
      <c r="V1068" s="1"/>
    </row>
    <row r="1069" spans="22:22" x14ac:dyDescent="0.25">
      <c r="V1069" s="1"/>
    </row>
    <row r="1070" spans="22:22" x14ac:dyDescent="0.25">
      <c r="V1070" s="1"/>
    </row>
    <row r="1071" spans="22:22" x14ac:dyDescent="0.25">
      <c r="V1071" s="1"/>
    </row>
    <row r="1072" spans="22:22" x14ac:dyDescent="0.25">
      <c r="V1072" s="1"/>
    </row>
    <row r="1073" spans="22:22" x14ac:dyDescent="0.25">
      <c r="V1073" s="1"/>
    </row>
    <row r="1074" spans="22:22" x14ac:dyDescent="0.25">
      <c r="V1074" s="1"/>
    </row>
    <row r="1075" spans="22:22" x14ac:dyDescent="0.25">
      <c r="V1075" s="1"/>
    </row>
    <row r="1076" spans="22:22" x14ac:dyDescent="0.25">
      <c r="V1076" s="1"/>
    </row>
    <row r="1077" spans="22:22" x14ac:dyDescent="0.25">
      <c r="V1077" s="1"/>
    </row>
    <row r="1078" spans="22:22" x14ac:dyDescent="0.25">
      <c r="V1078" s="1"/>
    </row>
    <row r="1079" spans="22:22" x14ac:dyDescent="0.25">
      <c r="V1079" s="1"/>
    </row>
    <row r="1080" spans="22:22" x14ac:dyDescent="0.25">
      <c r="V1080" s="1"/>
    </row>
    <row r="1081" spans="22:22" x14ac:dyDescent="0.25">
      <c r="V1081" s="1"/>
    </row>
    <row r="1082" spans="22:22" x14ac:dyDescent="0.25">
      <c r="V1082" s="1"/>
    </row>
    <row r="1083" spans="22:22" x14ac:dyDescent="0.25">
      <c r="V1083" s="1"/>
    </row>
    <row r="1084" spans="22:22" x14ac:dyDescent="0.25">
      <c r="V1084" s="1"/>
    </row>
    <row r="1085" spans="22:22" x14ac:dyDescent="0.25">
      <c r="V1085" s="1"/>
    </row>
    <row r="1086" spans="22:22" x14ac:dyDescent="0.25">
      <c r="V1086" s="1"/>
    </row>
    <row r="1087" spans="22:22" x14ac:dyDescent="0.25">
      <c r="V1087" s="1"/>
    </row>
    <row r="1088" spans="22:22" x14ac:dyDescent="0.25">
      <c r="V1088" s="1"/>
    </row>
    <row r="1089" spans="22:22" x14ac:dyDescent="0.25">
      <c r="V1089" s="1"/>
    </row>
    <row r="1090" spans="22:22" x14ac:dyDescent="0.25">
      <c r="V1090" s="1"/>
    </row>
    <row r="1091" spans="22:22" x14ac:dyDescent="0.25">
      <c r="V1091" s="1"/>
    </row>
    <row r="1092" spans="22:22" x14ac:dyDescent="0.25">
      <c r="V1092" s="1"/>
    </row>
    <row r="1093" spans="22:22" x14ac:dyDescent="0.25">
      <c r="V1093" s="1"/>
    </row>
    <row r="1094" spans="22:22" x14ac:dyDescent="0.25">
      <c r="V1094" s="1"/>
    </row>
    <row r="1095" spans="22:22" x14ac:dyDescent="0.25">
      <c r="V1095" s="1"/>
    </row>
    <row r="1096" spans="22:22" x14ac:dyDescent="0.25">
      <c r="V1096" s="1"/>
    </row>
    <row r="1097" spans="22:22" x14ac:dyDescent="0.25">
      <c r="V1097" s="1"/>
    </row>
    <row r="1098" spans="22:22" x14ac:dyDescent="0.25">
      <c r="V1098" s="1"/>
    </row>
    <row r="1099" spans="22:22" x14ac:dyDescent="0.25">
      <c r="V1099" s="1"/>
    </row>
    <row r="1100" spans="22:22" x14ac:dyDescent="0.25">
      <c r="V1100" s="1"/>
    </row>
    <row r="1101" spans="22:22" x14ac:dyDescent="0.25">
      <c r="V1101" s="1"/>
    </row>
    <row r="1102" spans="22:22" x14ac:dyDescent="0.25">
      <c r="V1102" s="1"/>
    </row>
    <row r="1103" spans="22:22" x14ac:dyDescent="0.25">
      <c r="V1103" s="1"/>
    </row>
    <row r="1104" spans="22:22" x14ac:dyDescent="0.25">
      <c r="V1104" s="1"/>
    </row>
    <row r="1105" spans="22:22" x14ac:dyDescent="0.25">
      <c r="V1105" s="1"/>
    </row>
    <row r="1106" spans="22:22" x14ac:dyDescent="0.25">
      <c r="V1106" s="1"/>
    </row>
    <row r="1107" spans="22:22" x14ac:dyDescent="0.25">
      <c r="V1107" s="1"/>
    </row>
    <row r="1108" spans="22:22" x14ac:dyDescent="0.25">
      <c r="V1108" s="1"/>
    </row>
    <row r="1109" spans="22:22" x14ac:dyDescent="0.25">
      <c r="V1109" s="1"/>
    </row>
    <row r="1110" spans="22:22" x14ac:dyDescent="0.25">
      <c r="V1110" s="1"/>
    </row>
    <row r="1111" spans="22:22" x14ac:dyDescent="0.25">
      <c r="V1111" s="1"/>
    </row>
    <row r="1112" spans="22:22" x14ac:dyDescent="0.25">
      <c r="V1112" s="1"/>
    </row>
    <row r="1113" spans="22:22" x14ac:dyDescent="0.25">
      <c r="V1113" s="1"/>
    </row>
    <row r="1114" spans="22:22" x14ac:dyDescent="0.25">
      <c r="V1114" s="1"/>
    </row>
    <row r="1115" spans="22:22" x14ac:dyDescent="0.25">
      <c r="V1115" s="1"/>
    </row>
    <row r="1116" spans="22:22" x14ac:dyDescent="0.25">
      <c r="V1116" s="1"/>
    </row>
    <row r="1117" spans="22:22" x14ac:dyDescent="0.25">
      <c r="V1117" s="1"/>
    </row>
    <row r="1118" spans="22:22" x14ac:dyDescent="0.25">
      <c r="V1118" s="1"/>
    </row>
    <row r="1119" spans="22:22" x14ac:dyDescent="0.25">
      <c r="V1119" s="1"/>
    </row>
    <row r="1120" spans="22:22" x14ac:dyDescent="0.25">
      <c r="V1120" s="1"/>
    </row>
    <row r="1121" spans="22:22" x14ac:dyDescent="0.25">
      <c r="V1121" s="1"/>
    </row>
    <row r="1122" spans="22:22" x14ac:dyDescent="0.25">
      <c r="V1122" s="1"/>
    </row>
    <row r="1123" spans="22:22" x14ac:dyDescent="0.25">
      <c r="V1123" s="1"/>
    </row>
    <row r="1124" spans="22:22" x14ac:dyDescent="0.25">
      <c r="V1124" s="1"/>
    </row>
    <row r="1125" spans="22:22" x14ac:dyDescent="0.25">
      <c r="V1125" s="1"/>
    </row>
    <row r="1126" spans="22:22" x14ac:dyDescent="0.25">
      <c r="V1126" s="1"/>
    </row>
    <row r="1127" spans="22:22" x14ac:dyDescent="0.25">
      <c r="V1127" s="1"/>
    </row>
    <row r="1128" spans="22:22" x14ac:dyDescent="0.25">
      <c r="V1128" s="1"/>
    </row>
    <row r="1129" spans="22:22" x14ac:dyDescent="0.25">
      <c r="V1129" s="1"/>
    </row>
    <row r="1130" spans="22:22" x14ac:dyDescent="0.25">
      <c r="V1130" s="1"/>
    </row>
    <row r="1131" spans="22:22" x14ac:dyDescent="0.25">
      <c r="V1131" s="1"/>
    </row>
    <row r="1132" spans="22:22" x14ac:dyDescent="0.25">
      <c r="V1132" s="1"/>
    </row>
    <row r="1133" spans="22:22" x14ac:dyDescent="0.25">
      <c r="V1133" s="1"/>
    </row>
    <row r="1134" spans="22:22" x14ac:dyDescent="0.25">
      <c r="V1134" s="1"/>
    </row>
    <row r="1135" spans="22:22" x14ac:dyDescent="0.25">
      <c r="V1135" s="1"/>
    </row>
    <row r="1136" spans="22:22" x14ac:dyDescent="0.25">
      <c r="V1136" s="1"/>
    </row>
    <row r="1137" spans="22:22" x14ac:dyDescent="0.25">
      <c r="V1137" s="1"/>
    </row>
    <row r="1138" spans="22:22" x14ac:dyDescent="0.25">
      <c r="V1138" s="1"/>
    </row>
    <row r="1139" spans="22:22" x14ac:dyDescent="0.25">
      <c r="V1139" s="1"/>
    </row>
    <row r="1140" spans="22:22" x14ac:dyDescent="0.25">
      <c r="V1140" s="1"/>
    </row>
    <row r="1141" spans="22:22" x14ac:dyDescent="0.25">
      <c r="V1141" s="1"/>
    </row>
    <row r="1142" spans="22:22" x14ac:dyDescent="0.25">
      <c r="V1142" s="1"/>
    </row>
    <row r="1143" spans="22:22" x14ac:dyDescent="0.25">
      <c r="V1143" s="1"/>
    </row>
    <row r="1144" spans="22:22" x14ac:dyDescent="0.25">
      <c r="V1144" s="1"/>
    </row>
    <row r="1145" spans="22:22" x14ac:dyDescent="0.25">
      <c r="V1145" s="1"/>
    </row>
    <row r="1146" spans="22:22" x14ac:dyDescent="0.25">
      <c r="V1146" s="1"/>
    </row>
    <row r="1147" spans="22:22" x14ac:dyDescent="0.25">
      <c r="V1147" s="1"/>
    </row>
    <row r="1148" spans="22:22" x14ac:dyDescent="0.25">
      <c r="V1148" s="1"/>
    </row>
    <row r="1149" spans="22:22" x14ac:dyDescent="0.25">
      <c r="V1149" s="1"/>
    </row>
    <row r="1150" spans="22:22" x14ac:dyDescent="0.25">
      <c r="V1150" s="1"/>
    </row>
    <row r="1151" spans="22:22" x14ac:dyDescent="0.25">
      <c r="V1151" s="1"/>
    </row>
    <row r="1152" spans="22:22" x14ac:dyDescent="0.25">
      <c r="V1152" s="1"/>
    </row>
    <row r="1153" spans="22:22" x14ac:dyDescent="0.25">
      <c r="V1153" s="1"/>
    </row>
    <row r="1154" spans="22:22" x14ac:dyDescent="0.25">
      <c r="V1154" s="1"/>
    </row>
    <row r="1155" spans="22:22" x14ac:dyDescent="0.25">
      <c r="V1155" s="1"/>
    </row>
    <row r="1156" spans="22:22" x14ac:dyDescent="0.25">
      <c r="V1156" s="1"/>
    </row>
    <row r="1157" spans="22:22" x14ac:dyDescent="0.25">
      <c r="V1157" s="1"/>
    </row>
    <row r="1158" spans="22:22" x14ac:dyDescent="0.25">
      <c r="V1158" s="1"/>
    </row>
    <row r="1159" spans="22:22" x14ac:dyDescent="0.25">
      <c r="V1159" s="1"/>
    </row>
    <row r="1160" spans="22:22" x14ac:dyDescent="0.25">
      <c r="V1160" s="1"/>
    </row>
    <row r="1161" spans="22:22" x14ac:dyDescent="0.25">
      <c r="V1161" s="1"/>
    </row>
    <row r="1162" spans="22:22" x14ac:dyDescent="0.25">
      <c r="V1162" s="1"/>
    </row>
    <row r="1163" spans="22:22" x14ac:dyDescent="0.25">
      <c r="V1163" s="1"/>
    </row>
    <row r="1164" spans="22:22" x14ac:dyDescent="0.25">
      <c r="V1164" s="1"/>
    </row>
    <row r="1165" spans="22:22" x14ac:dyDescent="0.25">
      <c r="V1165" s="1"/>
    </row>
    <row r="1166" spans="22:22" x14ac:dyDescent="0.25">
      <c r="V1166" s="1"/>
    </row>
    <row r="1167" spans="22:22" x14ac:dyDescent="0.25">
      <c r="V1167" s="1"/>
    </row>
    <row r="1168" spans="22:22" x14ac:dyDescent="0.25">
      <c r="V1168" s="1"/>
    </row>
    <row r="1169" spans="22:22" x14ac:dyDescent="0.25">
      <c r="V1169" s="1"/>
    </row>
    <row r="1170" spans="22:22" x14ac:dyDescent="0.25">
      <c r="V1170" s="1"/>
    </row>
    <row r="1171" spans="22:22" x14ac:dyDescent="0.25">
      <c r="V1171" s="1"/>
    </row>
    <row r="1172" spans="22:22" x14ac:dyDescent="0.25">
      <c r="V1172" s="1"/>
    </row>
    <row r="1173" spans="22:22" x14ac:dyDescent="0.25">
      <c r="V1173" s="1"/>
    </row>
    <row r="1174" spans="22:22" x14ac:dyDescent="0.25">
      <c r="V1174" s="1"/>
    </row>
    <row r="1175" spans="22:22" x14ac:dyDescent="0.25">
      <c r="V1175" s="1"/>
    </row>
    <row r="1176" spans="22:22" x14ac:dyDescent="0.25">
      <c r="V1176" s="1"/>
    </row>
    <row r="1177" spans="22:22" x14ac:dyDescent="0.25">
      <c r="V1177" s="1"/>
    </row>
    <row r="1178" spans="22:22" x14ac:dyDescent="0.25">
      <c r="V1178" s="1"/>
    </row>
    <row r="1179" spans="22:22" x14ac:dyDescent="0.25">
      <c r="V1179" s="1"/>
    </row>
    <row r="1180" spans="22:22" x14ac:dyDescent="0.25">
      <c r="V1180" s="1"/>
    </row>
    <row r="1181" spans="22:22" x14ac:dyDescent="0.25">
      <c r="V1181" s="1"/>
    </row>
    <row r="1182" spans="22:22" x14ac:dyDescent="0.25">
      <c r="V1182" s="1"/>
    </row>
    <row r="1183" spans="22:22" x14ac:dyDescent="0.25">
      <c r="V1183" s="1"/>
    </row>
    <row r="1184" spans="22:22" x14ac:dyDescent="0.25">
      <c r="V1184" s="1"/>
    </row>
    <row r="1185" spans="22:22" x14ac:dyDescent="0.25">
      <c r="V1185" s="1"/>
    </row>
    <row r="1186" spans="22:22" x14ac:dyDescent="0.25">
      <c r="V1186" s="1"/>
    </row>
    <row r="1187" spans="22:22" x14ac:dyDescent="0.25">
      <c r="V1187" s="1"/>
    </row>
    <row r="1188" spans="22:22" x14ac:dyDescent="0.25">
      <c r="V1188" s="1"/>
    </row>
    <row r="1189" spans="22:22" x14ac:dyDescent="0.25">
      <c r="V1189" s="1"/>
    </row>
    <row r="1190" spans="22:22" x14ac:dyDescent="0.25">
      <c r="V1190" s="1"/>
    </row>
    <row r="1191" spans="22:22" x14ac:dyDescent="0.25">
      <c r="V1191" s="1"/>
    </row>
    <row r="1192" spans="22:22" x14ac:dyDescent="0.25">
      <c r="V1192" s="1"/>
    </row>
    <row r="1193" spans="22:22" x14ac:dyDescent="0.25">
      <c r="V1193" s="1"/>
    </row>
    <row r="1194" spans="22:22" x14ac:dyDescent="0.25">
      <c r="V1194" s="1"/>
    </row>
    <row r="1195" spans="22:22" x14ac:dyDescent="0.25">
      <c r="V1195" s="1"/>
    </row>
    <row r="1196" spans="22:22" x14ac:dyDescent="0.25">
      <c r="V1196" s="1"/>
    </row>
    <row r="1197" spans="22:22" x14ac:dyDescent="0.25">
      <c r="V1197" s="1"/>
    </row>
    <row r="1198" spans="22:22" x14ac:dyDescent="0.25">
      <c r="V1198" s="1"/>
    </row>
    <row r="1199" spans="22:22" x14ac:dyDescent="0.25">
      <c r="V1199" s="1"/>
    </row>
    <row r="1200" spans="22:22" x14ac:dyDescent="0.25">
      <c r="V1200" s="1"/>
    </row>
    <row r="1201" spans="22:22" x14ac:dyDescent="0.25">
      <c r="V1201" s="1"/>
    </row>
    <row r="1202" spans="22:22" x14ac:dyDescent="0.25">
      <c r="V1202" s="1"/>
    </row>
    <row r="1203" spans="22:22" x14ac:dyDescent="0.25">
      <c r="V1203" s="1"/>
    </row>
    <row r="1204" spans="22:22" x14ac:dyDescent="0.25">
      <c r="V1204" s="1"/>
    </row>
    <row r="1205" spans="22:22" x14ac:dyDescent="0.25">
      <c r="V1205" s="1"/>
    </row>
    <row r="1206" spans="22:22" x14ac:dyDescent="0.25">
      <c r="V1206" s="1"/>
    </row>
    <row r="1207" spans="22:22" x14ac:dyDescent="0.25">
      <c r="V1207" s="1"/>
    </row>
    <row r="1208" spans="22:22" x14ac:dyDescent="0.25">
      <c r="V1208" s="1"/>
    </row>
    <row r="1209" spans="22:22" x14ac:dyDescent="0.25">
      <c r="V1209" s="1"/>
    </row>
    <row r="1210" spans="22:22" x14ac:dyDescent="0.25">
      <c r="V1210" s="1"/>
    </row>
    <row r="1211" spans="22:22" x14ac:dyDescent="0.25">
      <c r="V1211" s="1"/>
    </row>
    <row r="1212" spans="22:22" x14ac:dyDescent="0.25">
      <c r="V1212" s="1"/>
    </row>
    <row r="1213" spans="22:22" x14ac:dyDescent="0.25">
      <c r="V1213" s="1"/>
    </row>
    <row r="1214" spans="22:22" x14ac:dyDescent="0.25">
      <c r="V1214" s="1"/>
    </row>
    <row r="1215" spans="22:22" x14ac:dyDescent="0.25">
      <c r="V1215" s="1"/>
    </row>
    <row r="1216" spans="22:22" x14ac:dyDescent="0.25">
      <c r="V1216" s="1"/>
    </row>
    <row r="1217" spans="22:22" x14ac:dyDescent="0.25">
      <c r="V1217" s="1"/>
    </row>
    <row r="1218" spans="22:22" x14ac:dyDescent="0.25">
      <c r="V1218" s="1"/>
    </row>
    <row r="1219" spans="22:22" x14ac:dyDescent="0.25">
      <c r="V1219" s="1"/>
    </row>
    <row r="1220" spans="22:22" x14ac:dyDescent="0.25">
      <c r="V1220" s="1"/>
    </row>
    <row r="1221" spans="22:22" x14ac:dyDescent="0.25">
      <c r="V1221" s="1"/>
    </row>
    <row r="1222" spans="22:22" x14ac:dyDescent="0.25">
      <c r="V1222" s="1"/>
    </row>
    <row r="1223" spans="22:22" x14ac:dyDescent="0.25">
      <c r="V1223" s="1"/>
    </row>
    <row r="1224" spans="22:22" x14ac:dyDescent="0.25">
      <c r="V1224" s="1"/>
    </row>
    <row r="1225" spans="22:22" x14ac:dyDescent="0.25">
      <c r="V1225" s="1"/>
    </row>
    <row r="1226" spans="22:22" x14ac:dyDescent="0.25">
      <c r="V1226" s="1"/>
    </row>
    <row r="1227" spans="22:22" x14ac:dyDescent="0.25">
      <c r="V1227" s="1"/>
    </row>
    <row r="1228" spans="22:22" x14ac:dyDescent="0.25">
      <c r="V1228" s="1"/>
    </row>
    <row r="1229" spans="22:22" x14ac:dyDescent="0.25">
      <c r="V1229" s="1"/>
    </row>
    <row r="1230" spans="22:22" x14ac:dyDescent="0.25">
      <c r="V1230" s="1"/>
    </row>
    <row r="1231" spans="22:22" x14ac:dyDescent="0.25">
      <c r="V1231" s="1"/>
    </row>
    <row r="1232" spans="22:22" x14ac:dyDescent="0.25">
      <c r="V1232" s="1"/>
    </row>
    <row r="1233" spans="22:22" x14ac:dyDescent="0.25">
      <c r="V1233" s="1"/>
    </row>
    <row r="1234" spans="22:22" x14ac:dyDescent="0.25">
      <c r="V1234" s="1"/>
    </row>
    <row r="1235" spans="22:22" x14ac:dyDescent="0.25">
      <c r="V1235" s="1"/>
    </row>
    <row r="1236" spans="22:22" x14ac:dyDescent="0.25">
      <c r="V1236" s="1"/>
    </row>
    <row r="1237" spans="22:22" x14ac:dyDescent="0.25">
      <c r="V1237" s="1"/>
    </row>
    <row r="1238" spans="22:22" x14ac:dyDescent="0.25">
      <c r="V1238" s="1"/>
    </row>
    <row r="1239" spans="22:22" x14ac:dyDescent="0.25">
      <c r="V1239" s="1"/>
    </row>
    <row r="1240" spans="22:22" x14ac:dyDescent="0.25">
      <c r="V1240" s="1"/>
    </row>
    <row r="1241" spans="22:22" x14ac:dyDescent="0.25">
      <c r="V1241" s="1"/>
    </row>
    <row r="1242" spans="22:22" x14ac:dyDescent="0.25">
      <c r="V1242" s="1"/>
    </row>
    <row r="1243" spans="22:22" x14ac:dyDescent="0.25">
      <c r="V1243" s="1"/>
    </row>
    <row r="1244" spans="22:22" x14ac:dyDescent="0.25">
      <c r="V1244" s="1"/>
    </row>
    <row r="1245" spans="22:22" x14ac:dyDescent="0.25">
      <c r="V1245" s="1"/>
    </row>
    <row r="1246" spans="22:22" x14ac:dyDescent="0.25">
      <c r="V1246" s="1"/>
    </row>
    <row r="1247" spans="22:22" x14ac:dyDescent="0.25">
      <c r="V1247" s="1"/>
    </row>
    <row r="1248" spans="22:22" x14ac:dyDescent="0.25">
      <c r="V1248" s="1"/>
    </row>
    <row r="1249" spans="22:22" x14ac:dyDescent="0.25">
      <c r="V1249" s="1"/>
    </row>
    <row r="1250" spans="22:22" x14ac:dyDescent="0.25">
      <c r="V1250" s="1"/>
    </row>
    <row r="1251" spans="22:22" x14ac:dyDescent="0.25">
      <c r="V1251" s="1"/>
    </row>
    <row r="1252" spans="22:22" x14ac:dyDescent="0.25">
      <c r="V1252" s="1"/>
    </row>
    <row r="1253" spans="22:22" x14ac:dyDescent="0.25">
      <c r="V1253" s="1"/>
    </row>
    <row r="1254" spans="22:22" x14ac:dyDescent="0.25">
      <c r="V1254" s="1"/>
    </row>
    <row r="1255" spans="22:22" x14ac:dyDescent="0.25">
      <c r="V1255" s="1"/>
    </row>
    <row r="1256" spans="22:22" x14ac:dyDescent="0.25">
      <c r="V1256" s="1"/>
    </row>
    <row r="1257" spans="22:22" x14ac:dyDescent="0.25">
      <c r="V1257" s="1"/>
    </row>
    <row r="1258" spans="22:22" x14ac:dyDescent="0.25">
      <c r="V1258" s="1"/>
    </row>
    <row r="1259" spans="22:22" x14ac:dyDescent="0.25">
      <c r="V1259" s="1"/>
    </row>
    <row r="1260" spans="22:22" x14ac:dyDescent="0.25">
      <c r="V1260" s="1"/>
    </row>
    <row r="1261" spans="22:22" x14ac:dyDescent="0.25">
      <c r="V1261" s="1"/>
    </row>
    <row r="1262" spans="22:22" x14ac:dyDescent="0.25">
      <c r="V1262" s="1"/>
    </row>
    <row r="1263" spans="22:22" x14ac:dyDescent="0.25">
      <c r="V1263" s="1"/>
    </row>
    <row r="1264" spans="22:22" x14ac:dyDescent="0.25">
      <c r="V1264" s="1"/>
    </row>
    <row r="1265" spans="22:22" x14ac:dyDescent="0.25">
      <c r="V1265" s="1"/>
    </row>
    <row r="1266" spans="22:22" x14ac:dyDescent="0.25">
      <c r="V1266" s="1"/>
    </row>
    <row r="1267" spans="22:22" x14ac:dyDescent="0.25">
      <c r="V1267" s="1"/>
    </row>
    <row r="1268" spans="22:22" x14ac:dyDescent="0.25">
      <c r="V1268" s="1"/>
    </row>
    <row r="1269" spans="22:22" x14ac:dyDescent="0.25">
      <c r="V1269" s="1"/>
    </row>
    <row r="1270" spans="22:22" x14ac:dyDescent="0.25">
      <c r="V1270" s="1"/>
    </row>
    <row r="1271" spans="22:22" x14ac:dyDescent="0.25">
      <c r="V1271" s="1"/>
    </row>
    <row r="1272" spans="22:22" x14ac:dyDescent="0.25">
      <c r="V1272" s="1"/>
    </row>
    <row r="1273" spans="22:22" x14ac:dyDescent="0.25">
      <c r="V1273" s="1"/>
    </row>
    <row r="1274" spans="22:22" x14ac:dyDescent="0.25">
      <c r="V1274" s="1"/>
    </row>
    <row r="1275" spans="22:22" x14ac:dyDescent="0.25">
      <c r="V1275" s="1"/>
    </row>
    <row r="1276" spans="22:22" x14ac:dyDescent="0.25">
      <c r="V1276" s="1"/>
    </row>
    <row r="1277" spans="22:22" x14ac:dyDescent="0.25">
      <c r="V1277" s="1"/>
    </row>
    <row r="1278" spans="22:22" x14ac:dyDescent="0.25">
      <c r="V1278" s="1"/>
    </row>
    <row r="1279" spans="22:22" x14ac:dyDescent="0.25">
      <c r="V1279" s="1"/>
    </row>
    <row r="1280" spans="22:22" x14ac:dyDescent="0.25">
      <c r="V1280" s="1"/>
    </row>
    <row r="1281" spans="22:22" x14ac:dyDescent="0.25">
      <c r="V1281" s="1"/>
    </row>
    <row r="1282" spans="22:22" x14ac:dyDescent="0.25">
      <c r="V1282" s="1"/>
    </row>
    <row r="1283" spans="22:22" x14ac:dyDescent="0.25">
      <c r="V1283" s="1"/>
    </row>
    <row r="1284" spans="22:22" x14ac:dyDescent="0.25">
      <c r="V1284" s="1"/>
    </row>
    <row r="1285" spans="22:22" x14ac:dyDescent="0.25">
      <c r="V1285" s="1"/>
    </row>
    <row r="1286" spans="22:22" x14ac:dyDescent="0.25">
      <c r="V1286" s="1"/>
    </row>
    <row r="1287" spans="22:22" x14ac:dyDescent="0.25">
      <c r="V1287" s="1"/>
    </row>
    <row r="1288" spans="22:22" x14ac:dyDescent="0.25">
      <c r="V1288" s="1"/>
    </row>
    <row r="1289" spans="22:22" x14ac:dyDescent="0.25">
      <c r="V1289" s="1"/>
    </row>
    <row r="1290" spans="22:22" x14ac:dyDescent="0.25">
      <c r="V1290" s="1"/>
    </row>
    <row r="1291" spans="22:22" x14ac:dyDescent="0.25">
      <c r="V1291" s="1"/>
    </row>
    <row r="1292" spans="22:22" x14ac:dyDescent="0.25">
      <c r="V1292" s="1"/>
    </row>
    <row r="1293" spans="22:22" x14ac:dyDescent="0.25">
      <c r="V1293" s="1"/>
    </row>
    <row r="1294" spans="22:22" x14ac:dyDescent="0.25">
      <c r="V1294" s="1"/>
    </row>
    <row r="1295" spans="22:22" x14ac:dyDescent="0.25">
      <c r="V1295" s="1"/>
    </row>
    <row r="1296" spans="22:22" x14ac:dyDescent="0.25">
      <c r="V1296" s="1"/>
    </row>
    <row r="1297" spans="22:22" x14ac:dyDescent="0.25">
      <c r="V1297" s="1"/>
    </row>
    <row r="1298" spans="22:22" x14ac:dyDescent="0.25">
      <c r="V1298" s="1"/>
    </row>
    <row r="1299" spans="22:22" x14ac:dyDescent="0.25">
      <c r="V1299" s="1"/>
    </row>
    <row r="1300" spans="22:22" x14ac:dyDescent="0.25">
      <c r="V1300" s="1"/>
    </row>
    <row r="1301" spans="22:22" x14ac:dyDescent="0.25">
      <c r="V1301" s="1"/>
    </row>
    <row r="1302" spans="22:22" x14ac:dyDescent="0.25">
      <c r="V1302" s="1"/>
    </row>
    <row r="1303" spans="22:22" x14ac:dyDescent="0.25">
      <c r="V1303" s="1"/>
    </row>
    <row r="1304" spans="22:22" x14ac:dyDescent="0.25">
      <c r="V1304" s="1"/>
    </row>
    <row r="1305" spans="22:22" x14ac:dyDescent="0.25">
      <c r="V1305" s="1"/>
    </row>
    <row r="1306" spans="22:22" x14ac:dyDescent="0.25">
      <c r="V1306" s="1"/>
    </row>
    <row r="1307" spans="22:22" x14ac:dyDescent="0.25">
      <c r="V1307" s="1"/>
    </row>
    <row r="1308" spans="22:22" x14ac:dyDescent="0.25">
      <c r="V1308" s="1"/>
    </row>
    <row r="1309" spans="22:22" x14ac:dyDescent="0.25">
      <c r="V1309" s="1"/>
    </row>
    <row r="1310" spans="22:22" x14ac:dyDescent="0.25">
      <c r="V1310" s="1"/>
    </row>
    <row r="1311" spans="22:22" x14ac:dyDescent="0.25">
      <c r="V1311" s="1"/>
    </row>
    <row r="1312" spans="22:22" x14ac:dyDescent="0.25">
      <c r="V1312" s="1"/>
    </row>
    <row r="1313" spans="22:22" x14ac:dyDescent="0.25">
      <c r="V1313" s="1"/>
    </row>
    <row r="1314" spans="22:22" x14ac:dyDescent="0.25">
      <c r="V1314" s="1"/>
    </row>
    <row r="1315" spans="22:22" x14ac:dyDescent="0.25">
      <c r="V1315" s="1"/>
    </row>
    <row r="1316" spans="22:22" x14ac:dyDescent="0.25">
      <c r="V1316" s="1"/>
    </row>
    <row r="1317" spans="22:22" x14ac:dyDescent="0.25">
      <c r="V1317" s="1"/>
    </row>
    <row r="1318" spans="22:22" x14ac:dyDescent="0.25">
      <c r="V1318" s="1"/>
    </row>
    <row r="1319" spans="22:22" x14ac:dyDescent="0.25">
      <c r="V1319" s="1"/>
    </row>
    <row r="1320" spans="22:22" x14ac:dyDescent="0.25">
      <c r="V1320" s="1"/>
    </row>
    <row r="1321" spans="22:22" x14ac:dyDescent="0.25">
      <c r="V1321" s="1"/>
    </row>
    <row r="1322" spans="22:22" x14ac:dyDescent="0.25">
      <c r="V1322" s="1"/>
    </row>
    <row r="1323" spans="22:22" x14ac:dyDescent="0.25">
      <c r="V1323" s="1"/>
    </row>
    <row r="1324" spans="22:22" x14ac:dyDescent="0.25">
      <c r="V1324" s="1"/>
    </row>
    <row r="1325" spans="22:22" x14ac:dyDescent="0.25">
      <c r="V1325" s="1"/>
    </row>
    <row r="1326" spans="22:22" x14ac:dyDescent="0.25">
      <c r="V1326" s="1"/>
    </row>
    <row r="1327" spans="22:22" x14ac:dyDescent="0.25">
      <c r="V1327" s="1"/>
    </row>
    <row r="1328" spans="22:22" x14ac:dyDescent="0.25">
      <c r="V1328" s="1"/>
    </row>
    <row r="1329" spans="22:22" x14ac:dyDescent="0.25">
      <c r="V1329" s="1"/>
    </row>
    <row r="1330" spans="22:22" x14ac:dyDescent="0.25">
      <c r="V1330" s="1"/>
    </row>
    <row r="1331" spans="22:22" x14ac:dyDescent="0.25">
      <c r="V1331" s="1"/>
    </row>
    <row r="1332" spans="22:22" x14ac:dyDescent="0.25">
      <c r="V1332" s="1"/>
    </row>
    <row r="1333" spans="22:22" x14ac:dyDescent="0.25">
      <c r="V1333" s="1"/>
    </row>
    <row r="1334" spans="22:22" x14ac:dyDescent="0.25">
      <c r="V1334" s="1"/>
    </row>
    <row r="1335" spans="22:22" x14ac:dyDescent="0.25">
      <c r="V1335" s="1"/>
    </row>
    <row r="1336" spans="22:22" x14ac:dyDescent="0.25">
      <c r="V1336" s="1"/>
    </row>
    <row r="1337" spans="22:22" x14ac:dyDescent="0.25">
      <c r="V1337" s="1"/>
    </row>
    <row r="1338" spans="22:22" x14ac:dyDescent="0.25">
      <c r="V1338" s="1"/>
    </row>
    <row r="1339" spans="22:22" x14ac:dyDescent="0.25">
      <c r="V1339" s="1"/>
    </row>
    <row r="1340" spans="22:22" x14ac:dyDescent="0.25">
      <c r="V1340" s="1"/>
    </row>
    <row r="1341" spans="22:22" x14ac:dyDescent="0.25">
      <c r="V1341" s="1"/>
    </row>
    <row r="1342" spans="22:22" x14ac:dyDescent="0.25">
      <c r="V1342" s="1"/>
    </row>
    <row r="1343" spans="22:22" x14ac:dyDescent="0.25">
      <c r="V1343" s="1"/>
    </row>
    <row r="1344" spans="22:22" x14ac:dyDescent="0.25">
      <c r="V1344" s="1"/>
    </row>
    <row r="1345" spans="22:22" x14ac:dyDescent="0.25">
      <c r="V1345" s="1"/>
    </row>
    <row r="1346" spans="22:22" x14ac:dyDescent="0.25">
      <c r="V1346" s="1"/>
    </row>
    <row r="1347" spans="22:22" x14ac:dyDescent="0.25">
      <c r="V1347" s="1"/>
    </row>
    <row r="1348" spans="22:22" x14ac:dyDescent="0.25">
      <c r="V1348" s="1"/>
    </row>
  </sheetData>
  <mergeCells count="2">
    <mergeCell ref="M4:N4"/>
    <mergeCell ref="F4:K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4EA5-A36B-410E-98AE-540CCC623B37}">
  <sheetPr codeName="Sheet1"/>
  <dimension ref="A1:CG51"/>
  <sheetViews>
    <sheetView tabSelected="1" workbookViewId="0">
      <selection activeCell="L2" sqref="L2"/>
    </sheetView>
  </sheetViews>
  <sheetFormatPr defaultRowHeight="15" x14ac:dyDescent="0.25"/>
  <cols>
    <col min="1" max="1" width="20.140625" customWidth="1"/>
    <col min="2" max="7" width="12.7109375" customWidth="1"/>
    <col min="8" max="8" width="11.7109375" customWidth="1"/>
    <col min="9" max="9" width="14.28515625" customWidth="1"/>
    <col min="10" max="10" width="11.85546875" customWidth="1"/>
    <col min="11" max="11" width="1.7109375" customWidth="1"/>
    <col min="12" max="12" width="14.7109375" customWidth="1"/>
    <col min="13" max="18" width="12.7109375" customWidth="1"/>
    <col min="19" max="19" width="11.7109375" customWidth="1"/>
    <col min="20" max="20" width="14.28515625" customWidth="1"/>
    <col min="21" max="21" width="11.85546875" customWidth="1"/>
    <col min="23" max="23" width="14.7109375" customWidth="1"/>
    <col min="24" max="29" width="12.7109375" customWidth="1"/>
    <col min="30" max="30" width="11.7109375" customWidth="1"/>
    <col min="31" max="31" width="14.28515625" customWidth="1"/>
    <col min="32" max="32" width="11.85546875" customWidth="1"/>
    <col min="34" max="34" width="14.7109375" customWidth="1"/>
    <col min="35" max="40" width="12.7109375" customWidth="1"/>
    <col min="41" max="41" width="11.7109375" customWidth="1"/>
    <col min="42" max="42" width="14.28515625" customWidth="1"/>
    <col min="43" max="43" width="11.85546875" customWidth="1"/>
    <col min="45" max="45" width="14.7109375" customWidth="1"/>
    <col min="46" max="51" width="12.7109375" customWidth="1"/>
    <col min="52" max="52" width="11.7109375" customWidth="1"/>
    <col min="53" max="53" width="14.28515625" customWidth="1"/>
    <col min="54" max="54" width="11.85546875" customWidth="1"/>
    <col min="56" max="56" width="14.7109375" customWidth="1"/>
    <col min="57" max="62" width="12.7109375" customWidth="1"/>
    <col min="63" max="63" width="11.7109375" customWidth="1"/>
    <col min="64" max="64" width="14.28515625" customWidth="1"/>
    <col min="65" max="65" width="11.85546875" customWidth="1"/>
    <col min="67" max="67" width="14.7109375" customWidth="1"/>
    <col min="68" max="73" width="12.7109375" customWidth="1"/>
    <col min="74" max="74" width="11.7109375" customWidth="1"/>
    <col min="75" max="75" width="14.28515625" customWidth="1"/>
    <col min="76" max="76" width="11.85546875" customWidth="1"/>
    <col min="79" max="79" width="20.140625" customWidth="1"/>
    <col min="80" max="85" width="12.7109375" customWidth="1"/>
  </cols>
  <sheetData>
    <row r="1" spans="1:85" x14ac:dyDescent="0.25">
      <c r="A1" s="3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CA1" s="3"/>
      <c r="CB1" s="4"/>
      <c r="CC1" s="4"/>
      <c r="CD1" s="4"/>
      <c r="CE1" s="4"/>
      <c r="CF1" s="4"/>
      <c r="CG1" s="4"/>
    </row>
    <row r="2" spans="1:85" x14ac:dyDescent="0.25">
      <c r="A2" t="s">
        <v>0</v>
      </c>
      <c r="B2" s="2">
        <v>-9.0262495178831497</v>
      </c>
      <c r="C2" s="2">
        <v>2.7973353436628301</v>
      </c>
      <c r="D2" s="2">
        <v>0.203539862155796</v>
      </c>
      <c r="E2" s="2">
        <v>0.86099071813852401</v>
      </c>
      <c r="F2" s="2">
        <v>3.0551241028527198</v>
      </c>
      <c r="G2" s="2">
        <v>4.3906138884445802</v>
      </c>
      <c r="H2" s="1"/>
      <c r="J2" s="1"/>
      <c r="K2" s="1"/>
      <c r="L2" s="1"/>
      <c r="W2" s="1"/>
      <c r="CB2" s="2"/>
      <c r="CC2" s="2"/>
      <c r="CD2" s="2"/>
      <c r="CE2" s="2"/>
      <c r="CF2" s="2"/>
      <c r="CG2" s="2"/>
    </row>
    <row r="3" spans="1:85" x14ac:dyDescent="0.25">
      <c r="A3" t="s">
        <v>1</v>
      </c>
      <c r="B3" s="2">
        <v>-4.4559827777261898</v>
      </c>
      <c r="C3" s="2">
        <v>1.29055647032624</v>
      </c>
      <c r="D3" s="2">
        <v>6.7993862825414197E-2</v>
      </c>
      <c r="E3" s="2">
        <v>0.86099071813852401</v>
      </c>
      <c r="F3" s="2">
        <v>3.0551241028527198</v>
      </c>
      <c r="G3" s="2">
        <v>4.3906138884445802</v>
      </c>
      <c r="J3" s="1"/>
      <c r="K3" s="1"/>
      <c r="L3" s="1"/>
      <c r="W3" s="1"/>
      <c r="CB3" s="2"/>
      <c r="CC3" s="2"/>
      <c r="CD3" s="2"/>
      <c r="CE3" s="2"/>
      <c r="CF3" s="2"/>
      <c r="CG3" s="2"/>
    </row>
    <row r="4" spans="1:85" x14ac:dyDescent="0.25">
      <c r="A4" t="s">
        <v>2</v>
      </c>
      <c r="B4" s="2">
        <v>-8.9125145747578607</v>
      </c>
      <c r="C4" s="2">
        <v>2.7499747591489099</v>
      </c>
      <c r="D4" s="2">
        <v>0.22902485794892899</v>
      </c>
      <c r="E4" s="2">
        <v>0.86099071813852401</v>
      </c>
      <c r="F4" s="2">
        <v>3.0551241028527198</v>
      </c>
      <c r="G4" s="2">
        <v>4.3906138884445802</v>
      </c>
      <c r="J4" s="1"/>
      <c r="K4" s="1"/>
      <c r="L4" s="1"/>
      <c r="W4" s="1"/>
      <c r="BP4" t="s">
        <v>26</v>
      </c>
      <c r="CB4" s="2"/>
      <c r="CC4" s="2"/>
      <c r="CD4" s="2"/>
      <c r="CE4" s="2"/>
      <c r="CF4" s="2"/>
      <c r="CG4" s="2"/>
    </row>
    <row r="5" spans="1:85" x14ac:dyDescent="0.25">
      <c r="B5" s="2"/>
      <c r="C5" s="2"/>
      <c r="D5" s="2"/>
      <c r="E5" s="2"/>
      <c r="F5" s="2"/>
      <c r="G5" s="2"/>
      <c r="J5" s="1"/>
      <c r="K5" s="1"/>
      <c r="L5" s="1"/>
      <c r="W5" s="1"/>
    </row>
    <row r="7" spans="1:85" x14ac:dyDescent="0.25">
      <c r="A7" s="9"/>
      <c r="B7" s="103" t="s">
        <v>12</v>
      </c>
      <c r="C7" s="104"/>
      <c r="D7" s="104"/>
      <c r="E7" s="104"/>
      <c r="F7" s="104"/>
      <c r="G7" s="104"/>
      <c r="H7" s="104"/>
      <c r="I7" s="104"/>
      <c r="J7" s="105"/>
      <c r="L7" s="9"/>
      <c r="M7" s="103" t="s">
        <v>23</v>
      </c>
      <c r="N7" s="104"/>
      <c r="O7" s="104"/>
      <c r="P7" s="104"/>
      <c r="Q7" s="104"/>
      <c r="R7" s="104"/>
      <c r="S7" s="104"/>
      <c r="T7" s="104"/>
      <c r="U7" s="105"/>
      <c r="W7" s="9"/>
      <c r="X7" s="103" t="s">
        <v>19</v>
      </c>
      <c r="Y7" s="104"/>
      <c r="Z7" s="104"/>
      <c r="AA7" s="104"/>
      <c r="AB7" s="104"/>
      <c r="AC7" s="104"/>
      <c r="AD7" s="104"/>
      <c r="AE7" s="104"/>
      <c r="AF7" s="105"/>
      <c r="AH7" s="9"/>
      <c r="AI7" s="103" t="s">
        <v>24</v>
      </c>
      <c r="AJ7" s="104"/>
      <c r="AK7" s="104"/>
      <c r="AL7" s="104"/>
      <c r="AM7" s="104"/>
      <c r="AN7" s="104"/>
      <c r="AO7" s="104"/>
      <c r="AP7" s="104"/>
      <c r="AQ7" s="105"/>
      <c r="AS7" s="9"/>
      <c r="AT7" s="103" t="s">
        <v>723</v>
      </c>
      <c r="AU7" s="104"/>
      <c r="AV7" s="104"/>
      <c r="AW7" s="104"/>
      <c r="AX7" s="104"/>
      <c r="AY7" s="104"/>
      <c r="AZ7" s="104"/>
      <c r="BA7" s="104"/>
      <c r="BB7" s="105"/>
      <c r="BD7" s="9"/>
      <c r="BE7" s="103" t="s">
        <v>771</v>
      </c>
      <c r="BF7" s="104"/>
      <c r="BG7" s="104"/>
      <c r="BH7" s="104"/>
      <c r="BI7" s="104"/>
      <c r="BJ7" s="104"/>
      <c r="BK7" s="104"/>
      <c r="BL7" s="104"/>
      <c r="BM7" s="105"/>
      <c r="BO7" s="9"/>
      <c r="BP7" s="103" t="s">
        <v>25</v>
      </c>
      <c r="BQ7" s="104"/>
      <c r="BR7" s="104"/>
      <c r="BS7" s="104"/>
      <c r="BT7" s="104"/>
      <c r="BU7" s="104"/>
      <c r="BV7" s="104"/>
      <c r="BW7" s="104"/>
      <c r="BX7" s="105"/>
      <c r="CB7" s="37"/>
    </row>
    <row r="8" spans="1:85" x14ac:dyDescent="0.25">
      <c r="A8" s="10"/>
      <c r="B8" s="103" t="s">
        <v>20</v>
      </c>
      <c r="C8" s="104"/>
      <c r="D8" s="105"/>
      <c r="E8" s="103" t="s">
        <v>21</v>
      </c>
      <c r="F8" s="104"/>
      <c r="G8" s="105"/>
      <c r="H8" s="103" t="s">
        <v>22</v>
      </c>
      <c r="I8" s="104"/>
      <c r="J8" s="105"/>
      <c r="L8" s="10"/>
      <c r="M8" s="103" t="s">
        <v>20</v>
      </c>
      <c r="N8" s="104"/>
      <c r="O8" s="105"/>
      <c r="P8" s="103" t="s">
        <v>21</v>
      </c>
      <c r="Q8" s="104"/>
      <c r="R8" s="105"/>
      <c r="S8" s="103" t="s">
        <v>22</v>
      </c>
      <c r="T8" s="104"/>
      <c r="U8" s="105"/>
      <c r="W8" s="10"/>
      <c r="X8" s="103" t="s">
        <v>20</v>
      </c>
      <c r="Y8" s="104"/>
      <c r="Z8" s="105"/>
      <c r="AA8" s="103" t="s">
        <v>21</v>
      </c>
      <c r="AB8" s="104"/>
      <c r="AC8" s="105"/>
      <c r="AD8" s="103" t="s">
        <v>22</v>
      </c>
      <c r="AE8" s="104"/>
      <c r="AF8" s="105"/>
      <c r="AH8" s="10"/>
      <c r="AI8" s="103" t="s">
        <v>20</v>
      </c>
      <c r="AJ8" s="104"/>
      <c r="AK8" s="105"/>
      <c r="AL8" s="103" t="s">
        <v>21</v>
      </c>
      <c r="AM8" s="104"/>
      <c r="AN8" s="105"/>
      <c r="AO8" s="103" t="s">
        <v>22</v>
      </c>
      <c r="AP8" s="104"/>
      <c r="AQ8" s="105"/>
      <c r="AS8" s="10"/>
      <c r="AT8" s="103" t="s">
        <v>20</v>
      </c>
      <c r="AU8" s="104"/>
      <c r="AV8" s="105"/>
      <c r="AW8" s="103" t="s">
        <v>21</v>
      </c>
      <c r="AX8" s="104"/>
      <c r="AY8" s="105"/>
      <c r="AZ8" s="103" t="s">
        <v>22</v>
      </c>
      <c r="BA8" s="104"/>
      <c r="BB8" s="105"/>
      <c r="BD8" s="10"/>
      <c r="BE8" s="103" t="s">
        <v>20</v>
      </c>
      <c r="BF8" s="104"/>
      <c r="BG8" s="105"/>
      <c r="BH8" s="103" t="s">
        <v>21</v>
      </c>
      <c r="BI8" s="104"/>
      <c r="BJ8" s="105"/>
      <c r="BK8" s="103" t="s">
        <v>773</v>
      </c>
      <c r="BL8" s="104"/>
      <c r="BM8" s="105"/>
      <c r="BO8" s="10"/>
      <c r="BP8" s="103" t="s">
        <v>20</v>
      </c>
      <c r="BQ8" s="104"/>
      <c r="BR8" s="105"/>
      <c r="BS8" s="103" t="s">
        <v>21</v>
      </c>
      <c r="BT8" s="104"/>
      <c r="BU8" s="105"/>
      <c r="BV8" s="103" t="s">
        <v>774</v>
      </c>
      <c r="BW8" s="104"/>
      <c r="BX8" s="105"/>
    </row>
    <row r="9" spans="1:85" x14ac:dyDescent="0.25">
      <c r="A9" s="5"/>
      <c r="B9" s="7" t="s">
        <v>13</v>
      </c>
      <c r="C9" s="7" t="s">
        <v>14</v>
      </c>
      <c r="D9" s="7" t="s">
        <v>15</v>
      </c>
      <c r="E9" s="7" t="s">
        <v>13</v>
      </c>
      <c r="F9" s="7" t="s">
        <v>14</v>
      </c>
      <c r="G9" s="7" t="s">
        <v>15</v>
      </c>
      <c r="H9" s="7" t="s">
        <v>13</v>
      </c>
      <c r="I9" s="7" t="s">
        <v>14</v>
      </c>
      <c r="J9" s="7" t="s">
        <v>15</v>
      </c>
      <c r="L9" s="5"/>
      <c r="M9" s="7" t="s">
        <v>13</v>
      </c>
      <c r="N9" s="7" t="s">
        <v>14</v>
      </c>
      <c r="O9" s="7" t="s">
        <v>15</v>
      </c>
      <c r="P9" s="7" t="s">
        <v>13</v>
      </c>
      <c r="Q9" s="7" t="s">
        <v>14</v>
      </c>
      <c r="R9" s="7" t="s">
        <v>15</v>
      </c>
      <c r="S9" s="7" t="s">
        <v>13</v>
      </c>
      <c r="T9" s="7" t="s">
        <v>14</v>
      </c>
      <c r="U9" s="7" t="s">
        <v>15</v>
      </c>
      <c r="W9" s="5"/>
      <c r="X9" s="7" t="s">
        <v>13</v>
      </c>
      <c r="Y9" s="7" t="s">
        <v>14</v>
      </c>
      <c r="Z9" s="7" t="s">
        <v>15</v>
      </c>
      <c r="AA9" s="7" t="s">
        <v>13</v>
      </c>
      <c r="AB9" s="7" t="s">
        <v>14</v>
      </c>
      <c r="AC9" s="7" t="s">
        <v>15</v>
      </c>
      <c r="AD9" s="7" t="s">
        <v>13</v>
      </c>
      <c r="AE9" s="7" t="s">
        <v>14</v>
      </c>
      <c r="AF9" s="7" t="s">
        <v>15</v>
      </c>
      <c r="AH9" s="5"/>
      <c r="AI9" s="7" t="s">
        <v>13</v>
      </c>
      <c r="AJ9" s="7" t="s">
        <v>14</v>
      </c>
      <c r="AK9" s="7" t="s">
        <v>15</v>
      </c>
      <c r="AL9" s="7" t="s">
        <v>13</v>
      </c>
      <c r="AM9" s="7" t="s">
        <v>14</v>
      </c>
      <c r="AN9" s="7" t="s">
        <v>15</v>
      </c>
      <c r="AO9" s="7" t="s">
        <v>13</v>
      </c>
      <c r="AP9" s="7" t="s">
        <v>14</v>
      </c>
      <c r="AQ9" s="7" t="s">
        <v>15</v>
      </c>
      <c r="AS9" s="5"/>
      <c r="AT9" s="7" t="s">
        <v>13</v>
      </c>
      <c r="AU9" s="7" t="s">
        <v>14</v>
      </c>
      <c r="AV9" s="7" t="s">
        <v>15</v>
      </c>
      <c r="AW9" s="7" t="s">
        <v>13</v>
      </c>
      <c r="AX9" s="7" t="s">
        <v>14</v>
      </c>
      <c r="AY9" s="7" t="s">
        <v>15</v>
      </c>
      <c r="AZ9" s="7" t="s">
        <v>13</v>
      </c>
      <c r="BA9" s="7" t="s">
        <v>14</v>
      </c>
      <c r="BB9" s="7" t="s">
        <v>15</v>
      </c>
      <c r="BD9" s="5"/>
      <c r="BE9" s="7" t="s">
        <v>13</v>
      </c>
      <c r="BF9" s="7" t="s">
        <v>14</v>
      </c>
      <c r="BG9" s="7" t="s">
        <v>15</v>
      </c>
      <c r="BH9" s="7" t="s">
        <v>13</v>
      </c>
      <c r="BI9" s="7" t="s">
        <v>14</v>
      </c>
      <c r="BJ9" s="7" t="s">
        <v>15</v>
      </c>
      <c r="BK9" s="7" t="s">
        <v>13</v>
      </c>
      <c r="BL9" s="7" t="s">
        <v>14</v>
      </c>
      <c r="BM9" s="7" t="s">
        <v>15</v>
      </c>
      <c r="BO9" s="5"/>
      <c r="BP9" s="7" t="s">
        <v>13</v>
      </c>
      <c r="BQ9" s="7" t="s">
        <v>14</v>
      </c>
      <c r="BR9" s="7" t="s">
        <v>15</v>
      </c>
      <c r="BS9" s="7" t="s">
        <v>13</v>
      </c>
      <c r="BT9" s="7" t="s">
        <v>14</v>
      </c>
      <c r="BU9" s="7" t="s">
        <v>15</v>
      </c>
      <c r="BV9" s="7" t="s">
        <v>13</v>
      </c>
      <c r="BW9" s="7" t="s">
        <v>14</v>
      </c>
      <c r="BX9" s="7" t="s">
        <v>15</v>
      </c>
    </row>
    <row r="10" spans="1:85" x14ac:dyDescent="0.25">
      <c r="A10" s="6" t="s">
        <v>10</v>
      </c>
      <c r="B10" s="7" t="s">
        <v>17</v>
      </c>
      <c r="C10" s="7" t="s">
        <v>18</v>
      </c>
      <c r="D10" s="7" t="s">
        <v>16</v>
      </c>
      <c r="E10" s="7" t="s">
        <v>17</v>
      </c>
      <c r="F10" s="7" t="s">
        <v>18</v>
      </c>
      <c r="G10" s="7" t="s">
        <v>16</v>
      </c>
      <c r="H10" s="7" t="s">
        <v>17</v>
      </c>
      <c r="I10" s="7" t="s">
        <v>18</v>
      </c>
      <c r="J10" s="7" t="s">
        <v>16</v>
      </c>
      <c r="L10" s="6" t="s">
        <v>10</v>
      </c>
      <c r="M10" s="7" t="s">
        <v>17</v>
      </c>
      <c r="N10" s="7" t="s">
        <v>18</v>
      </c>
      <c r="O10" s="7" t="s">
        <v>16</v>
      </c>
      <c r="P10" s="7" t="s">
        <v>17</v>
      </c>
      <c r="Q10" s="7" t="s">
        <v>18</v>
      </c>
      <c r="R10" s="7" t="s">
        <v>16</v>
      </c>
      <c r="S10" s="7" t="s">
        <v>17</v>
      </c>
      <c r="T10" s="7" t="s">
        <v>18</v>
      </c>
      <c r="U10" s="7" t="s">
        <v>16</v>
      </c>
      <c r="W10" s="6" t="s">
        <v>10</v>
      </c>
      <c r="X10" s="7" t="s">
        <v>17</v>
      </c>
      <c r="Y10" s="7" t="s">
        <v>18</v>
      </c>
      <c r="Z10" s="7" t="s">
        <v>16</v>
      </c>
      <c r="AA10" s="7" t="s">
        <v>17</v>
      </c>
      <c r="AB10" s="7" t="s">
        <v>18</v>
      </c>
      <c r="AC10" s="7" t="s">
        <v>16</v>
      </c>
      <c r="AD10" s="7" t="s">
        <v>17</v>
      </c>
      <c r="AE10" s="7" t="s">
        <v>18</v>
      </c>
      <c r="AF10" s="7" t="s">
        <v>16</v>
      </c>
      <c r="AH10" s="6" t="s">
        <v>10</v>
      </c>
      <c r="AI10" s="7" t="s">
        <v>17</v>
      </c>
      <c r="AJ10" s="7" t="s">
        <v>18</v>
      </c>
      <c r="AK10" s="7" t="s">
        <v>16</v>
      </c>
      <c r="AL10" s="7" t="s">
        <v>17</v>
      </c>
      <c r="AM10" s="7" t="s">
        <v>18</v>
      </c>
      <c r="AN10" s="7" t="s">
        <v>16</v>
      </c>
      <c r="AO10" s="7" t="s">
        <v>17</v>
      </c>
      <c r="AP10" s="7" t="s">
        <v>18</v>
      </c>
      <c r="AQ10" s="7" t="s">
        <v>16</v>
      </c>
      <c r="AS10" s="6" t="s">
        <v>10</v>
      </c>
      <c r="AT10" s="7" t="s">
        <v>17</v>
      </c>
      <c r="AU10" s="7" t="s">
        <v>18</v>
      </c>
      <c r="AV10" s="7" t="s">
        <v>16</v>
      </c>
      <c r="AW10" s="7" t="s">
        <v>17</v>
      </c>
      <c r="AX10" s="7" t="s">
        <v>18</v>
      </c>
      <c r="AY10" s="7" t="s">
        <v>16</v>
      </c>
      <c r="AZ10" s="7" t="s">
        <v>17</v>
      </c>
      <c r="BA10" s="7" t="s">
        <v>18</v>
      </c>
      <c r="BB10" s="7" t="s">
        <v>16</v>
      </c>
      <c r="BD10" s="6" t="s">
        <v>10</v>
      </c>
      <c r="BE10" s="7" t="s">
        <v>17</v>
      </c>
      <c r="BF10" s="7" t="s">
        <v>18</v>
      </c>
      <c r="BG10" s="7" t="s">
        <v>16</v>
      </c>
      <c r="BH10" s="7" t="s">
        <v>17</v>
      </c>
      <c r="BI10" s="7" t="s">
        <v>18</v>
      </c>
      <c r="BJ10" s="7" t="s">
        <v>16</v>
      </c>
      <c r="BK10" s="7" t="s">
        <v>17</v>
      </c>
      <c r="BL10" s="7" t="s">
        <v>18</v>
      </c>
      <c r="BM10" s="7" t="s">
        <v>16</v>
      </c>
      <c r="BO10" s="6" t="s">
        <v>11</v>
      </c>
      <c r="BP10" s="7" t="s">
        <v>17</v>
      </c>
      <c r="BQ10" s="7" t="s">
        <v>18</v>
      </c>
      <c r="BR10" s="7" t="s">
        <v>16</v>
      </c>
      <c r="BS10" s="7" t="s">
        <v>17</v>
      </c>
      <c r="BT10" s="7" t="s">
        <v>18</v>
      </c>
      <c r="BU10" s="7" t="s">
        <v>16</v>
      </c>
      <c r="BV10" s="7" t="s">
        <v>17</v>
      </c>
      <c r="BW10" s="7" t="s">
        <v>18</v>
      </c>
      <c r="BX10" s="7" t="s">
        <v>16</v>
      </c>
    </row>
    <row r="11" spans="1:85" x14ac:dyDescent="0.25">
      <c r="A11" s="1">
        <v>0</v>
      </c>
      <c r="B11" s="8" cm="1">
        <f t="array" ref="B11:B51">ssurvspline($A$11:$A$51,$B$2:$D$2,$E$2:$G$2,"odds")</f>
        <v>1</v>
      </c>
      <c r="C11" s="8" cm="1">
        <f t="array" ref="C11:C51">ssurvspline($A$11:$A$51,$B$3:$D$3,$E$3:$G$3,"normal")</f>
        <v>1</v>
      </c>
      <c r="D11" s="8" cm="1">
        <f t="array" ref="D11:D51">ssurvspline($A$11:$A$51,$B$4:$D$4,$E$4:$G$4,"hazard")</f>
        <v>1</v>
      </c>
      <c r="E11" s="12">
        <v>1</v>
      </c>
      <c r="F11" s="12">
        <v>1</v>
      </c>
      <c r="G11" s="12">
        <v>1</v>
      </c>
      <c r="H11" t="b">
        <f t="shared" ref="H11:H51" si="0">ROUND(E11,6)=ROUND(B11,6)</f>
        <v>1</v>
      </c>
      <c r="I11" t="b">
        <f t="shared" ref="I11:I51" si="1">ROUND(F11,6)=ROUND(C11,6)</f>
        <v>1</v>
      </c>
      <c r="J11" t="b">
        <f t="shared" ref="J11:J51" si="2">ROUND(G11,6)=ROUND(D11,6)</f>
        <v>1</v>
      </c>
      <c r="L11" s="1">
        <v>0</v>
      </c>
      <c r="M11" s="8" cm="1">
        <f t="array" ref="M11:M51">chsurvspline($A$11:$A$51,$B$2:$D$2,$E$2:$G$2,"odds")</f>
        <v>0</v>
      </c>
      <c r="N11" s="8" cm="1">
        <f t="array" ref="N11:N51">chsurvspline($A$11:$A$51,$B$3:$D$3,$E$3:$G$3,"normal")</f>
        <v>0</v>
      </c>
      <c r="O11" s="8" cm="1">
        <f t="array" ref="O11:O51">chsurvspline($A$11:$A$51,$B$4:$D$4,$E$4:$G$4,"hazard")</f>
        <v>0</v>
      </c>
      <c r="P11" s="12">
        <v>0</v>
      </c>
      <c r="Q11" s="12">
        <v>0</v>
      </c>
      <c r="R11" s="12">
        <v>0</v>
      </c>
      <c r="S11" t="b">
        <f t="shared" ref="S11:S51" si="3">ROUND(P11,6)=ROUND(M11,6)</f>
        <v>1</v>
      </c>
      <c r="T11" t="b">
        <f t="shared" ref="T11:T51" si="4">ROUND(Q11,6)=ROUND(N11,6)</f>
        <v>1</v>
      </c>
      <c r="U11" t="b">
        <f t="shared" ref="U11:U51" si="5">ROUND(R11,6)=ROUND(O11,6)</f>
        <v>1</v>
      </c>
      <c r="W11" s="1">
        <v>0</v>
      </c>
      <c r="X11" s="8" cm="1">
        <f t="array" ref="X11:X51">hsurvspline($A$11:$A$51,$B$2:$D$2,$E$2:$G$2,"odds")</f>
        <v>0</v>
      </c>
      <c r="Y11" s="8" cm="1">
        <f t="array" ref="Y11:Y51">hsurvspline($A$11:$A$51,$B$3:$D$3,$E$3:$G$3,"normal")</f>
        <v>0</v>
      </c>
      <c r="Z11" s="8" cm="1">
        <f t="array" ref="Z11:Z51">hsurvspline($A$11:$A$51,$B$4:$D$4,$E$4:$G$4,"hazard")</f>
        <v>0</v>
      </c>
      <c r="AA11" s="12">
        <v>0</v>
      </c>
      <c r="AB11" s="12">
        <v>0</v>
      </c>
      <c r="AC11" s="12">
        <v>0</v>
      </c>
      <c r="AD11" t="b">
        <f t="shared" ref="AD11:AD51" si="6">ROUND(AA11,6)=ROUND(X11,6)</f>
        <v>1</v>
      </c>
      <c r="AE11" t="b">
        <f t="shared" ref="AE11:AE51" si="7">ROUND(AB11,6)=ROUND(Y11,6)</f>
        <v>1</v>
      </c>
      <c r="AF11" t="b">
        <f t="shared" ref="AF11:AF51" si="8">ROUND(AC11,6)=ROUND(Z11,6)</f>
        <v>1</v>
      </c>
      <c r="AH11" s="1">
        <v>0</v>
      </c>
      <c r="AI11" s="8" cm="1">
        <f t="array" ref="AI11:AI51">psurvspline($A$11:$A$51,$B$2:$D$2,$E$2:$G$2,"odds")</f>
        <v>0</v>
      </c>
      <c r="AJ11" s="8" cm="1">
        <f t="array" ref="AJ11:AJ51">psurvspline($A$11:$A$51,$B$3:$D$3,$E$3:$G$3,"normal")</f>
        <v>0</v>
      </c>
      <c r="AK11" s="8" cm="1">
        <f t="array" ref="AK11:AK51">psurvspline($A$11:$A$51,$B$4:$D$4,$E$4:$G$4,"hazard")</f>
        <v>0</v>
      </c>
      <c r="AL11" s="12">
        <v>0</v>
      </c>
      <c r="AM11" s="12">
        <v>0</v>
      </c>
      <c r="AN11" s="12">
        <v>0</v>
      </c>
      <c r="AO11" t="b">
        <f t="shared" ref="AO11:AO51" si="9">ROUND(AL11,6)=ROUND(AI11,6)</f>
        <v>1</v>
      </c>
      <c r="AP11" t="b">
        <f t="shared" ref="AP11:AP51" si="10">ROUND(AM11,6)=ROUND(AJ11,6)</f>
        <v>1</v>
      </c>
      <c r="AQ11" t="b">
        <f t="shared" ref="AQ11:AQ51" si="11">ROUND(AN11,6)=ROUND(AK11,6)</f>
        <v>1</v>
      </c>
      <c r="AS11" s="1">
        <v>0</v>
      </c>
      <c r="AT11" s="8" cm="1">
        <f t="array" ref="AT11:AT51">dsurvspline($A$11:$A$51,$B$2:$D$2,$E$2:$G$2,"odds")</f>
        <v>0</v>
      </c>
      <c r="AU11" s="8" cm="1">
        <f t="array" ref="AU11:AU51">dsurvspline($A$11:$A$51,$B$3:$D$3,$E$3:$G$3,"normal")</f>
        <v>0</v>
      </c>
      <c r="AV11" s="8" cm="1">
        <f t="array" ref="AV11:AV51">dsurvspline($A$11:$A$51,$B$4:$D$4,$E$4:$G$4,"hazard")</f>
        <v>0</v>
      </c>
      <c r="AW11" s="12">
        <v>0</v>
      </c>
      <c r="AX11" s="12">
        <v>0</v>
      </c>
      <c r="AY11" s="12">
        <v>0</v>
      </c>
      <c r="AZ11" t="b">
        <f t="shared" ref="AZ11:AZ51" si="12">ROUND(AW11,6)=ROUND(AT11,6)</f>
        <v>1</v>
      </c>
      <c r="BA11" t="b">
        <f t="shared" ref="BA11:BA51" si="13">ROUND(AX11,6)=ROUND(AU11,6)</f>
        <v>1</v>
      </c>
      <c r="BB11" t="b">
        <f t="shared" ref="BB11:BB51" si="14">ROUND(AY11,6)=ROUND(AV11,6)</f>
        <v>1</v>
      </c>
      <c r="BD11" s="1">
        <v>0</v>
      </c>
      <c r="BE11" s="55" cm="1">
        <f t="array" ref="BE11:BE17">rmstsurvspline($BD$11:$BD$17,$B$2:$D$2,$E$2:$G$2,"odds")</f>
        <v>0</v>
      </c>
      <c r="BF11" s="55" cm="1">
        <f t="array" ref="BF11:BF17">rmstsurvspline($BD$11:$BD$17,$B$3:$D$3,$E$3:$G$3,"normal")</f>
        <v>0</v>
      </c>
      <c r="BG11" s="55" cm="1">
        <f t="array" ref="BG11:BG17">rmstsurvspline($BD$11:$BD$17,$B$4:$D$4,$E$4:$G$4,"hazard")</f>
        <v>0</v>
      </c>
      <c r="BH11" s="89">
        <v>0</v>
      </c>
      <c r="BI11" s="89">
        <v>0</v>
      </c>
      <c r="BJ11" s="89">
        <v>0</v>
      </c>
      <c r="BK11" t="b">
        <f t="shared" ref="BK11:BK12" si="15">ROUND(BH11,1)=ROUND(BE11,1)</f>
        <v>1</v>
      </c>
      <c r="BL11" t="b">
        <f t="shared" ref="BL11:BL12" si="16">ROUND(BI11,1)=ROUND(BF11,1)</f>
        <v>1</v>
      </c>
      <c r="BM11" t="b">
        <f t="shared" ref="BM11:BM12" si="17">ROUND(BJ11,1)=ROUND(BG11,1)</f>
        <v>1</v>
      </c>
      <c r="BO11" s="11">
        <v>0.1</v>
      </c>
      <c r="BP11" s="2" cm="1">
        <f t="array" ref="BP11:BP19">qsurvspline($BO$11:$BO$19,$B$2:$D$2,$E$2:$G$2,"odds")</f>
        <v>13.216485425872571</v>
      </c>
      <c r="BQ11" s="2" cm="1">
        <f t="array" ref="BQ11:BQ19">qsurvspline($BO$11:$BO$19,$B$3:$D$3,$E$3:$G$3,"normal")</f>
        <v>12.896890202478914</v>
      </c>
      <c r="BR11" s="2" cm="1">
        <f t="array" ref="BR11:BR19">qsurvspline($BO$11:$BO$19,$B$4:$D$4,$E$4:$G$4,"hazard")</f>
        <v>13.246497806804822</v>
      </c>
      <c r="BS11" s="8">
        <v>13.2164889957954</v>
      </c>
      <c r="BT11" s="8">
        <v>12.896886164163201</v>
      </c>
      <c r="BU11" s="8">
        <v>13.246493963866101</v>
      </c>
      <c r="BV11" t="b">
        <f>ROUND(BP11,2)=ROUND(BS11,2)</f>
        <v>1</v>
      </c>
      <c r="BW11" t="b">
        <f t="shared" ref="BW11:BX19" si="18">ROUND(BQ11,2)=ROUND(BT11,2)</f>
        <v>1</v>
      </c>
      <c r="BX11" t="b">
        <f t="shared" si="18"/>
        <v>1</v>
      </c>
    </row>
    <row r="12" spans="1:85" x14ac:dyDescent="0.25">
      <c r="A12" s="1">
        <f t="shared" ref="A12:A27" si="19">A11+6</f>
        <v>6</v>
      </c>
      <c r="B12" s="8">
        <v>0.98331134713119051</v>
      </c>
      <c r="C12" s="8">
        <v>0.98478166160377345</v>
      </c>
      <c r="D12" s="8">
        <v>0.98281555033601231</v>
      </c>
      <c r="E12" s="12">
        <v>0.98331134713119095</v>
      </c>
      <c r="F12" s="12">
        <v>0.98478166160377301</v>
      </c>
      <c r="G12" s="12">
        <v>0.98281555033601198</v>
      </c>
      <c r="H12" t="b">
        <f t="shared" si="0"/>
        <v>1</v>
      </c>
      <c r="I12" t="b">
        <f t="shared" si="1"/>
        <v>1</v>
      </c>
      <c r="J12" t="b">
        <f t="shared" si="2"/>
        <v>1</v>
      </c>
      <c r="L12" s="1">
        <f t="shared" ref="L12:L27" si="20">L11+6</f>
        <v>6</v>
      </c>
      <c r="M12" s="8">
        <v>1.6829477415980832E-2</v>
      </c>
      <c r="N12" s="8">
        <v>1.5335325727421691E-2</v>
      </c>
      <c r="O12" s="8">
        <v>1.7333815977572102E-2</v>
      </c>
      <c r="P12" s="12">
        <v>1.6829477415980901E-2</v>
      </c>
      <c r="Q12" s="12">
        <v>1.53353257274221E-2</v>
      </c>
      <c r="R12" s="12">
        <v>1.7333815977572099E-2</v>
      </c>
      <c r="S12" t="b">
        <f t="shared" si="3"/>
        <v>1</v>
      </c>
      <c r="T12" t="b">
        <f t="shared" si="4"/>
        <v>1</v>
      </c>
      <c r="U12" t="b">
        <f t="shared" si="5"/>
        <v>1</v>
      </c>
      <c r="W12" s="1">
        <f t="shared" ref="W12:W27" si="21">W11+6</f>
        <v>6</v>
      </c>
      <c r="X12" s="8">
        <v>7.223906731395828E-3</v>
      </c>
      <c r="Y12" s="8">
        <v>7.9409869231305604E-3</v>
      </c>
      <c r="Z12" s="8">
        <v>7.2939499400637171E-3</v>
      </c>
      <c r="AA12" s="12">
        <v>7.2239067313958003E-3</v>
      </c>
      <c r="AB12" s="12">
        <v>7.9409869231307807E-3</v>
      </c>
      <c r="AC12" s="12">
        <v>7.2939499400637197E-3</v>
      </c>
      <c r="AD12" t="b">
        <f t="shared" si="6"/>
        <v>1</v>
      </c>
      <c r="AE12" t="b">
        <f t="shared" si="7"/>
        <v>1</v>
      </c>
      <c r="AF12" t="b">
        <f t="shared" si="8"/>
        <v>1</v>
      </c>
      <c r="AH12" s="1">
        <f t="shared" ref="AH12:AH27" si="22">AH11+6</f>
        <v>6</v>
      </c>
      <c r="AI12" s="8">
        <v>1.6688652868809495E-2</v>
      </c>
      <c r="AJ12" s="8">
        <v>1.5218338396226549E-2</v>
      </c>
      <c r="AK12" s="8">
        <v>1.7184449663987689E-2</v>
      </c>
      <c r="AL12" s="12">
        <v>1.6688652868809498E-2</v>
      </c>
      <c r="AM12" s="12">
        <v>1.5218338396227001E-2</v>
      </c>
      <c r="AN12" s="12">
        <v>1.7184449663987699E-2</v>
      </c>
      <c r="AO12" t="b">
        <f t="shared" si="9"/>
        <v>1</v>
      </c>
      <c r="AP12" t="b">
        <f t="shared" si="10"/>
        <v>1</v>
      </c>
      <c r="AQ12" t="b">
        <f t="shared" si="11"/>
        <v>1</v>
      </c>
      <c r="AS12" s="1">
        <f t="shared" ref="AS12:AS27" si="23">AS11+6</f>
        <v>6</v>
      </c>
      <c r="AT12" s="8">
        <v>7.1033494595989068E-3</v>
      </c>
      <c r="AU12" s="8">
        <v>7.8201382969343494E-3</v>
      </c>
      <c r="AV12" s="8">
        <v>7.1686074244670462E-3</v>
      </c>
      <c r="AW12" s="12">
        <v>7.1033494595988799E-3</v>
      </c>
      <c r="AX12" s="12">
        <v>7.8201382969345593E-3</v>
      </c>
      <c r="AY12" s="12">
        <v>7.1686074244670496E-3</v>
      </c>
      <c r="AZ12" t="b">
        <f t="shared" si="12"/>
        <v>1</v>
      </c>
      <c r="BA12" t="b">
        <f t="shared" si="13"/>
        <v>1</v>
      </c>
      <c r="BB12" t="b">
        <f t="shared" si="14"/>
        <v>1</v>
      </c>
      <c r="BD12" s="1">
        <v>12</v>
      </c>
      <c r="BE12" s="55">
        <v>11.694543987449642</v>
      </c>
      <c r="BF12" s="55">
        <v>11.69202102194558</v>
      </c>
      <c r="BG12" s="55">
        <v>11.691326759592201</v>
      </c>
      <c r="BH12" s="89">
        <v>11.691326874525499</v>
      </c>
      <c r="BI12" s="89">
        <v>11.6945441043347</v>
      </c>
      <c r="BJ12" s="89">
        <v>11.6920211430552</v>
      </c>
      <c r="BK12" t="b">
        <f t="shared" si="15"/>
        <v>1</v>
      </c>
      <c r="BL12" t="b">
        <f t="shared" si="16"/>
        <v>1</v>
      </c>
      <c r="BM12" t="b">
        <f t="shared" si="17"/>
        <v>1</v>
      </c>
      <c r="BO12" s="11">
        <v>0.2</v>
      </c>
      <c r="BP12" s="2">
        <v>20.104607650830438</v>
      </c>
      <c r="BQ12" s="2">
        <v>19.967550843051583</v>
      </c>
      <c r="BR12" s="2">
        <v>20.224370345649191</v>
      </c>
      <c r="BS12" s="8">
        <v>20.1046088466741</v>
      </c>
      <c r="BT12" s="8">
        <v>19.967550759342299</v>
      </c>
      <c r="BU12" s="8">
        <v>20.224363658950899</v>
      </c>
      <c r="BV12" t="b">
        <f t="shared" ref="BV12:BV19" si="24">ROUND(BP12,2)=ROUND(BS12,2)</f>
        <v>1</v>
      </c>
      <c r="BW12" t="b">
        <f t="shared" si="18"/>
        <v>1</v>
      </c>
      <c r="BX12" t="b">
        <f t="shared" si="18"/>
        <v>1</v>
      </c>
    </row>
    <row r="13" spans="1:85" x14ac:dyDescent="0.25">
      <c r="A13" s="1">
        <f t="shared" si="19"/>
        <v>12</v>
      </c>
      <c r="B13" s="8">
        <v>0.91720274214634168</v>
      </c>
      <c r="C13" s="8">
        <v>0.91296516253836613</v>
      </c>
      <c r="D13" s="8">
        <v>0.91733907198413278</v>
      </c>
      <c r="E13" s="12">
        <v>0.91720274214634201</v>
      </c>
      <c r="F13" s="12">
        <v>0.91296516253836402</v>
      </c>
      <c r="G13" s="12">
        <v>0.917339071984133</v>
      </c>
      <c r="H13" t="b">
        <f t="shared" si="0"/>
        <v>1</v>
      </c>
      <c r="I13" t="b">
        <f t="shared" si="1"/>
        <v>1</v>
      </c>
      <c r="J13" t="b">
        <f t="shared" si="2"/>
        <v>1</v>
      </c>
      <c r="L13" s="1">
        <f t="shared" si="20"/>
        <v>12</v>
      </c>
      <c r="M13" s="8">
        <v>8.6426738309941728E-2</v>
      </c>
      <c r="N13" s="8">
        <v>9.1057556247299581E-2</v>
      </c>
      <c r="O13" s="8">
        <v>8.6278112819923494E-2</v>
      </c>
      <c r="P13" s="12">
        <v>8.6426738309941201E-2</v>
      </c>
      <c r="Q13" s="12">
        <v>9.1057556247301996E-2</v>
      </c>
      <c r="R13" s="12">
        <v>8.6278112819923494E-2</v>
      </c>
      <c r="S13" t="b">
        <f t="shared" si="3"/>
        <v>1</v>
      </c>
      <c r="T13" t="b">
        <f t="shared" si="4"/>
        <v>1</v>
      </c>
      <c r="U13" t="b">
        <f t="shared" si="5"/>
        <v>1</v>
      </c>
      <c r="W13" s="1">
        <f t="shared" si="21"/>
        <v>12</v>
      </c>
      <c r="X13" s="8">
        <v>1.5097148446606558E-2</v>
      </c>
      <c r="Y13" s="8">
        <v>1.5715419602825381E-2</v>
      </c>
      <c r="Z13" s="8">
        <v>1.484284332238496E-2</v>
      </c>
      <c r="AA13" s="12">
        <v>1.50971484466065E-2</v>
      </c>
      <c r="AB13" s="12">
        <v>1.5715419602825801E-2</v>
      </c>
      <c r="AC13" s="12">
        <v>1.48428433223849E-2</v>
      </c>
      <c r="AD13" t="b">
        <f t="shared" si="6"/>
        <v>1</v>
      </c>
      <c r="AE13" t="b">
        <f t="shared" si="7"/>
        <v>1</v>
      </c>
      <c r="AF13" t="b">
        <f t="shared" si="8"/>
        <v>1</v>
      </c>
      <c r="AH13" s="1">
        <f t="shared" si="22"/>
        <v>12</v>
      </c>
      <c r="AI13" s="8">
        <v>8.2797257853658324E-2</v>
      </c>
      <c r="AJ13" s="8">
        <v>8.7034837461633874E-2</v>
      </c>
      <c r="AK13" s="8">
        <v>8.2660928015867219E-2</v>
      </c>
      <c r="AL13" s="12">
        <v>8.2797257853657893E-2</v>
      </c>
      <c r="AM13" s="12">
        <v>8.7034837461636094E-2</v>
      </c>
      <c r="AN13" s="12">
        <v>8.2660928015867205E-2</v>
      </c>
      <c r="AO13" t="b">
        <f t="shared" si="9"/>
        <v>1</v>
      </c>
      <c r="AP13" t="b">
        <f t="shared" si="10"/>
        <v>1</v>
      </c>
      <c r="AQ13" t="b">
        <f t="shared" si="11"/>
        <v>1</v>
      </c>
      <c r="AS13" s="1">
        <f t="shared" si="23"/>
        <v>12</v>
      </c>
      <c r="AT13" s="8">
        <v>1.3847145953817919E-2</v>
      </c>
      <c r="AU13" s="8">
        <v>1.43476306120521E-2</v>
      </c>
      <c r="AV13" s="8">
        <v>1.3615920118962501E-2</v>
      </c>
      <c r="AW13" s="12">
        <v>1.3847145953817801E-2</v>
      </c>
      <c r="AX13" s="12">
        <v>1.43476306120524E-2</v>
      </c>
      <c r="AY13" s="12">
        <v>1.36159201189625E-2</v>
      </c>
      <c r="AZ13" t="b">
        <f t="shared" si="12"/>
        <v>1</v>
      </c>
      <c r="BA13" t="b">
        <f t="shared" si="13"/>
        <v>1</v>
      </c>
      <c r="BB13" t="b">
        <f t="shared" si="14"/>
        <v>1</v>
      </c>
      <c r="BD13" s="1">
        <f>BD12+12</f>
        <v>24</v>
      </c>
      <c r="BE13" s="55">
        <v>21.667415808305655</v>
      </c>
      <c r="BF13" s="55">
        <v>21.631969636211934</v>
      </c>
      <c r="BG13" s="55">
        <v>21.679252548978511</v>
      </c>
      <c r="BH13" s="89">
        <v>21.679252961857699</v>
      </c>
      <c r="BI13" s="89">
        <v>21.667416222428599</v>
      </c>
      <c r="BJ13" s="89">
        <v>21.631970029320101</v>
      </c>
      <c r="BK13" t="b">
        <f t="shared" ref="BK13" si="25">ROUND(BH13,0)=ROUND(BE13,0)</f>
        <v>1</v>
      </c>
      <c r="BL13" t="b">
        <f t="shared" ref="BL13" si="26">ROUND(BI13,0)=ROUND(BF13,0)</f>
        <v>1</v>
      </c>
      <c r="BM13" t="b">
        <f t="shared" ref="BM13" si="27">ROUND(BJ13,0)=ROUND(BG13,0)</f>
        <v>1</v>
      </c>
      <c r="BO13" s="11">
        <v>0.30000000000000004</v>
      </c>
      <c r="BP13" s="2">
        <v>28.306567426527529</v>
      </c>
      <c r="BQ13" s="2">
        <v>28.611988478673052</v>
      </c>
      <c r="BR13" s="2">
        <v>28.490990580847203</v>
      </c>
      <c r="BS13" s="8">
        <v>28.306564807081099</v>
      </c>
      <c r="BT13" s="8">
        <v>28.611988778267801</v>
      </c>
      <c r="BU13" s="8">
        <v>28.490985009075001</v>
      </c>
      <c r="BV13" t="b">
        <f t="shared" si="24"/>
        <v>1</v>
      </c>
      <c r="BW13" t="b">
        <f t="shared" si="18"/>
        <v>1</v>
      </c>
      <c r="BX13" t="b">
        <f t="shared" si="18"/>
        <v>1</v>
      </c>
    </row>
    <row r="14" spans="1:85" x14ac:dyDescent="0.25">
      <c r="A14" s="1">
        <f t="shared" si="19"/>
        <v>18</v>
      </c>
      <c r="B14" s="8">
        <v>0.82984998928467502</v>
      </c>
      <c r="C14" s="8">
        <v>0.82659933715092349</v>
      </c>
      <c r="D14" s="8">
        <v>0.83124429860208959</v>
      </c>
      <c r="E14" s="12">
        <v>0.82984998928467602</v>
      </c>
      <c r="F14" s="12">
        <v>0.82659933715091904</v>
      </c>
      <c r="G14" s="12">
        <v>0.83124429860209004</v>
      </c>
      <c r="H14" t="b">
        <f t="shared" si="0"/>
        <v>1</v>
      </c>
      <c r="I14" t="b">
        <f t="shared" si="1"/>
        <v>1</v>
      </c>
      <c r="J14" t="b">
        <f t="shared" si="2"/>
        <v>1</v>
      </c>
      <c r="L14" s="1">
        <f t="shared" si="20"/>
        <v>18</v>
      </c>
      <c r="M14" s="8">
        <v>0.18651033032777301</v>
      </c>
      <c r="N14" s="8">
        <v>0.1904351788030561</v>
      </c>
      <c r="O14" s="8">
        <v>0.18483154586014894</v>
      </c>
      <c r="P14" s="12">
        <v>0.18651033032777201</v>
      </c>
      <c r="Q14" s="12">
        <v>0.19043517880306099</v>
      </c>
      <c r="R14" s="12">
        <v>0.18483154586014899</v>
      </c>
      <c r="S14" t="b">
        <f t="shared" si="3"/>
        <v>1</v>
      </c>
      <c r="T14" t="b">
        <f t="shared" si="4"/>
        <v>1</v>
      </c>
      <c r="U14" t="b">
        <f t="shared" si="5"/>
        <v>1</v>
      </c>
      <c r="W14" s="1">
        <f t="shared" si="21"/>
        <v>18</v>
      </c>
      <c r="X14" s="8">
        <v>1.7448244164992917E-2</v>
      </c>
      <c r="Y14" s="8">
        <v>1.675401108100567E-2</v>
      </c>
      <c r="Z14" s="8">
        <v>1.7244117404097405E-2</v>
      </c>
      <c r="AA14" s="12">
        <v>1.7448244164992799E-2</v>
      </c>
      <c r="AB14" s="12">
        <v>1.67540110810061E-2</v>
      </c>
      <c r="AC14" s="12">
        <v>1.7244117404097301E-2</v>
      </c>
      <c r="AD14" t="b">
        <f t="shared" si="6"/>
        <v>1</v>
      </c>
      <c r="AE14" t="b">
        <f t="shared" si="7"/>
        <v>1</v>
      </c>
      <c r="AF14" t="b">
        <f t="shared" si="8"/>
        <v>1</v>
      </c>
      <c r="AH14" s="1">
        <f t="shared" si="22"/>
        <v>18</v>
      </c>
      <c r="AI14" s="8">
        <v>0.17015001071532498</v>
      </c>
      <c r="AJ14" s="8">
        <v>0.17340066284907651</v>
      </c>
      <c r="AK14" s="8">
        <v>0.16875570139791041</v>
      </c>
      <c r="AL14" s="12">
        <v>0.17015001071532401</v>
      </c>
      <c r="AM14" s="12">
        <v>0.17340066284908101</v>
      </c>
      <c r="AN14" s="12">
        <v>0.16875570139790999</v>
      </c>
      <c r="AO14" t="b">
        <f t="shared" si="9"/>
        <v>1</v>
      </c>
      <c r="AP14" t="b">
        <f t="shared" si="10"/>
        <v>1</v>
      </c>
      <c r="AQ14" t="b">
        <f t="shared" si="11"/>
        <v>1</v>
      </c>
      <c r="AS14" s="1">
        <f t="shared" si="23"/>
        <v>18</v>
      </c>
      <c r="AT14" s="8">
        <v>1.4479425233355766E-2</v>
      </c>
      <c r="AU14" s="8">
        <v>1.3848854454178513E-2</v>
      </c>
      <c r="AV14" s="8">
        <v>1.4334074276581033E-2</v>
      </c>
      <c r="AW14" s="12">
        <v>1.44794252333557E-2</v>
      </c>
      <c r="AX14" s="12">
        <v>1.3848854454178799E-2</v>
      </c>
      <c r="AY14" s="12">
        <v>1.4334074276581E-2</v>
      </c>
      <c r="AZ14" t="b">
        <f t="shared" si="12"/>
        <v>1</v>
      </c>
      <c r="BA14" t="b">
        <f t="shared" si="13"/>
        <v>1</v>
      </c>
      <c r="BB14" t="b">
        <f t="shared" si="14"/>
        <v>1</v>
      </c>
      <c r="BD14" s="1">
        <f t="shared" ref="BD14:BD17" si="28">BD13+12</f>
        <v>36</v>
      </c>
      <c r="BE14" s="55">
        <v>29.883712875433996</v>
      </c>
      <c r="BF14" s="55">
        <v>29.888806551048166</v>
      </c>
      <c r="BG14" s="55">
        <v>29.917978960733365</v>
      </c>
      <c r="BH14" s="89">
        <v>29.917979583913102</v>
      </c>
      <c r="BI14" s="89">
        <v>29.8837134939313</v>
      </c>
      <c r="BJ14" s="89">
        <v>29.8888071671307</v>
      </c>
      <c r="BK14" t="b">
        <f t="shared" ref="BK14" si="29">ROUND(BH14,1)=ROUND(BE14,1)</f>
        <v>1</v>
      </c>
      <c r="BL14" t="b">
        <f t="shared" ref="BL14:BM14" si="30">ROUND(BI14,1)=ROUND(BF14,1)</f>
        <v>1</v>
      </c>
      <c r="BM14" t="b">
        <f t="shared" si="30"/>
        <v>1</v>
      </c>
      <c r="BO14" s="11">
        <v>0.4</v>
      </c>
      <c r="BP14" s="2">
        <v>39.718339431201947</v>
      </c>
      <c r="BQ14" s="2">
        <v>40.341512256596147</v>
      </c>
      <c r="BR14" s="2">
        <v>39.908510570432</v>
      </c>
      <c r="BS14" s="8">
        <v>39.718341457475198</v>
      </c>
      <c r="BT14" s="8">
        <v>40.341500716671</v>
      </c>
      <c r="BU14" s="8">
        <v>39.9085083125266</v>
      </c>
      <c r="BV14" t="b">
        <f t="shared" si="24"/>
        <v>1</v>
      </c>
      <c r="BW14" t="b">
        <f t="shared" si="18"/>
        <v>1</v>
      </c>
      <c r="BX14" t="b">
        <f t="shared" si="18"/>
        <v>1</v>
      </c>
    </row>
    <row r="15" spans="1:85" x14ac:dyDescent="0.25">
      <c r="A15" s="1">
        <f t="shared" si="19"/>
        <v>24</v>
      </c>
      <c r="B15" s="8">
        <v>0.74909861975379599</v>
      </c>
      <c r="C15" s="8">
        <v>0.74998168015165367</v>
      </c>
      <c r="D15" s="8">
        <v>0.75099009609414169</v>
      </c>
      <c r="E15" s="12">
        <v>0.74909861975379699</v>
      </c>
      <c r="F15" s="12">
        <v>0.74998168015164801</v>
      </c>
      <c r="G15" s="12">
        <v>0.75099009609414202</v>
      </c>
      <c r="H15" t="b">
        <f t="shared" si="0"/>
        <v>1</v>
      </c>
      <c r="I15" t="b">
        <f t="shared" si="1"/>
        <v>1</v>
      </c>
      <c r="J15" t="b">
        <f t="shared" si="2"/>
        <v>1</v>
      </c>
      <c r="L15" s="1">
        <f t="shared" si="20"/>
        <v>24</v>
      </c>
      <c r="M15" s="8">
        <v>0.28888463556931648</v>
      </c>
      <c r="N15" s="8">
        <v>0.28770649921457364</v>
      </c>
      <c r="O15" s="8">
        <v>0.28636281492927179</v>
      </c>
      <c r="P15" s="12">
        <v>0.28888463556931498</v>
      </c>
      <c r="Q15" s="12">
        <v>0.28770649921458102</v>
      </c>
      <c r="R15" s="12">
        <v>0.28636281492927101</v>
      </c>
      <c r="S15" t="b">
        <f t="shared" si="3"/>
        <v>1</v>
      </c>
      <c r="T15" t="b">
        <f t="shared" si="4"/>
        <v>1</v>
      </c>
      <c r="U15" t="b">
        <f t="shared" si="5"/>
        <v>1</v>
      </c>
      <c r="W15" s="1">
        <f t="shared" si="21"/>
        <v>24</v>
      </c>
      <c r="X15" s="8">
        <v>1.6373109282383346E-2</v>
      </c>
      <c r="Y15" s="8">
        <v>1.5523978762159399E-2</v>
      </c>
      <c r="Z15" s="8">
        <v>1.6282809514470569E-2</v>
      </c>
      <c r="AA15" s="12">
        <v>1.63731092823832E-2</v>
      </c>
      <c r="AB15" s="12">
        <v>1.55239787621598E-2</v>
      </c>
      <c r="AC15" s="12">
        <v>1.62828095144705E-2</v>
      </c>
      <c r="AD15" t="b">
        <f t="shared" si="6"/>
        <v>1</v>
      </c>
      <c r="AE15" t="b">
        <f t="shared" si="7"/>
        <v>1</v>
      </c>
      <c r="AF15" t="b">
        <f t="shared" si="8"/>
        <v>1</v>
      </c>
      <c r="AH15" s="1">
        <f t="shared" si="22"/>
        <v>24</v>
      </c>
      <c r="AI15" s="8">
        <v>0.25090138024620401</v>
      </c>
      <c r="AJ15" s="8">
        <v>0.25001831984834633</v>
      </c>
      <c r="AK15" s="8">
        <v>0.24900990390585831</v>
      </c>
      <c r="AL15" s="12">
        <v>0.25090138024620301</v>
      </c>
      <c r="AM15" s="12">
        <v>0.25001831984835199</v>
      </c>
      <c r="AN15" s="12">
        <v>0.249009903905858</v>
      </c>
      <c r="AO15" t="b">
        <f t="shared" si="9"/>
        <v>1</v>
      </c>
      <c r="AP15" t="b">
        <f t="shared" si="10"/>
        <v>1</v>
      </c>
      <c r="AQ15" t="b">
        <f t="shared" si="11"/>
        <v>1</v>
      </c>
      <c r="AS15" s="1">
        <f t="shared" si="23"/>
        <v>24</v>
      </c>
      <c r="AT15" s="8">
        <v>1.226507356451143E-2</v>
      </c>
      <c r="AU15" s="8">
        <v>1.1642699674682894E-2</v>
      </c>
      <c r="AV15" s="8">
        <v>1.2228228681954858E-2</v>
      </c>
      <c r="AW15" s="12">
        <v>1.2265073564511401E-2</v>
      </c>
      <c r="AX15" s="12">
        <v>1.16426996746831E-2</v>
      </c>
      <c r="AY15" s="12">
        <v>1.2228228681954801E-2</v>
      </c>
      <c r="AZ15" t="b">
        <f t="shared" si="12"/>
        <v>1</v>
      </c>
      <c r="BA15" t="b">
        <f t="shared" si="13"/>
        <v>1</v>
      </c>
      <c r="BB15" t="b">
        <f t="shared" si="14"/>
        <v>1</v>
      </c>
      <c r="BD15" s="1">
        <f t="shared" si="28"/>
        <v>48</v>
      </c>
      <c r="BE15" s="55">
        <v>36.906325124762695</v>
      </c>
      <c r="BF15" s="55">
        <v>36.96071088218013</v>
      </c>
      <c r="BG15" s="55">
        <v>36.954540036826366</v>
      </c>
      <c r="BH15" s="89">
        <v>36.954540827663799</v>
      </c>
      <c r="BI15" s="89">
        <v>36.906325899104402</v>
      </c>
      <c r="BJ15" s="89">
        <v>36.9607116919695</v>
      </c>
      <c r="BK15" t="b">
        <f>ROUND(BH15,0)=ROUND(BE15,0)</f>
        <v>1</v>
      </c>
      <c r="BL15" t="b">
        <f t="shared" ref="BL15:BM17" si="31">ROUND(BI15,0)=ROUND(BF15,0)</f>
        <v>1</v>
      </c>
      <c r="BM15" t="b">
        <f t="shared" si="31"/>
        <v>1</v>
      </c>
      <c r="BO15" s="11">
        <v>0.5</v>
      </c>
      <c r="BP15" s="2">
        <v>57.084831781705716</v>
      </c>
      <c r="BQ15" s="2">
        <v>57.124553016350781</v>
      </c>
      <c r="BR15" s="2">
        <v>56.921515164297737</v>
      </c>
      <c r="BS15" s="8">
        <v>57.084826688191299</v>
      </c>
      <c r="BT15" s="8">
        <v>57.124570283561802</v>
      </c>
      <c r="BU15" s="8">
        <v>56.921519193273397</v>
      </c>
      <c r="BV15" t="b">
        <f t="shared" si="24"/>
        <v>1</v>
      </c>
      <c r="BW15" t="b">
        <f t="shared" si="18"/>
        <v>1</v>
      </c>
      <c r="BX15" t="b">
        <f t="shared" si="18"/>
        <v>1</v>
      </c>
    </row>
    <row r="16" spans="1:85" x14ac:dyDescent="0.25">
      <c r="A16" s="1">
        <f t="shared" si="19"/>
        <v>30</v>
      </c>
      <c r="B16" s="8">
        <v>0.68262070153298504</v>
      </c>
      <c r="C16" s="8">
        <v>0.68630836202352252</v>
      </c>
      <c r="D16" s="8">
        <v>0.68453720494329728</v>
      </c>
      <c r="E16" s="12">
        <v>0.68262070153298704</v>
      </c>
      <c r="F16" s="12">
        <v>0.68630836202351597</v>
      </c>
      <c r="G16" s="12">
        <v>0.68453720494329895</v>
      </c>
      <c r="H16" t="b">
        <f t="shared" si="0"/>
        <v>1</v>
      </c>
      <c r="I16" t="b">
        <f t="shared" si="1"/>
        <v>1</v>
      </c>
      <c r="J16" t="b">
        <f t="shared" si="2"/>
        <v>1</v>
      </c>
      <c r="L16" s="1">
        <f t="shared" si="20"/>
        <v>30</v>
      </c>
      <c r="M16" s="8">
        <v>0.38181591549652305</v>
      </c>
      <c r="N16" s="8">
        <v>0.37642824493148425</v>
      </c>
      <c r="O16" s="8">
        <v>0.3790122822708355</v>
      </c>
      <c r="P16" s="12">
        <v>0.381815915496521</v>
      </c>
      <c r="Q16" s="12">
        <v>0.37642824493149302</v>
      </c>
      <c r="R16" s="12">
        <v>0.379012282270834</v>
      </c>
      <c r="S16" t="b">
        <f t="shared" si="3"/>
        <v>1</v>
      </c>
      <c r="T16" t="b">
        <f t="shared" si="4"/>
        <v>1</v>
      </c>
      <c r="U16" t="b">
        <f t="shared" si="5"/>
        <v>1</v>
      </c>
      <c r="W16" s="1">
        <f t="shared" si="21"/>
        <v>30</v>
      </c>
      <c r="X16" s="8">
        <v>1.459586649152316E-2</v>
      </c>
      <c r="Y16" s="8">
        <v>1.4070569517372537E-2</v>
      </c>
      <c r="Z16" s="8">
        <v>1.4589390061162139E-2</v>
      </c>
      <c r="AA16" s="12">
        <v>1.4595866491523101E-2</v>
      </c>
      <c r="AB16" s="12">
        <v>1.40705695173729E-2</v>
      </c>
      <c r="AC16" s="12">
        <v>1.4589390061162E-2</v>
      </c>
      <c r="AD16" t="b">
        <f t="shared" si="6"/>
        <v>1</v>
      </c>
      <c r="AE16" t="b">
        <f t="shared" si="7"/>
        <v>1</v>
      </c>
      <c r="AF16" t="b">
        <f t="shared" si="8"/>
        <v>1</v>
      </c>
      <c r="AH16" s="1">
        <f t="shared" si="22"/>
        <v>30</v>
      </c>
      <c r="AI16" s="8">
        <v>0.31737929846701496</v>
      </c>
      <c r="AJ16" s="8">
        <v>0.31369163797647748</v>
      </c>
      <c r="AK16" s="8">
        <v>0.31546279505670272</v>
      </c>
      <c r="AL16" s="12">
        <v>0.31737929846701302</v>
      </c>
      <c r="AM16" s="12">
        <v>0.31369163797648397</v>
      </c>
      <c r="AN16" s="12">
        <v>0.315462795056701</v>
      </c>
      <c r="AO16" t="b">
        <f t="shared" si="9"/>
        <v>1</v>
      </c>
      <c r="AP16" t="b">
        <f t="shared" si="10"/>
        <v>1</v>
      </c>
      <c r="AQ16" t="b">
        <f t="shared" si="11"/>
        <v>1</v>
      </c>
      <c r="AS16" s="1">
        <f t="shared" si="23"/>
        <v>30</v>
      </c>
      <c r="AT16" s="8">
        <v>9.9634406239253286E-3</v>
      </c>
      <c r="AU16" s="8">
        <v>9.6567495182060519E-3</v>
      </c>
      <c r="AV16" s="8">
        <v>9.9869802942954521E-3</v>
      </c>
      <c r="AW16" s="12">
        <v>9.96344062392528E-3</v>
      </c>
      <c r="AX16" s="12">
        <v>9.6567495182061803E-3</v>
      </c>
      <c r="AY16" s="12">
        <v>9.9869802942953705E-3</v>
      </c>
      <c r="AZ16" t="b">
        <f t="shared" si="12"/>
        <v>1</v>
      </c>
      <c r="BA16" t="b">
        <f t="shared" si="13"/>
        <v>1</v>
      </c>
      <c r="BB16" t="b">
        <f t="shared" si="14"/>
        <v>1</v>
      </c>
      <c r="BD16" s="1">
        <f t="shared" si="28"/>
        <v>60</v>
      </c>
      <c r="BE16" s="55">
        <v>43.09144217277791</v>
      </c>
      <c r="BF16" s="55">
        <v>43.159853973938361</v>
      </c>
      <c r="BG16" s="55">
        <v>43.135911134886832</v>
      </c>
      <c r="BH16" s="89">
        <v>43.1359120900036</v>
      </c>
      <c r="BI16" s="89">
        <v>43.091443087850301</v>
      </c>
      <c r="BJ16" s="89">
        <v>43.159854961106298</v>
      </c>
      <c r="BK16" t="b">
        <f t="shared" ref="BK16:BK17" si="32">ROUND(BH16,0)=ROUND(BE16,0)</f>
        <v>1</v>
      </c>
      <c r="BL16" t="b">
        <f t="shared" si="31"/>
        <v>1</v>
      </c>
      <c r="BM16" t="b">
        <f t="shared" si="31"/>
        <v>1</v>
      </c>
      <c r="BO16" s="11">
        <v>0.6</v>
      </c>
      <c r="BP16" s="2">
        <v>84.906830737775692</v>
      </c>
      <c r="BQ16" s="2">
        <v>82.136742973723258</v>
      </c>
      <c r="BR16" s="2">
        <v>82.459981561705959</v>
      </c>
      <c r="BS16" s="8">
        <v>84.906821055882105</v>
      </c>
      <c r="BT16" s="8">
        <v>82.136714926085503</v>
      </c>
      <c r="BU16" s="8">
        <v>82.459970445267004</v>
      </c>
      <c r="BV16" t="b">
        <f t="shared" si="24"/>
        <v>1</v>
      </c>
      <c r="BW16" t="b">
        <f t="shared" si="18"/>
        <v>1</v>
      </c>
      <c r="BX16" t="b">
        <f t="shared" si="18"/>
        <v>1</v>
      </c>
    </row>
    <row r="17" spans="1:76" x14ac:dyDescent="0.25">
      <c r="A17" s="1">
        <f t="shared" si="19"/>
        <v>36</v>
      </c>
      <c r="B17" s="8">
        <v>0.6285536898899402</v>
      </c>
      <c r="C17" s="8">
        <v>0.63321318300241836</v>
      </c>
      <c r="D17" s="8">
        <v>0.63020761564455996</v>
      </c>
      <c r="E17" s="12">
        <v>0.62855368988994198</v>
      </c>
      <c r="F17" s="12">
        <v>0.63321318300241103</v>
      </c>
      <c r="G17" s="12">
        <v>0.63020761564456196</v>
      </c>
      <c r="H17" t="b">
        <f t="shared" si="0"/>
        <v>1</v>
      </c>
      <c r="I17" t="b">
        <f t="shared" si="1"/>
        <v>1</v>
      </c>
      <c r="J17" t="b">
        <f t="shared" si="2"/>
        <v>1</v>
      </c>
      <c r="L17" s="1">
        <f t="shared" si="20"/>
        <v>36</v>
      </c>
      <c r="M17" s="8">
        <v>0.46433382915894789</v>
      </c>
      <c r="N17" s="8">
        <v>0.4569481315419453</v>
      </c>
      <c r="O17" s="8">
        <v>0.46170596524362689</v>
      </c>
      <c r="P17" s="12">
        <v>0.464333829158945</v>
      </c>
      <c r="Q17" s="12">
        <v>0.45694813154195701</v>
      </c>
      <c r="R17" s="12">
        <v>0.46170596524362401</v>
      </c>
      <c r="S17" t="b">
        <f t="shared" si="3"/>
        <v>1</v>
      </c>
      <c r="T17" t="b">
        <f t="shared" si="4"/>
        <v>1</v>
      </c>
      <c r="U17" t="b">
        <f t="shared" si="5"/>
        <v>1</v>
      </c>
      <c r="W17" s="1">
        <f t="shared" si="21"/>
        <v>36</v>
      </c>
      <c r="X17" s="8">
        <v>1.2952458758516245E-2</v>
      </c>
      <c r="Y17" s="8">
        <v>1.2807018966464264E-2</v>
      </c>
      <c r="Z17" s="8">
        <v>1.3016249794089031E-2</v>
      </c>
      <c r="AA17" s="12">
        <v>1.29524587585162E-2</v>
      </c>
      <c r="AB17" s="12">
        <v>1.2807018966464599E-2</v>
      </c>
      <c r="AC17" s="12">
        <v>1.3016249794088899E-2</v>
      </c>
      <c r="AD17" t="b">
        <f t="shared" si="6"/>
        <v>1</v>
      </c>
      <c r="AE17" t="b">
        <f t="shared" si="7"/>
        <v>1</v>
      </c>
      <c r="AF17" t="b">
        <f t="shared" si="8"/>
        <v>1</v>
      </c>
      <c r="AH17" s="1">
        <f t="shared" si="22"/>
        <v>36</v>
      </c>
      <c r="AI17" s="8">
        <v>0.3714463101100598</v>
      </c>
      <c r="AJ17" s="8">
        <v>0.36678681699758164</v>
      </c>
      <c r="AK17" s="8">
        <v>0.36979238435544004</v>
      </c>
      <c r="AL17" s="12">
        <v>0.37144631011005802</v>
      </c>
      <c r="AM17" s="12">
        <v>0.36678681699758903</v>
      </c>
      <c r="AN17" s="12">
        <v>0.36979238435543799</v>
      </c>
      <c r="AO17" t="b">
        <f t="shared" si="9"/>
        <v>1</v>
      </c>
      <c r="AP17" t="b">
        <f t="shared" si="10"/>
        <v>1</v>
      </c>
      <c r="AQ17" t="b">
        <f t="shared" si="11"/>
        <v>1</v>
      </c>
      <c r="AS17" s="1">
        <f t="shared" si="23"/>
        <v>36</v>
      </c>
      <c r="AT17" s="8">
        <v>8.1413157458126596E-3</v>
      </c>
      <c r="AU17" s="8">
        <v>8.1095732445271799E-3</v>
      </c>
      <c r="AV17" s="8">
        <v>8.2029397473668431E-3</v>
      </c>
      <c r="AW17" s="12">
        <v>8.1413157458126301E-3</v>
      </c>
      <c r="AX17" s="12">
        <v>8.1095732445272701E-3</v>
      </c>
      <c r="AY17" s="12">
        <v>8.2029397473667703E-3</v>
      </c>
      <c r="AZ17" t="b">
        <f t="shared" si="12"/>
        <v>1</v>
      </c>
      <c r="BA17" t="b">
        <f t="shared" si="13"/>
        <v>1</v>
      </c>
      <c r="BB17" t="b">
        <f t="shared" si="14"/>
        <v>1</v>
      </c>
      <c r="BD17" s="1">
        <f t="shared" si="28"/>
        <v>72</v>
      </c>
      <c r="BE17" s="55">
        <v>48.645948494630844</v>
      </c>
      <c r="BF17" s="55">
        <v>48.680221847846475</v>
      </c>
      <c r="BG17" s="55">
        <v>48.659286367756117</v>
      </c>
      <c r="BH17" s="89">
        <v>48.659287501324798</v>
      </c>
      <c r="BI17" s="89">
        <v>48.6459495484008</v>
      </c>
      <c r="BJ17" s="89">
        <v>48.680223001943602</v>
      </c>
      <c r="BK17" t="b">
        <f t="shared" si="32"/>
        <v>1</v>
      </c>
      <c r="BL17" t="b">
        <f t="shared" si="31"/>
        <v>1</v>
      </c>
      <c r="BM17" t="b">
        <f t="shared" si="31"/>
        <v>1</v>
      </c>
      <c r="BO17" s="11">
        <v>0.7</v>
      </c>
      <c r="BP17" s="2">
        <v>131.61078350502879</v>
      </c>
      <c r="BQ17" s="2">
        <v>121.46246803079107</v>
      </c>
      <c r="BR17" s="2">
        <v>119.45747076975837</v>
      </c>
      <c r="BS17" s="8">
        <v>131.61083919103001</v>
      </c>
      <c r="BT17" s="8">
        <v>121.462477682274</v>
      </c>
      <c r="BU17" s="8">
        <v>119.45746422814101</v>
      </c>
      <c r="BV17" t="b">
        <f t="shared" si="24"/>
        <v>1</v>
      </c>
      <c r="BW17" t="b">
        <f t="shared" si="18"/>
        <v>1</v>
      </c>
      <c r="BX17" t="b">
        <f t="shared" si="18"/>
        <v>1</v>
      </c>
    </row>
    <row r="18" spans="1:76" x14ac:dyDescent="0.25">
      <c r="A18" s="1">
        <f t="shared" si="19"/>
        <v>42</v>
      </c>
      <c r="B18" s="8">
        <v>0.5840261013848087</v>
      </c>
      <c r="C18" s="8">
        <v>0.58827821726724405</v>
      </c>
      <c r="D18" s="8">
        <v>0.5852182302920319</v>
      </c>
      <c r="E18" s="12">
        <v>0.58402610138481004</v>
      </c>
      <c r="F18" s="12">
        <v>0.58827821726723595</v>
      </c>
      <c r="G18" s="12">
        <v>0.58521823029203301</v>
      </c>
      <c r="H18" t="b">
        <f t="shared" si="0"/>
        <v>1</v>
      </c>
      <c r="I18" t="b">
        <f t="shared" si="1"/>
        <v>1</v>
      </c>
      <c r="J18" t="b">
        <f t="shared" si="2"/>
        <v>1</v>
      </c>
      <c r="L18" s="1">
        <f t="shared" si="20"/>
        <v>42</v>
      </c>
      <c r="M18" s="8">
        <v>0.53780960300059422</v>
      </c>
      <c r="N18" s="8">
        <v>0.53055528436998933</v>
      </c>
      <c r="O18" s="8">
        <v>0.53577045807936574</v>
      </c>
      <c r="P18" s="12">
        <v>0.537809603000591</v>
      </c>
      <c r="Q18" s="12">
        <v>0.53055528437000299</v>
      </c>
      <c r="R18" s="12">
        <v>0.53577045807936297</v>
      </c>
      <c r="S18" t="b">
        <f t="shared" si="3"/>
        <v>1</v>
      </c>
      <c r="T18" t="b">
        <f t="shared" si="4"/>
        <v>1</v>
      </c>
      <c r="U18" t="b">
        <f t="shared" si="5"/>
        <v>1</v>
      </c>
      <c r="W18" s="1">
        <f t="shared" si="21"/>
        <v>42</v>
      </c>
      <c r="X18" s="8">
        <v>1.1586866045808733E-2</v>
      </c>
      <c r="Y18" s="8">
        <v>1.1763354025969012E-2</v>
      </c>
      <c r="Z18" s="8">
        <v>1.1720252488676945E-2</v>
      </c>
      <c r="AA18" s="12">
        <v>1.15868660458087E-2</v>
      </c>
      <c r="AB18" s="12">
        <v>1.17633540259693E-2</v>
      </c>
      <c r="AC18" s="12">
        <v>1.1720252488676801E-2</v>
      </c>
      <c r="AD18" t="b">
        <f t="shared" si="6"/>
        <v>1</v>
      </c>
      <c r="AE18" t="b">
        <f t="shared" si="7"/>
        <v>1</v>
      </c>
      <c r="AF18" t="b">
        <f t="shared" si="8"/>
        <v>1</v>
      </c>
      <c r="AH18" s="1">
        <f t="shared" si="22"/>
        <v>42</v>
      </c>
      <c r="AI18" s="8">
        <v>0.4159738986151913</v>
      </c>
      <c r="AJ18" s="8">
        <v>0.41172178273275595</v>
      </c>
      <c r="AK18" s="8">
        <v>0.4147817697079681</v>
      </c>
      <c r="AL18" s="12">
        <v>0.41597389861519002</v>
      </c>
      <c r="AM18" s="12">
        <v>0.411721782732764</v>
      </c>
      <c r="AN18" s="12">
        <v>0.41478176970796699</v>
      </c>
      <c r="AO18" t="b">
        <f t="shared" si="9"/>
        <v>1</v>
      </c>
      <c r="AP18" t="b">
        <f t="shared" si="10"/>
        <v>1</v>
      </c>
      <c r="AQ18" t="b">
        <f t="shared" si="11"/>
        <v>1</v>
      </c>
      <c r="AS18" s="1">
        <f t="shared" si="23"/>
        <v>42</v>
      </c>
      <c r="AT18" s="8">
        <v>6.7670322040016889E-3</v>
      </c>
      <c r="AU18" s="8">
        <v>6.9201249354805087E-3</v>
      </c>
      <c r="AV18" s="8">
        <v>6.8589054199993046E-3</v>
      </c>
      <c r="AW18" s="12">
        <v>6.7670322040016603E-3</v>
      </c>
      <c r="AX18" s="12">
        <v>6.9201249354805703E-3</v>
      </c>
      <c r="AY18" s="12">
        <v>6.8589054199992396E-3</v>
      </c>
      <c r="AZ18" t="b">
        <f t="shared" si="12"/>
        <v>1</v>
      </c>
      <c r="BA18" t="b">
        <f t="shared" si="13"/>
        <v>1</v>
      </c>
      <c r="BB18" t="b">
        <f t="shared" si="14"/>
        <v>1</v>
      </c>
      <c r="BD18" s="1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11">
        <v>0.79999999999999993</v>
      </c>
      <c r="BP18" s="2">
        <v>224.64701247604728</v>
      </c>
      <c r="BQ18" s="2">
        <v>191.99324266296784</v>
      </c>
      <c r="BR18" s="2">
        <v>177.14504717413647</v>
      </c>
      <c r="BS18" s="8">
        <v>224.64695374835401</v>
      </c>
      <c r="BT18" s="8">
        <v>191.99329684828999</v>
      </c>
      <c r="BU18" s="8">
        <v>177.14510657367899</v>
      </c>
      <c r="BV18" t="b">
        <f t="shared" si="24"/>
        <v>1</v>
      </c>
      <c r="BW18" t="b">
        <f t="shared" si="18"/>
        <v>1</v>
      </c>
      <c r="BX18" t="b">
        <f t="shared" si="18"/>
        <v>1</v>
      </c>
    </row>
    <row r="19" spans="1:76" x14ac:dyDescent="0.25">
      <c r="A19" s="1">
        <f t="shared" si="19"/>
        <v>48</v>
      </c>
      <c r="B19" s="8">
        <v>0.54666941042295958</v>
      </c>
      <c r="C19" s="8">
        <v>0.54964283761044297</v>
      </c>
      <c r="D19" s="8">
        <v>0.54722050568371117</v>
      </c>
      <c r="E19" s="12">
        <v>0.54666941042296202</v>
      </c>
      <c r="F19" s="12">
        <v>0.54964283761043498</v>
      </c>
      <c r="G19" s="12">
        <v>0.54722050568371305</v>
      </c>
      <c r="H19" t="b">
        <f t="shared" si="0"/>
        <v>1</v>
      </c>
      <c r="I19" t="b">
        <f t="shared" si="1"/>
        <v>1</v>
      </c>
      <c r="J19" t="b">
        <f t="shared" si="2"/>
        <v>1</v>
      </c>
      <c r="L19" s="1">
        <f t="shared" si="20"/>
        <v>48</v>
      </c>
      <c r="M19" s="8">
        <v>0.6039110277782086</v>
      </c>
      <c r="N19" s="8">
        <v>0.59848659786097269</v>
      </c>
      <c r="O19" s="8">
        <v>0.60290343953873149</v>
      </c>
      <c r="P19" s="12">
        <v>0.60391102777820505</v>
      </c>
      <c r="Q19" s="12">
        <v>0.59848659786098801</v>
      </c>
      <c r="R19" s="12">
        <v>0.60290343953872705</v>
      </c>
      <c r="S19" t="b">
        <f t="shared" si="3"/>
        <v>1</v>
      </c>
      <c r="T19" t="b">
        <f t="shared" si="4"/>
        <v>1</v>
      </c>
      <c r="U19" t="b">
        <f t="shared" si="5"/>
        <v>1</v>
      </c>
      <c r="W19" s="1">
        <f t="shared" si="21"/>
        <v>48</v>
      </c>
      <c r="X19" s="8">
        <v>1.04877939875957E-2</v>
      </c>
      <c r="Y19" s="8">
        <v>1.0908703159733869E-2</v>
      </c>
      <c r="Z19" s="8">
        <v>1.0700393933749792E-2</v>
      </c>
      <c r="AA19" s="12">
        <v>1.04877939875956E-2</v>
      </c>
      <c r="AB19" s="12">
        <v>1.09087031597341E-2</v>
      </c>
      <c r="AC19" s="12">
        <v>1.0700393933749599E-2</v>
      </c>
      <c r="AD19" t="b">
        <f t="shared" si="6"/>
        <v>1</v>
      </c>
      <c r="AE19" t="b">
        <f t="shared" si="7"/>
        <v>1</v>
      </c>
      <c r="AF19" t="b">
        <f t="shared" si="8"/>
        <v>1</v>
      </c>
      <c r="AH19" s="1">
        <f t="shared" si="22"/>
        <v>48</v>
      </c>
      <c r="AI19" s="8">
        <v>0.45333058957704042</v>
      </c>
      <c r="AJ19" s="8">
        <v>0.45035716238955703</v>
      </c>
      <c r="AK19" s="8">
        <v>0.45277949431628883</v>
      </c>
      <c r="AL19" s="12">
        <v>0.45333058957703798</v>
      </c>
      <c r="AM19" s="12">
        <v>0.45035716238956502</v>
      </c>
      <c r="AN19" s="12">
        <v>0.452779494316287</v>
      </c>
      <c r="AO19" t="b">
        <f t="shared" si="9"/>
        <v>1</v>
      </c>
      <c r="AP19" t="b">
        <f t="shared" si="10"/>
        <v>1</v>
      </c>
      <c r="AQ19" t="b">
        <f t="shared" si="11"/>
        <v>1</v>
      </c>
      <c r="AS19" s="1">
        <f t="shared" si="23"/>
        <v>48</v>
      </c>
      <c r="AT19" s="8">
        <v>5.7333561558364013E-3</v>
      </c>
      <c r="AU19" s="8">
        <v>5.9958905593661292E-3</v>
      </c>
      <c r="AV19" s="8">
        <v>5.8554749794414761E-3</v>
      </c>
      <c r="AW19" s="12">
        <v>5.7333561558363796E-3</v>
      </c>
      <c r="AX19" s="12">
        <v>5.9958905593661804E-3</v>
      </c>
      <c r="AY19" s="12">
        <v>5.8554749794414197E-3</v>
      </c>
      <c r="AZ19" t="b">
        <f t="shared" si="12"/>
        <v>1</v>
      </c>
      <c r="BA19" t="b">
        <f t="shared" si="13"/>
        <v>1</v>
      </c>
      <c r="BB19" t="b">
        <f t="shared" si="14"/>
        <v>1</v>
      </c>
      <c r="BO19" s="11">
        <v>0.89999999999999991</v>
      </c>
      <c r="BP19" s="2">
        <v>502.18412820686291</v>
      </c>
      <c r="BQ19" s="2">
        <v>362.28303665136929</v>
      </c>
      <c r="BR19" s="2">
        <v>288.04985177895139</v>
      </c>
      <c r="BS19" s="8">
        <v>502.184249084854</v>
      </c>
      <c r="BT19" s="8">
        <v>362.28323930764299</v>
      </c>
      <c r="BU19" s="8">
        <v>288.04990746450102</v>
      </c>
      <c r="BV19" t="b">
        <f t="shared" si="24"/>
        <v>1</v>
      </c>
      <c r="BW19" t="b">
        <f t="shared" si="18"/>
        <v>1</v>
      </c>
      <c r="BX19" t="b">
        <f t="shared" si="18"/>
        <v>1</v>
      </c>
    </row>
    <row r="20" spans="1:76" x14ac:dyDescent="0.25">
      <c r="A20" s="1">
        <f t="shared" si="19"/>
        <v>54</v>
      </c>
      <c r="B20" s="8">
        <v>0.51473459360705365</v>
      </c>
      <c r="C20" s="8">
        <v>0.51594124703627853</v>
      </c>
      <c r="D20" s="8">
        <v>0.51445632527453722</v>
      </c>
      <c r="E20" s="12">
        <v>0.51473459360705598</v>
      </c>
      <c r="F20" s="12">
        <v>0.51594124703626998</v>
      </c>
      <c r="G20" s="12">
        <v>0.51445632527453999</v>
      </c>
      <c r="H20" t="b">
        <f t="shared" si="0"/>
        <v>1</v>
      </c>
      <c r="I20" t="b">
        <f t="shared" si="1"/>
        <v>1</v>
      </c>
      <c r="J20" t="b">
        <f t="shared" si="2"/>
        <v>1</v>
      </c>
      <c r="L20" s="1">
        <f t="shared" si="20"/>
        <v>54</v>
      </c>
      <c r="M20" s="8">
        <v>0.66410386337731064</v>
      </c>
      <c r="N20" s="8">
        <v>0.66176238231617535</v>
      </c>
      <c r="O20" s="8">
        <v>0.66464461501860872</v>
      </c>
      <c r="P20" s="12">
        <v>0.66410386337730698</v>
      </c>
      <c r="Q20" s="12">
        <v>0.661762382316191</v>
      </c>
      <c r="R20" s="12">
        <v>0.66464461501860395</v>
      </c>
      <c r="S20" t="b">
        <f t="shared" si="3"/>
        <v>1</v>
      </c>
      <c r="T20" t="b">
        <f t="shared" si="4"/>
        <v>1</v>
      </c>
      <c r="U20" t="b">
        <f t="shared" si="5"/>
        <v>1</v>
      </c>
      <c r="W20" s="1">
        <f t="shared" si="21"/>
        <v>54</v>
      </c>
      <c r="X20" s="8">
        <v>9.609160617339841E-3</v>
      </c>
      <c r="Y20" s="8">
        <v>1.0205593258894427E-2</v>
      </c>
      <c r="Z20" s="8">
        <v>9.9152044742491976E-3</v>
      </c>
      <c r="AA20" s="12">
        <v>9.6091606173397803E-3</v>
      </c>
      <c r="AB20" s="12">
        <v>1.02055932588947E-2</v>
      </c>
      <c r="AC20" s="12">
        <v>9.9152044742490397E-3</v>
      </c>
      <c r="AD20" t="b">
        <f t="shared" si="6"/>
        <v>1</v>
      </c>
      <c r="AE20" t="b">
        <f t="shared" si="7"/>
        <v>1</v>
      </c>
      <c r="AF20" t="b">
        <f t="shared" si="8"/>
        <v>1</v>
      </c>
      <c r="AH20" s="1">
        <f t="shared" si="22"/>
        <v>54</v>
      </c>
      <c r="AI20" s="8">
        <v>0.48526540639294635</v>
      </c>
      <c r="AJ20" s="8">
        <v>0.48405875296372147</v>
      </c>
      <c r="AK20" s="8">
        <v>0.48554367472546278</v>
      </c>
      <c r="AL20" s="12">
        <v>0.48526540639294402</v>
      </c>
      <c r="AM20" s="12">
        <v>0.48405875296373002</v>
      </c>
      <c r="AN20" s="12">
        <v>0.48554367472546001</v>
      </c>
      <c r="AO20" t="b">
        <f t="shared" si="9"/>
        <v>1</v>
      </c>
      <c r="AP20" t="b">
        <f t="shared" si="10"/>
        <v>1</v>
      </c>
      <c r="AQ20" t="b">
        <f t="shared" si="11"/>
        <v>1</v>
      </c>
      <c r="AS20" s="1">
        <f t="shared" si="23"/>
        <v>54</v>
      </c>
      <c r="AT20" s="8">
        <v>4.9461673852713274E-3</v>
      </c>
      <c r="AU20" s="8">
        <v>5.265486512739029E-3</v>
      </c>
      <c r="AV20" s="8">
        <v>5.1009396581678922E-3</v>
      </c>
      <c r="AW20" s="12">
        <v>4.9461673852713196E-3</v>
      </c>
      <c r="AX20" s="12">
        <v>5.2654865127390602E-3</v>
      </c>
      <c r="AY20" s="12">
        <v>5.1009396581678402E-3</v>
      </c>
      <c r="AZ20" t="b">
        <f t="shared" si="12"/>
        <v>1</v>
      </c>
      <c r="BA20" t="b">
        <f t="shared" si="13"/>
        <v>1</v>
      </c>
      <c r="BB20" t="b">
        <f t="shared" si="14"/>
        <v>1</v>
      </c>
      <c r="BO20" s="11"/>
      <c r="BP20" s="8"/>
      <c r="BQ20" s="8"/>
      <c r="BR20" s="8"/>
      <c r="BS20" s="8"/>
      <c r="BT20" s="8"/>
      <c r="BU20" s="8"/>
    </row>
    <row r="21" spans="1:76" x14ac:dyDescent="0.25">
      <c r="A21" s="1">
        <f t="shared" si="19"/>
        <v>60</v>
      </c>
      <c r="B21" s="8">
        <v>0.48696238533842329</v>
      </c>
      <c r="C21" s="8">
        <v>0.48617232108830244</v>
      </c>
      <c r="D21" s="8">
        <v>0.48565155438949192</v>
      </c>
      <c r="E21" s="12">
        <v>0.48696238533842601</v>
      </c>
      <c r="F21" s="12">
        <v>0.486172321088294</v>
      </c>
      <c r="G21" s="12">
        <v>0.48565155438949498</v>
      </c>
      <c r="H21" t="b">
        <f t="shared" si="0"/>
        <v>1</v>
      </c>
      <c r="I21" t="b">
        <f t="shared" si="1"/>
        <v>1</v>
      </c>
      <c r="J21" t="b">
        <f t="shared" si="2"/>
        <v>1</v>
      </c>
      <c r="L21" s="1">
        <f t="shared" si="20"/>
        <v>60</v>
      </c>
      <c r="M21" s="8">
        <v>0.71956839638062053</v>
      </c>
      <c r="N21" s="8">
        <v>0.72119214778624063</v>
      </c>
      <c r="O21" s="8">
        <v>0.72226387850164586</v>
      </c>
      <c r="P21" s="12">
        <v>0.71956839638061498</v>
      </c>
      <c r="Q21" s="12">
        <v>0.72119214778625695</v>
      </c>
      <c r="R21" s="12">
        <v>0.72226387850163998</v>
      </c>
      <c r="S21" t="b">
        <f t="shared" si="3"/>
        <v>1</v>
      </c>
      <c r="T21" t="b">
        <f t="shared" si="4"/>
        <v>1</v>
      </c>
      <c r="U21" t="b">
        <f t="shared" si="5"/>
        <v>1</v>
      </c>
      <c r="W21" s="1">
        <f t="shared" si="21"/>
        <v>60</v>
      </c>
      <c r="X21" s="8">
        <v>8.9045350812723325E-3</v>
      </c>
      <c r="Y21" s="8">
        <v>9.621934080599354E-3</v>
      </c>
      <c r="Z21" s="8">
        <v>9.3192406543335087E-3</v>
      </c>
      <c r="AA21" s="12">
        <v>8.9045350812722596E-3</v>
      </c>
      <c r="AB21" s="12">
        <v>9.6219340805995604E-3</v>
      </c>
      <c r="AC21" s="12">
        <v>9.3192406543333509E-3</v>
      </c>
      <c r="AD21" t="b">
        <f t="shared" si="6"/>
        <v>1</v>
      </c>
      <c r="AE21" t="b">
        <f t="shared" si="7"/>
        <v>1</v>
      </c>
      <c r="AF21" t="b">
        <f t="shared" si="8"/>
        <v>1</v>
      </c>
      <c r="AH21" s="1">
        <f t="shared" si="22"/>
        <v>60</v>
      </c>
      <c r="AI21" s="8">
        <v>0.51303761466157671</v>
      </c>
      <c r="AJ21" s="8">
        <v>0.51382767891169756</v>
      </c>
      <c r="AK21" s="8">
        <v>0.51434844561050808</v>
      </c>
      <c r="AL21" s="12">
        <v>0.51303761466157405</v>
      </c>
      <c r="AM21" s="12">
        <v>0.513827678911706</v>
      </c>
      <c r="AN21" s="12">
        <v>0.51434844561050497</v>
      </c>
      <c r="AO21" t="b">
        <f t="shared" si="9"/>
        <v>1</v>
      </c>
      <c r="AP21" t="b">
        <f t="shared" si="10"/>
        <v>1</v>
      </c>
      <c r="AQ21" t="b">
        <f t="shared" si="11"/>
        <v>1</v>
      </c>
      <c r="AS21" s="1">
        <f t="shared" si="23"/>
        <v>60</v>
      </c>
      <c r="AT21" s="8">
        <v>4.3361736435060458E-3</v>
      </c>
      <c r="AU21" s="8">
        <v>4.6779180253236291E-3</v>
      </c>
      <c r="AV21" s="8">
        <v>4.5259037095068139E-3</v>
      </c>
      <c r="AW21" s="12">
        <v>4.3361736435060397E-3</v>
      </c>
      <c r="AX21" s="12">
        <v>4.67791802532365E-3</v>
      </c>
      <c r="AY21" s="12">
        <v>4.5259037095067602E-3</v>
      </c>
      <c r="AZ21" t="b">
        <f t="shared" si="12"/>
        <v>1</v>
      </c>
      <c r="BA21" t="b">
        <f t="shared" si="13"/>
        <v>1</v>
      </c>
      <c r="BB21" t="b">
        <f t="shared" si="14"/>
        <v>1</v>
      </c>
      <c r="BO21" s="11"/>
      <c r="BP21" s="8"/>
      <c r="BQ21" s="8"/>
      <c r="BR21" s="8"/>
      <c r="BS21" s="8"/>
      <c r="BT21" s="8"/>
      <c r="BU21" s="8"/>
    </row>
    <row r="22" spans="1:76" x14ac:dyDescent="0.25">
      <c r="A22" s="1">
        <f t="shared" si="19"/>
        <v>66</v>
      </c>
      <c r="B22" s="8">
        <v>0.46244454071391122</v>
      </c>
      <c r="C22" s="8">
        <v>0.45959315950856383</v>
      </c>
      <c r="D22" s="8">
        <v>0.45988682736098874</v>
      </c>
      <c r="E22" s="12">
        <v>0.462444540713913</v>
      </c>
      <c r="F22" s="12">
        <v>0.459593159508555</v>
      </c>
      <c r="G22" s="12">
        <v>0.45988682736099201</v>
      </c>
      <c r="H22" t="b">
        <f t="shared" si="0"/>
        <v>1</v>
      </c>
      <c r="I22" t="b">
        <f t="shared" si="1"/>
        <v>1</v>
      </c>
      <c r="J22" t="b">
        <f t="shared" si="2"/>
        <v>1</v>
      </c>
      <c r="L22" s="1">
        <f t="shared" si="20"/>
        <v>66</v>
      </c>
      <c r="M22" s="8">
        <v>0.77122864118959389</v>
      </c>
      <c r="N22" s="8">
        <v>0.7774136166940947</v>
      </c>
      <c r="O22" s="8">
        <v>0.77677484724483215</v>
      </c>
      <c r="P22" s="12">
        <v>0.771228641189589</v>
      </c>
      <c r="Q22" s="12">
        <v>0.77741361669411302</v>
      </c>
      <c r="R22" s="12">
        <v>0.77677484724482504</v>
      </c>
      <c r="S22" t="b">
        <f t="shared" si="3"/>
        <v>1</v>
      </c>
      <c r="T22" t="b">
        <f t="shared" si="4"/>
        <v>1</v>
      </c>
      <c r="U22" t="b">
        <f t="shared" si="5"/>
        <v>1</v>
      </c>
      <c r="W22" s="1">
        <f t="shared" si="21"/>
        <v>66</v>
      </c>
      <c r="X22" s="8">
        <v>8.3353756412174462E-3</v>
      </c>
      <c r="Y22" s="8">
        <v>9.1324837415195544E-3</v>
      </c>
      <c r="Z22" s="8">
        <v>8.8732179400554077E-3</v>
      </c>
      <c r="AA22" s="12">
        <v>8.3353756412173907E-3</v>
      </c>
      <c r="AB22" s="12">
        <v>9.1324837415197504E-3</v>
      </c>
      <c r="AC22" s="12">
        <v>8.8732179400552499E-3</v>
      </c>
      <c r="AD22" t="b">
        <f t="shared" si="6"/>
        <v>1</v>
      </c>
      <c r="AE22" t="b">
        <f t="shared" si="7"/>
        <v>1</v>
      </c>
      <c r="AF22" t="b">
        <f t="shared" si="8"/>
        <v>1</v>
      </c>
      <c r="AH22" s="1">
        <f t="shared" si="22"/>
        <v>66</v>
      </c>
      <c r="AI22" s="8">
        <v>0.53755545928608872</v>
      </c>
      <c r="AJ22" s="8">
        <v>0.54040684049143617</v>
      </c>
      <c r="AK22" s="8">
        <v>0.54011317263901126</v>
      </c>
      <c r="AL22" s="12">
        <v>0.53755545928608695</v>
      </c>
      <c r="AM22" s="12">
        <v>0.54040684049144505</v>
      </c>
      <c r="AN22" s="12">
        <v>0.54011317263900804</v>
      </c>
      <c r="AO22" t="b">
        <f t="shared" si="9"/>
        <v>1</v>
      </c>
      <c r="AP22" t="b">
        <f t="shared" si="10"/>
        <v>1</v>
      </c>
      <c r="AQ22" t="b">
        <f t="shared" si="11"/>
        <v>1</v>
      </c>
      <c r="AS22" s="1">
        <f t="shared" si="23"/>
        <v>66</v>
      </c>
      <c r="AT22" s="8">
        <v>3.854648960080725E-3</v>
      </c>
      <c r="AU22" s="8">
        <v>4.1972270569255628E-3</v>
      </c>
      <c r="AV22" s="8">
        <v>4.0806760469346897E-3</v>
      </c>
      <c r="AW22" s="12">
        <v>3.8546489600807198E-3</v>
      </c>
      <c r="AX22" s="12">
        <v>4.1972270569255801E-3</v>
      </c>
      <c r="AY22" s="12">
        <v>4.0806760469346403E-3</v>
      </c>
      <c r="AZ22" t="b">
        <f t="shared" si="12"/>
        <v>1</v>
      </c>
      <c r="BA22" t="b">
        <f t="shared" si="13"/>
        <v>1</v>
      </c>
      <c r="BB22" t="b">
        <f t="shared" si="14"/>
        <v>1</v>
      </c>
      <c r="BO22" s="1"/>
      <c r="BP22" s="8"/>
      <c r="BQ22" s="8"/>
      <c r="BR22" s="8"/>
      <c r="BS22" s="8"/>
      <c r="BT22" s="8"/>
      <c r="BU22" s="8"/>
    </row>
    <row r="23" spans="1:76" x14ac:dyDescent="0.25">
      <c r="A23" s="1">
        <f t="shared" si="19"/>
        <v>72</v>
      </c>
      <c r="B23" s="8">
        <v>0.44051834209701513</v>
      </c>
      <c r="C23" s="8">
        <v>0.43564337457054059</v>
      </c>
      <c r="D23" s="8">
        <v>0.4364947217862386</v>
      </c>
      <c r="E23" s="12">
        <v>0.44051834209701801</v>
      </c>
      <c r="F23" s="12">
        <v>0.43564337457053198</v>
      </c>
      <c r="G23" s="12">
        <v>0.43649472178624199</v>
      </c>
      <c r="H23" t="b">
        <f t="shared" si="0"/>
        <v>1</v>
      </c>
      <c r="I23" t="b">
        <f t="shared" si="1"/>
        <v>1</v>
      </c>
      <c r="J23" t="b">
        <f t="shared" si="2"/>
        <v>1</v>
      </c>
      <c r="L23" s="1">
        <f t="shared" si="20"/>
        <v>72</v>
      </c>
      <c r="M23" s="8">
        <v>0.81980319520601641</v>
      </c>
      <c r="N23" s="8">
        <v>0.83093131856798863</v>
      </c>
      <c r="O23" s="8">
        <v>0.82897899590333712</v>
      </c>
      <c r="P23" s="12">
        <v>0.81980319520601097</v>
      </c>
      <c r="Q23" s="12">
        <v>0.83093131856800795</v>
      </c>
      <c r="R23" s="12">
        <v>0.82897899590332902</v>
      </c>
      <c r="S23" t="b">
        <f t="shared" si="3"/>
        <v>1</v>
      </c>
      <c r="T23" t="b">
        <f t="shared" si="4"/>
        <v>1</v>
      </c>
      <c r="U23" t="b">
        <f t="shared" si="5"/>
        <v>1</v>
      </c>
      <c r="W23" s="1">
        <f t="shared" si="21"/>
        <v>72</v>
      </c>
      <c r="X23" s="8">
        <v>7.8715982000245512E-3</v>
      </c>
      <c r="Y23" s="8">
        <v>8.7178672722639898E-3</v>
      </c>
      <c r="Z23" s="8">
        <v>8.5456809228410847E-3</v>
      </c>
      <c r="AA23" s="12">
        <v>7.8715982000244905E-3</v>
      </c>
      <c r="AB23" s="12">
        <v>8.7178672722641702E-3</v>
      </c>
      <c r="AC23" s="12">
        <v>8.5456809228409199E-3</v>
      </c>
      <c r="AD23" t="b">
        <f t="shared" si="6"/>
        <v>1</v>
      </c>
      <c r="AE23" t="b">
        <f t="shared" si="7"/>
        <v>1</v>
      </c>
      <c r="AF23" t="b">
        <f t="shared" si="8"/>
        <v>1</v>
      </c>
      <c r="AH23" s="1">
        <f t="shared" si="22"/>
        <v>72</v>
      </c>
      <c r="AI23" s="8">
        <v>0.55948165790298487</v>
      </c>
      <c r="AJ23" s="8">
        <v>0.56435662542945941</v>
      </c>
      <c r="AK23" s="8">
        <v>0.5635052782137614</v>
      </c>
      <c r="AL23" s="12">
        <v>0.55948165790298199</v>
      </c>
      <c r="AM23" s="12">
        <v>0.56435662542946796</v>
      </c>
      <c r="AN23" s="12">
        <v>0.56350527821375795</v>
      </c>
      <c r="AO23" t="b">
        <f t="shared" si="9"/>
        <v>1</v>
      </c>
      <c r="AP23" t="b">
        <f t="shared" si="10"/>
        <v>1</v>
      </c>
      <c r="AQ23" t="b">
        <f t="shared" si="11"/>
        <v>1</v>
      </c>
      <c r="AS23" s="1">
        <f t="shared" si="23"/>
        <v>72</v>
      </c>
      <c r="AT23" s="8">
        <v>3.4675833887286636E-3</v>
      </c>
      <c r="AU23" s="8">
        <v>3.7978811175471581E-3</v>
      </c>
      <c r="AV23" s="8">
        <v>3.730144616889486E-3</v>
      </c>
      <c r="AW23" s="12">
        <v>3.4675833887286601E-3</v>
      </c>
      <c r="AX23" s="12">
        <v>3.7978811175471599E-3</v>
      </c>
      <c r="AY23" s="12">
        <v>3.73014461688944E-3</v>
      </c>
      <c r="AZ23" t="b">
        <f t="shared" si="12"/>
        <v>1</v>
      </c>
      <c r="BA23" t="b">
        <f t="shared" si="13"/>
        <v>1</v>
      </c>
      <c r="BB23" t="b">
        <f t="shared" si="14"/>
        <v>1</v>
      </c>
      <c r="BO23" s="11"/>
      <c r="BP23" s="8"/>
      <c r="BQ23" s="8"/>
      <c r="BR23" s="8"/>
      <c r="BS23" s="8"/>
      <c r="BT23" s="8"/>
      <c r="BU23" s="8"/>
    </row>
    <row r="24" spans="1:76" x14ac:dyDescent="0.25">
      <c r="A24" s="1">
        <f t="shared" si="19"/>
        <v>78</v>
      </c>
      <c r="B24" s="8">
        <v>0.42069287596191685</v>
      </c>
      <c r="C24" s="8">
        <v>0.41389298577973288</v>
      </c>
      <c r="D24" s="8">
        <v>0.41498591567598009</v>
      </c>
      <c r="E24" s="12">
        <v>0.42069287596191901</v>
      </c>
      <c r="F24" s="12">
        <v>0.413892985779724</v>
      </c>
      <c r="G24" s="12">
        <v>0.41498591567598397</v>
      </c>
      <c r="H24" t="b">
        <f t="shared" si="0"/>
        <v>1</v>
      </c>
      <c r="I24" t="b">
        <f t="shared" si="1"/>
        <v>1</v>
      </c>
      <c r="J24" t="b">
        <f t="shared" si="2"/>
        <v>1</v>
      </c>
      <c r="L24" s="1">
        <f t="shared" si="20"/>
        <v>78</v>
      </c>
      <c r="M24" s="8">
        <v>0.8658522223015217</v>
      </c>
      <c r="N24" s="8">
        <v>0.88214782702547301</v>
      </c>
      <c r="O24" s="8">
        <v>0.87951069745751853</v>
      </c>
      <c r="P24" s="12">
        <v>0.86585222230151704</v>
      </c>
      <c r="Q24" s="12">
        <v>0.88214782702549399</v>
      </c>
      <c r="R24" s="12">
        <v>0.87951069745750998</v>
      </c>
      <c r="S24" t="b">
        <f t="shared" si="3"/>
        <v>1</v>
      </c>
      <c r="T24" t="b">
        <f t="shared" si="4"/>
        <v>1</v>
      </c>
      <c r="U24" t="b">
        <f t="shared" si="5"/>
        <v>1</v>
      </c>
      <c r="W24" s="1">
        <f t="shared" si="21"/>
        <v>78</v>
      </c>
      <c r="X24" s="8">
        <v>7.4902041407642521E-3</v>
      </c>
      <c r="Y24" s="8">
        <v>8.3632655640541835E-3</v>
      </c>
      <c r="Z24" s="8">
        <v>8.3121707284855226E-3</v>
      </c>
      <c r="AA24" s="12">
        <v>7.4902041407642001E-3</v>
      </c>
      <c r="AB24" s="12">
        <v>8.3632655640543604E-3</v>
      </c>
      <c r="AC24" s="12">
        <v>8.3121707284853508E-3</v>
      </c>
      <c r="AD24" t="b">
        <f t="shared" si="6"/>
        <v>1</v>
      </c>
      <c r="AE24" t="b">
        <f t="shared" si="7"/>
        <v>1</v>
      </c>
      <c r="AF24" t="b">
        <f t="shared" si="8"/>
        <v>1</v>
      </c>
      <c r="AH24" s="1">
        <f t="shared" si="22"/>
        <v>78</v>
      </c>
      <c r="AI24" s="8">
        <v>0.57930712403808315</v>
      </c>
      <c r="AJ24" s="8">
        <v>0.58610701422026712</v>
      </c>
      <c r="AK24" s="8">
        <v>0.58501408432401991</v>
      </c>
      <c r="AL24" s="12">
        <v>0.57930712403808104</v>
      </c>
      <c r="AM24" s="12">
        <v>0.586107014220276</v>
      </c>
      <c r="AN24" s="12">
        <v>0.58501408432401603</v>
      </c>
      <c r="AO24" t="b">
        <f t="shared" si="9"/>
        <v>1</v>
      </c>
      <c r="AP24" t="b">
        <f t="shared" si="10"/>
        <v>1</v>
      </c>
      <c r="AQ24" t="b">
        <f t="shared" si="11"/>
        <v>1</v>
      </c>
      <c r="AS24" s="1">
        <f t="shared" si="23"/>
        <v>78</v>
      </c>
      <c r="AT24" s="8">
        <v>3.1510755215199714E-3</v>
      </c>
      <c r="AU24" s="8">
        <v>3.4614969551752077E-3</v>
      </c>
      <c r="AV24" s="8">
        <v>3.4494337810156432E-3</v>
      </c>
      <c r="AW24" s="12">
        <v>3.1510755215199602E-3</v>
      </c>
      <c r="AX24" s="12">
        <v>3.4614969551752099E-3</v>
      </c>
      <c r="AY24" s="12">
        <v>3.4494337810155999E-3</v>
      </c>
      <c r="AZ24" t="b">
        <f t="shared" si="12"/>
        <v>1</v>
      </c>
      <c r="BA24" t="b">
        <f t="shared" si="13"/>
        <v>1</v>
      </c>
      <c r="BB24" t="b">
        <f t="shared" si="14"/>
        <v>1</v>
      </c>
      <c r="BO24" s="11"/>
      <c r="BP24" s="8"/>
      <c r="BQ24" s="8"/>
      <c r="BR24" s="8"/>
      <c r="BS24" s="8"/>
      <c r="BT24" s="8"/>
      <c r="BU24" s="8"/>
    </row>
    <row r="25" spans="1:76" x14ac:dyDescent="0.25">
      <c r="A25" s="1">
        <f t="shared" si="19"/>
        <v>84</v>
      </c>
      <c r="B25" s="8">
        <v>0.40260062277926495</v>
      </c>
      <c r="C25" s="8">
        <v>0.39400766959633537</v>
      </c>
      <c r="D25" s="8">
        <v>0.39500116355396941</v>
      </c>
      <c r="E25" s="12">
        <v>0.402600622779268</v>
      </c>
      <c r="F25" s="12">
        <v>0.39400766959632699</v>
      </c>
      <c r="G25" s="12">
        <v>0.39500116355397402</v>
      </c>
      <c r="H25" t="b">
        <f t="shared" si="0"/>
        <v>1</v>
      </c>
      <c r="I25" t="b">
        <f t="shared" si="1"/>
        <v>1</v>
      </c>
      <c r="J25" t="b">
        <f t="shared" si="2"/>
        <v>1</v>
      </c>
      <c r="L25" s="1">
        <f t="shared" si="20"/>
        <v>84</v>
      </c>
      <c r="M25" s="8">
        <v>0.90981021888428681</v>
      </c>
      <c r="N25" s="8">
        <v>0.93138490389311634</v>
      </c>
      <c r="O25" s="8">
        <v>0.92886656837910209</v>
      </c>
      <c r="P25" s="12">
        <v>0.90981021888428004</v>
      </c>
      <c r="Q25" s="12">
        <v>0.93138490389313799</v>
      </c>
      <c r="R25" s="12">
        <v>0.92886656837909098</v>
      </c>
      <c r="S25" t="b">
        <f t="shared" si="3"/>
        <v>1</v>
      </c>
      <c r="T25" t="b">
        <f t="shared" si="4"/>
        <v>1</v>
      </c>
      <c r="U25" t="b">
        <f t="shared" si="5"/>
        <v>1</v>
      </c>
      <c r="W25" s="1">
        <f t="shared" si="21"/>
        <v>84</v>
      </c>
      <c r="X25" s="8">
        <v>7.1693027596458998E-3</v>
      </c>
      <c r="Y25" s="8">
        <v>8.0548903671583596E-3</v>
      </c>
      <c r="Z25" s="8">
        <v>8.1461541499255139E-3</v>
      </c>
      <c r="AA25" s="12">
        <v>7.1693027596458504E-3</v>
      </c>
      <c r="AB25" s="12">
        <v>8.0548903671585296E-3</v>
      </c>
      <c r="AC25" s="12">
        <v>8.14615414992533E-3</v>
      </c>
      <c r="AD25" t="b">
        <f t="shared" si="6"/>
        <v>1</v>
      </c>
      <c r="AE25" t="b">
        <f t="shared" si="7"/>
        <v>1</v>
      </c>
      <c r="AF25" t="b">
        <f t="shared" si="8"/>
        <v>1</v>
      </c>
      <c r="AH25" s="1">
        <f t="shared" si="22"/>
        <v>84</v>
      </c>
      <c r="AI25" s="8">
        <v>0.59739937722073511</v>
      </c>
      <c r="AJ25" s="8">
        <v>0.60599233040366463</v>
      </c>
      <c r="AK25" s="8">
        <v>0.60499883644603059</v>
      </c>
      <c r="AL25" s="12">
        <v>0.597399377220732</v>
      </c>
      <c r="AM25" s="12">
        <v>0.60599233040367295</v>
      </c>
      <c r="AN25" s="12">
        <v>0.60499883644602603</v>
      </c>
      <c r="AO25" t="b">
        <f t="shared" si="9"/>
        <v>1</v>
      </c>
      <c r="AP25" t="b">
        <f t="shared" si="10"/>
        <v>1</v>
      </c>
      <c r="AQ25" t="b">
        <f t="shared" si="11"/>
        <v>1</v>
      </c>
      <c r="AS25" s="1">
        <f t="shared" si="23"/>
        <v>84</v>
      </c>
      <c r="AT25" s="8">
        <v>2.886365755926542E-3</v>
      </c>
      <c r="AU25" s="8">
        <v>3.1736885824180353E-3</v>
      </c>
      <c r="AV25" s="8">
        <v>3.2177403677105744E-3</v>
      </c>
      <c r="AW25" s="12">
        <v>2.8863657559265398E-3</v>
      </c>
      <c r="AX25" s="12">
        <v>3.1736885824180301E-3</v>
      </c>
      <c r="AY25" s="12">
        <v>3.2177403677105402E-3</v>
      </c>
      <c r="AZ25" t="b">
        <f t="shared" si="12"/>
        <v>1</v>
      </c>
      <c r="BA25" t="b">
        <f t="shared" si="13"/>
        <v>1</v>
      </c>
      <c r="BB25" t="b">
        <f t="shared" si="14"/>
        <v>1</v>
      </c>
      <c r="BO25" s="11"/>
      <c r="BP25" s="8"/>
      <c r="BQ25" s="8"/>
      <c r="BR25" s="8"/>
      <c r="BS25" s="8"/>
      <c r="BT25" s="8"/>
      <c r="BU25" s="8"/>
    </row>
    <row r="26" spans="1:76" x14ac:dyDescent="0.25">
      <c r="A26" s="1">
        <f t="shared" si="19"/>
        <v>90</v>
      </c>
      <c r="B26" s="8">
        <v>0.38599217681818454</v>
      </c>
      <c r="C26" s="8">
        <v>0.37573950391649857</v>
      </c>
      <c r="D26" s="8">
        <v>0.37632688745230014</v>
      </c>
      <c r="E26" s="12">
        <v>0.38599217681818698</v>
      </c>
      <c r="F26" s="12">
        <v>0.37573950391649003</v>
      </c>
      <c r="G26" s="12">
        <v>0.37632688745230403</v>
      </c>
      <c r="H26" t="b">
        <f t="shared" si="0"/>
        <v>1</v>
      </c>
      <c r="I26" t="b">
        <f t="shared" si="1"/>
        <v>1</v>
      </c>
      <c r="J26" t="b">
        <f t="shared" si="2"/>
        <v>1</v>
      </c>
      <c r="L26" s="1">
        <f t="shared" si="20"/>
        <v>90</v>
      </c>
      <c r="M26" s="8">
        <v>0.95193817703309369</v>
      </c>
      <c r="N26" s="8">
        <v>0.97885918442783248</v>
      </c>
      <c r="O26" s="8">
        <v>0.97729713176339261</v>
      </c>
      <c r="P26" s="12">
        <v>0.95193817703308703</v>
      </c>
      <c r="Q26" s="12">
        <v>0.97885918442785602</v>
      </c>
      <c r="R26" s="12">
        <v>0.97729713176338295</v>
      </c>
      <c r="S26" t="b">
        <f t="shared" si="3"/>
        <v>1</v>
      </c>
      <c r="T26" t="b">
        <f t="shared" si="4"/>
        <v>1</v>
      </c>
      <c r="U26" t="b">
        <f t="shared" si="5"/>
        <v>1</v>
      </c>
      <c r="W26" s="1">
        <f t="shared" si="21"/>
        <v>90</v>
      </c>
      <c r="X26" s="8">
        <v>6.8773770765382736E-3</v>
      </c>
      <c r="Y26" s="8">
        <v>7.7738471647532201E-3</v>
      </c>
      <c r="Z26" s="8">
        <v>7.9994972362385577E-3</v>
      </c>
      <c r="AA26" s="12">
        <v>6.8773770765382302E-3</v>
      </c>
      <c r="AB26" s="12">
        <v>7.7738471647533901E-3</v>
      </c>
      <c r="AC26" s="12">
        <v>7.9994972362383999E-3</v>
      </c>
      <c r="AD26" t="b">
        <f t="shared" si="6"/>
        <v>1</v>
      </c>
      <c r="AE26" t="b">
        <f t="shared" si="7"/>
        <v>1</v>
      </c>
      <c r="AF26" t="b">
        <f t="shared" si="8"/>
        <v>1</v>
      </c>
      <c r="AH26" s="1">
        <f t="shared" si="22"/>
        <v>90</v>
      </c>
      <c r="AI26" s="8">
        <v>0.61400782318181546</v>
      </c>
      <c r="AJ26" s="8">
        <v>0.62426049608350143</v>
      </c>
      <c r="AK26" s="8">
        <v>0.62367311254769986</v>
      </c>
      <c r="AL26" s="12">
        <v>0.61400782318181302</v>
      </c>
      <c r="AM26" s="12">
        <v>0.62426049608350997</v>
      </c>
      <c r="AN26" s="12">
        <v>0.62367311254769597</v>
      </c>
      <c r="AO26" t="b">
        <f t="shared" si="9"/>
        <v>1</v>
      </c>
      <c r="AP26" t="b">
        <f t="shared" si="10"/>
        <v>1</v>
      </c>
      <c r="AQ26" t="b">
        <f t="shared" si="11"/>
        <v>1</v>
      </c>
      <c r="AS26" s="1">
        <f t="shared" si="23"/>
        <v>90</v>
      </c>
      <c r="AT26" s="8">
        <v>2.6546137485724906E-3</v>
      </c>
      <c r="AU26" s="8">
        <v>2.9209414772070541E-3</v>
      </c>
      <c r="AV26" s="8">
        <v>3.0104258960969338E-3</v>
      </c>
      <c r="AW26" s="12">
        <v>2.6546137485724901E-3</v>
      </c>
      <c r="AX26" s="12">
        <v>2.9209414772070502E-3</v>
      </c>
      <c r="AY26" s="12">
        <v>3.0104258960969E-3</v>
      </c>
      <c r="AZ26" t="b">
        <f t="shared" si="12"/>
        <v>1</v>
      </c>
      <c r="BA26" t="b">
        <f t="shared" si="13"/>
        <v>1</v>
      </c>
      <c r="BB26" t="b">
        <f t="shared" si="14"/>
        <v>1</v>
      </c>
      <c r="BO26" s="1"/>
      <c r="BP26" s="8"/>
      <c r="BQ26" s="8"/>
      <c r="BR26" s="8"/>
      <c r="BS26" s="8"/>
      <c r="BT26" s="8"/>
      <c r="BU26" s="8"/>
    </row>
    <row r="27" spans="1:76" x14ac:dyDescent="0.25">
      <c r="A27" s="1">
        <f t="shared" si="19"/>
        <v>96</v>
      </c>
      <c r="B27" s="8">
        <v>0.37069182431080716</v>
      </c>
      <c r="C27" s="8">
        <v>0.35889846646995083</v>
      </c>
      <c r="D27" s="8">
        <v>0.3588380062735354</v>
      </c>
      <c r="E27" s="12">
        <v>0.37069182431080899</v>
      </c>
      <c r="F27" s="12">
        <v>0.358898466469942</v>
      </c>
      <c r="G27" s="12">
        <v>0.35883800627353901</v>
      </c>
      <c r="H27" t="b">
        <f t="shared" si="0"/>
        <v>1</v>
      </c>
      <c r="I27" t="b">
        <f t="shared" si="1"/>
        <v>1</v>
      </c>
      <c r="J27" t="b">
        <f t="shared" si="2"/>
        <v>1</v>
      </c>
      <c r="L27" s="1">
        <f t="shared" si="20"/>
        <v>96</v>
      </c>
      <c r="M27" s="8">
        <v>0.99238422380076874</v>
      </c>
      <c r="N27" s="8">
        <v>1.0247157536993625</v>
      </c>
      <c r="O27" s="8">
        <v>1.0248842283383266</v>
      </c>
      <c r="P27" s="12">
        <v>0.99238422380076197</v>
      </c>
      <c r="Q27" s="12">
        <v>1.0247157536993901</v>
      </c>
      <c r="R27" s="12">
        <v>1.0248842283383199</v>
      </c>
      <c r="S27" t="b">
        <f t="shared" si="3"/>
        <v>1</v>
      </c>
      <c r="T27" t="b">
        <f t="shared" si="4"/>
        <v>1</v>
      </c>
      <c r="U27" t="b">
        <f t="shared" si="5"/>
        <v>1</v>
      </c>
      <c r="W27" s="1">
        <f t="shared" si="21"/>
        <v>96</v>
      </c>
      <c r="X27" s="8">
        <v>6.6082061449790628E-3</v>
      </c>
      <c r="Y27" s="8">
        <v>7.5151632628444702E-3</v>
      </c>
      <c r="Z27" s="8">
        <v>7.8646998878271774E-3</v>
      </c>
      <c r="AA27" s="12">
        <v>6.6082061449790203E-3</v>
      </c>
      <c r="AB27" s="12">
        <v>7.5151632628446298E-3</v>
      </c>
      <c r="AC27" s="12">
        <v>7.8646998878270195E-3</v>
      </c>
      <c r="AD27" t="b">
        <f t="shared" si="6"/>
        <v>1</v>
      </c>
      <c r="AE27" t="b">
        <f t="shared" si="7"/>
        <v>1</v>
      </c>
      <c r="AF27" t="b">
        <f t="shared" si="8"/>
        <v>1</v>
      </c>
      <c r="AH27" s="1">
        <f t="shared" si="22"/>
        <v>96</v>
      </c>
      <c r="AI27" s="8">
        <v>0.62930817568919284</v>
      </c>
      <c r="AJ27" s="8">
        <v>0.64110153353004917</v>
      </c>
      <c r="AK27" s="8">
        <v>0.64116199372646454</v>
      </c>
      <c r="AL27" s="12">
        <v>0.62930817568919095</v>
      </c>
      <c r="AM27" s="12">
        <v>0.64110153353005805</v>
      </c>
      <c r="AN27" s="12">
        <v>0.64116199372646099</v>
      </c>
      <c r="AO27" t="b">
        <f t="shared" si="9"/>
        <v>1</v>
      </c>
      <c r="AP27" t="b">
        <f t="shared" si="10"/>
        <v>1</v>
      </c>
      <c r="AQ27" t="b">
        <f t="shared" si="11"/>
        <v>1</v>
      </c>
      <c r="AS27" s="1">
        <f t="shared" si="23"/>
        <v>96</v>
      </c>
      <c r="AT27" s="8">
        <v>2.4496079913041749E-3</v>
      </c>
      <c r="AU27" s="8">
        <v>2.6971805703061924E-3</v>
      </c>
      <c r="AV27" s="8">
        <v>2.8221532276876018E-3</v>
      </c>
      <c r="AW27" s="12">
        <v>2.4496079913041702E-3</v>
      </c>
      <c r="AX27" s="12">
        <v>2.6971805703061799E-3</v>
      </c>
      <c r="AY27" s="12">
        <v>2.8221532276875702E-3</v>
      </c>
      <c r="AZ27" t="b">
        <f t="shared" si="12"/>
        <v>1</v>
      </c>
      <c r="BA27" t="b">
        <f t="shared" si="13"/>
        <v>1</v>
      </c>
      <c r="BB27" t="b">
        <f t="shared" si="14"/>
        <v>1</v>
      </c>
      <c r="BO27" s="11"/>
      <c r="BP27" s="2"/>
      <c r="BQ27" s="2"/>
      <c r="BR27" s="2"/>
      <c r="BS27" s="8"/>
      <c r="BT27" s="8"/>
      <c r="BU27" s="8"/>
    </row>
    <row r="28" spans="1:76" x14ac:dyDescent="0.25">
      <c r="A28" s="1">
        <f t="shared" ref="A28:A51" si="33">A27+6</f>
        <v>102</v>
      </c>
      <c r="B28" s="8">
        <v>0.35655134126235849</v>
      </c>
      <c r="C28" s="8">
        <v>0.34332408043550333</v>
      </c>
      <c r="D28" s="8">
        <v>0.34242795304813389</v>
      </c>
      <c r="E28" s="12">
        <v>0.35655134126236099</v>
      </c>
      <c r="F28" s="12">
        <v>0.343324080435495</v>
      </c>
      <c r="G28" s="12">
        <v>0.342427953048139</v>
      </c>
      <c r="H28" t="b">
        <f t="shared" si="0"/>
        <v>1</v>
      </c>
      <c r="I28" t="b">
        <f t="shared" si="1"/>
        <v>1</v>
      </c>
      <c r="J28" t="b">
        <f t="shared" si="2"/>
        <v>1</v>
      </c>
      <c r="L28" s="1">
        <f t="shared" ref="L28:L51" si="34">L27+6</f>
        <v>102</v>
      </c>
      <c r="M28" s="8">
        <v>1.0312770347357427</v>
      </c>
      <c r="N28" s="8">
        <v>1.0690804369775826</v>
      </c>
      <c r="O28" s="8">
        <v>1.0716939994716397</v>
      </c>
      <c r="P28" s="12">
        <v>1.0312770347357401</v>
      </c>
      <c r="Q28" s="12">
        <v>1.0690804369776099</v>
      </c>
      <c r="R28" s="12">
        <v>1.0716939994716299</v>
      </c>
      <c r="S28" t="b">
        <f t="shared" si="3"/>
        <v>1</v>
      </c>
      <c r="T28" t="b">
        <f t="shared" si="4"/>
        <v>1</v>
      </c>
      <c r="U28" t="b">
        <f t="shared" si="5"/>
        <v>1</v>
      </c>
      <c r="W28" s="1">
        <f t="shared" ref="W28:W51" si="35">W27+6</f>
        <v>102</v>
      </c>
      <c r="X28" s="8">
        <v>6.3592393266641584E-3</v>
      </c>
      <c r="Y28" s="8">
        <v>7.2761400868293141E-3</v>
      </c>
      <c r="Z28" s="8">
        <v>7.7401469362011668E-3</v>
      </c>
      <c r="AA28" s="12">
        <v>6.3592393266641099E-3</v>
      </c>
      <c r="AB28" s="12">
        <v>7.2761400868294598E-3</v>
      </c>
      <c r="AC28" s="12">
        <v>7.7401469362009803E-3</v>
      </c>
      <c r="AD28" t="b">
        <f t="shared" si="6"/>
        <v>1</v>
      </c>
      <c r="AE28" t="b">
        <f t="shared" si="7"/>
        <v>1</v>
      </c>
      <c r="AF28" t="b">
        <f t="shared" si="8"/>
        <v>1</v>
      </c>
      <c r="AH28" s="1">
        <f t="shared" ref="AH28:AH51" si="36">AH27+6</f>
        <v>102</v>
      </c>
      <c r="AI28" s="8">
        <v>0.64344865873764157</v>
      </c>
      <c r="AJ28" s="8">
        <v>0.65667591956449667</v>
      </c>
      <c r="AK28" s="8">
        <v>0.65757204695186611</v>
      </c>
      <c r="AL28" s="12">
        <v>0.64344865873763901</v>
      </c>
      <c r="AM28" s="12">
        <v>0.656675919564505</v>
      </c>
      <c r="AN28" s="12">
        <v>0.657572046951861</v>
      </c>
      <c r="AO28" t="b">
        <f t="shared" si="9"/>
        <v>1</v>
      </c>
      <c r="AP28" t="b">
        <f t="shared" si="10"/>
        <v>1</v>
      </c>
      <c r="AQ28" t="b">
        <f t="shared" si="11"/>
        <v>1</v>
      </c>
      <c r="AS28" s="1">
        <f t="shared" ref="AS28:AS51" si="37">AS27+6</f>
        <v>102</v>
      </c>
      <c r="AT28" s="8">
        <v>2.2673953113304434E-3</v>
      </c>
      <c r="AU28" s="8">
        <v>2.4980741044305778E-3</v>
      </c>
      <c r="AV28" s="8">
        <v>2.6504426716551506E-3</v>
      </c>
      <c r="AW28" s="12">
        <v>2.2673953113304399E-3</v>
      </c>
      <c r="AX28" s="12">
        <v>2.49807410443057E-3</v>
      </c>
      <c r="AY28" s="12">
        <v>2.6504426716551198E-3</v>
      </c>
      <c r="AZ28" t="b">
        <f t="shared" si="12"/>
        <v>1</v>
      </c>
      <c r="BA28" t="b">
        <f t="shared" si="13"/>
        <v>1</v>
      </c>
      <c r="BB28" t="b">
        <f t="shared" si="14"/>
        <v>1</v>
      </c>
      <c r="BO28" s="11"/>
      <c r="BP28" s="2"/>
      <c r="BQ28" s="2"/>
      <c r="BR28" s="2"/>
      <c r="BS28" s="8"/>
      <c r="BT28" s="8"/>
      <c r="BU28" s="8"/>
    </row>
    <row r="29" spans="1:76" x14ac:dyDescent="0.25">
      <c r="A29" s="1">
        <f t="shared" si="33"/>
        <v>108</v>
      </c>
      <c r="B29" s="8">
        <v>0.34344403227257103</v>
      </c>
      <c r="C29" s="8">
        <v>0.3288793926496274</v>
      </c>
      <c r="D29" s="8">
        <v>0.32700368689784087</v>
      </c>
      <c r="E29" s="12">
        <v>0.34344403227257297</v>
      </c>
      <c r="F29" s="12">
        <v>0.32887939264961902</v>
      </c>
      <c r="G29" s="12">
        <v>0.32700368689784498</v>
      </c>
      <c r="H29" t="b">
        <f t="shared" si="0"/>
        <v>1</v>
      </c>
      <c r="I29" t="b">
        <f t="shared" si="1"/>
        <v>1</v>
      </c>
      <c r="J29" t="b">
        <f t="shared" si="2"/>
        <v>1</v>
      </c>
      <c r="L29" s="1">
        <f t="shared" si="34"/>
        <v>108</v>
      </c>
      <c r="M29" s="8">
        <v>1.0687311142991767</v>
      </c>
      <c r="N29" s="8">
        <v>1.1120641831175608</v>
      </c>
      <c r="O29" s="8">
        <v>1.1177838332315004</v>
      </c>
      <c r="P29" s="12">
        <v>1.06873111429917</v>
      </c>
      <c r="Q29" s="12">
        <v>1.1120641831175899</v>
      </c>
      <c r="R29" s="12">
        <v>1.11778383323149</v>
      </c>
      <c r="S29" t="b">
        <f t="shared" si="3"/>
        <v>1</v>
      </c>
      <c r="T29" t="b">
        <f t="shared" si="4"/>
        <v>1</v>
      </c>
      <c r="U29" t="b">
        <f t="shared" si="5"/>
        <v>1</v>
      </c>
      <c r="W29" s="1">
        <f t="shared" si="35"/>
        <v>108</v>
      </c>
      <c r="X29" s="8">
        <v>6.1282918439514783E-3</v>
      </c>
      <c r="Y29" s="8">
        <v>7.0545024964921623E-3</v>
      </c>
      <c r="Z29" s="8">
        <v>7.6245224320140156E-3</v>
      </c>
      <c r="AA29" s="12">
        <v>6.1282918439514401E-3</v>
      </c>
      <c r="AB29" s="12">
        <v>7.0545024964923098E-3</v>
      </c>
      <c r="AC29" s="12">
        <v>7.6245224320138499E-3</v>
      </c>
      <c r="AD29" t="b">
        <f t="shared" si="6"/>
        <v>1</v>
      </c>
      <c r="AE29" t="b">
        <f t="shared" si="7"/>
        <v>1</v>
      </c>
      <c r="AF29" t="b">
        <f t="shared" si="8"/>
        <v>1</v>
      </c>
      <c r="AH29" s="1">
        <f t="shared" si="36"/>
        <v>108</v>
      </c>
      <c r="AI29" s="8">
        <v>0.65655596772742897</v>
      </c>
      <c r="AJ29" s="8">
        <v>0.6711206073503726</v>
      </c>
      <c r="AK29" s="8">
        <v>0.67299631310215913</v>
      </c>
      <c r="AL29" s="12">
        <v>0.65655596772742697</v>
      </c>
      <c r="AM29" s="12">
        <v>0.67112060735038104</v>
      </c>
      <c r="AN29" s="12">
        <v>0.67299631310215502</v>
      </c>
      <c r="AO29" t="b">
        <f t="shared" si="9"/>
        <v>1</v>
      </c>
      <c r="AP29" t="b">
        <f t="shared" si="10"/>
        <v>1</v>
      </c>
      <c r="AQ29" t="b">
        <f t="shared" si="11"/>
        <v>1</v>
      </c>
      <c r="AS29" s="1">
        <f t="shared" si="37"/>
        <v>108</v>
      </c>
      <c r="AT29" s="8">
        <v>2.1047252618298052E-3</v>
      </c>
      <c r="AU29" s="8">
        <v>2.3200804964916225E-3</v>
      </c>
      <c r="AV29" s="8">
        <v>2.4932469461038755E-3</v>
      </c>
      <c r="AW29" s="12">
        <v>2.10472526182981E-3</v>
      </c>
      <c r="AX29" s="12">
        <v>2.3200804964916099E-3</v>
      </c>
      <c r="AY29" s="12">
        <v>2.49324694610385E-3</v>
      </c>
      <c r="AZ29" t="b">
        <f t="shared" si="12"/>
        <v>1</v>
      </c>
      <c r="BA29" t="b">
        <f t="shared" si="13"/>
        <v>1</v>
      </c>
      <c r="BB29" t="b">
        <f t="shared" si="14"/>
        <v>1</v>
      </c>
      <c r="BO29" s="11"/>
      <c r="BP29" s="2"/>
      <c r="BQ29" s="2"/>
      <c r="BR29" s="2"/>
      <c r="BS29" s="8"/>
      <c r="BT29" s="8"/>
      <c r="BU29" s="8"/>
    </row>
    <row r="30" spans="1:76" x14ac:dyDescent="0.25">
      <c r="A30" s="1">
        <f t="shared" si="33"/>
        <v>114</v>
      </c>
      <c r="B30" s="8">
        <v>0.33126096678389366</v>
      </c>
      <c r="C30" s="8">
        <v>0.3154467607087641</v>
      </c>
      <c r="D30" s="8">
        <v>0.31248339629491617</v>
      </c>
      <c r="E30" s="12">
        <v>0.33126096678389599</v>
      </c>
      <c r="F30" s="12">
        <v>0.31544676070875599</v>
      </c>
      <c r="G30" s="12">
        <v>0.312483396294921</v>
      </c>
      <c r="H30" t="b">
        <f t="shared" si="0"/>
        <v>1</v>
      </c>
      <c r="I30" t="b">
        <f t="shared" si="1"/>
        <v>1</v>
      </c>
      <c r="J30" t="b">
        <f t="shared" si="2"/>
        <v>1</v>
      </c>
      <c r="L30" s="1">
        <f t="shared" si="34"/>
        <v>114</v>
      </c>
      <c r="M30" s="8">
        <v>1.1048487949576069</v>
      </c>
      <c r="N30" s="8">
        <v>1.1537653570125774</v>
      </c>
      <c r="O30" s="8">
        <v>1.1632039430734962</v>
      </c>
      <c r="P30" s="12">
        <v>1.1048487949576</v>
      </c>
      <c r="Q30" s="12">
        <v>1.1537653570126001</v>
      </c>
      <c r="R30" s="12">
        <v>1.16320394307348</v>
      </c>
      <c r="S30" t="b">
        <f t="shared" si="3"/>
        <v>1</v>
      </c>
      <c r="T30" t="b">
        <f t="shared" si="4"/>
        <v>1</v>
      </c>
      <c r="U30" t="b">
        <f t="shared" si="5"/>
        <v>1</v>
      </c>
      <c r="W30" s="1">
        <f t="shared" si="35"/>
        <v>114</v>
      </c>
      <c r="X30" s="8">
        <v>5.9134817825975032E-3</v>
      </c>
      <c r="Y30" s="8">
        <v>6.8483192710400015E-3</v>
      </c>
      <c r="Z30" s="8">
        <v>7.5167411048173297E-3</v>
      </c>
      <c r="AA30" s="12">
        <v>5.9134817825974599E-3</v>
      </c>
      <c r="AB30" s="12">
        <v>6.8483192710401403E-3</v>
      </c>
      <c r="AC30" s="12">
        <v>7.5167411048171397E-3</v>
      </c>
      <c r="AD30" t="b">
        <f t="shared" si="6"/>
        <v>1</v>
      </c>
      <c r="AE30" t="b">
        <f t="shared" si="7"/>
        <v>1</v>
      </c>
      <c r="AF30" t="b">
        <f t="shared" si="8"/>
        <v>1</v>
      </c>
      <c r="AH30" s="1">
        <f t="shared" si="36"/>
        <v>114</v>
      </c>
      <c r="AI30" s="8">
        <v>0.66873903321610628</v>
      </c>
      <c r="AJ30" s="8">
        <v>0.6845532392912359</v>
      </c>
      <c r="AK30" s="8">
        <v>0.68751660370508383</v>
      </c>
      <c r="AL30" s="12">
        <v>0.66873903321610395</v>
      </c>
      <c r="AM30" s="12">
        <v>0.68455323929124401</v>
      </c>
      <c r="AN30" s="12">
        <v>0.68751660370507905</v>
      </c>
      <c r="AO30" t="b">
        <f t="shared" si="9"/>
        <v>1</v>
      </c>
      <c r="AP30" t="b">
        <f t="shared" si="10"/>
        <v>1</v>
      </c>
      <c r="AQ30" t="b">
        <f t="shared" si="11"/>
        <v>1</v>
      </c>
      <c r="AS30" s="1">
        <f t="shared" si="37"/>
        <v>114</v>
      </c>
      <c r="AT30" s="8">
        <v>1.9589056923621918E-3</v>
      </c>
      <c r="AU30" s="8">
        <v>2.160280130348973E-3</v>
      </c>
      <c r="AV30" s="8">
        <v>2.3488567895029195E-3</v>
      </c>
      <c r="AW30" s="12">
        <v>1.9589056923621901E-3</v>
      </c>
      <c r="AX30" s="12">
        <v>2.16028013034896E-3</v>
      </c>
      <c r="AY30" s="12">
        <v>2.3488567895029E-3</v>
      </c>
      <c r="AZ30" t="b">
        <f t="shared" si="12"/>
        <v>1</v>
      </c>
      <c r="BA30" t="b">
        <f t="shared" si="13"/>
        <v>1</v>
      </c>
      <c r="BB30" t="b">
        <f t="shared" si="14"/>
        <v>1</v>
      </c>
      <c r="BO30" s="11"/>
      <c r="BP30" s="2"/>
      <c r="BQ30" s="2"/>
      <c r="BR30" s="2"/>
      <c r="BS30" s="8"/>
      <c r="BT30" s="8"/>
      <c r="BU30" s="8"/>
    </row>
    <row r="31" spans="1:76" x14ac:dyDescent="0.25">
      <c r="A31" s="1">
        <f t="shared" si="33"/>
        <v>120</v>
      </c>
      <c r="B31" s="8">
        <v>0.3199079766875465</v>
      </c>
      <c r="C31" s="8">
        <v>0.30292452166099215</v>
      </c>
      <c r="D31" s="8">
        <v>0.29879469091647232</v>
      </c>
      <c r="E31" s="12">
        <v>0.319907976687549</v>
      </c>
      <c r="F31" s="12">
        <v>0.30292452166098399</v>
      </c>
      <c r="G31" s="12">
        <v>0.29879469091647698</v>
      </c>
      <c r="H31" t="b">
        <f t="shared" si="0"/>
        <v>1</v>
      </c>
      <c r="I31" t="b">
        <f t="shared" si="1"/>
        <v>1</v>
      </c>
      <c r="J31" t="b">
        <f t="shared" si="2"/>
        <v>1</v>
      </c>
      <c r="L31" s="1">
        <f t="shared" si="34"/>
        <v>120</v>
      </c>
      <c r="M31" s="8">
        <v>1.1397218973967833</v>
      </c>
      <c r="N31" s="8">
        <v>1.1942716079332494</v>
      </c>
      <c r="O31" s="8">
        <v>1.2079985938984887</v>
      </c>
      <c r="P31" s="12">
        <v>1.13972189739678</v>
      </c>
      <c r="Q31" s="12">
        <v>1.19427160793328</v>
      </c>
      <c r="R31" s="12">
        <v>1.2079985938984701</v>
      </c>
      <c r="S31" t="b">
        <f t="shared" si="3"/>
        <v>1</v>
      </c>
      <c r="T31" t="b">
        <f t="shared" si="4"/>
        <v>1</v>
      </c>
      <c r="U31" t="b">
        <f t="shared" si="5"/>
        <v>1</v>
      </c>
      <c r="W31" s="1">
        <f t="shared" si="35"/>
        <v>120</v>
      </c>
      <c r="X31" s="8">
        <v>5.7131795978118283E-3</v>
      </c>
      <c r="Y31" s="8">
        <v>6.6559405125070506E-3</v>
      </c>
      <c r="Z31" s="8">
        <v>7.4158982201002954E-3</v>
      </c>
      <c r="AA31" s="12">
        <v>5.7131795978117902E-3</v>
      </c>
      <c r="AB31" s="12">
        <v>6.6559405125071903E-3</v>
      </c>
      <c r="AC31" s="12">
        <v>7.4158982201001202E-3</v>
      </c>
      <c r="AD31" t="b">
        <f t="shared" si="6"/>
        <v>1</v>
      </c>
      <c r="AE31" t="b">
        <f t="shared" si="7"/>
        <v>1</v>
      </c>
      <c r="AF31" t="b">
        <f t="shared" si="8"/>
        <v>1</v>
      </c>
      <c r="AH31" s="1">
        <f t="shared" si="36"/>
        <v>120</v>
      </c>
      <c r="AI31" s="8">
        <v>0.68009202331245344</v>
      </c>
      <c r="AJ31" s="8">
        <v>0.69707547833900785</v>
      </c>
      <c r="AK31" s="8">
        <v>0.70120530908352774</v>
      </c>
      <c r="AL31" s="12">
        <v>0.680092023312451</v>
      </c>
      <c r="AM31" s="12">
        <v>0.69707547833901595</v>
      </c>
      <c r="AN31" s="12">
        <v>0.70120530908352297</v>
      </c>
      <c r="AO31" t="b">
        <f t="shared" si="9"/>
        <v>1</v>
      </c>
      <c r="AP31" t="b">
        <f t="shared" si="10"/>
        <v>1</v>
      </c>
      <c r="AQ31" t="b">
        <f t="shared" si="11"/>
        <v>1</v>
      </c>
      <c r="AS31" s="1">
        <f t="shared" si="37"/>
        <v>120</v>
      </c>
      <c r="AT31" s="8">
        <v>1.8276917255885528E-3</v>
      </c>
      <c r="AU31" s="8">
        <v>2.0162475959552171E-3</v>
      </c>
      <c r="AV31" s="8">
        <v>2.2158310165428848E-3</v>
      </c>
      <c r="AW31" s="12">
        <v>1.82769172558855E-3</v>
      </c>
      <c r="AX31" s="12">
        <v>2.0162475959552002E-3</v>
      </c>
      <c r="AY31" s="12">
        <v>2.2158310165428701E-3</v>
      </c>
      <c r="AZ31" t="b">
        <f t="shared" si="12"/>
        <v>1</v>
      </c>
      <c r="BA31" t="b">
        <f t="shared" si="13"/>
        <v>1</v>
      </c>
      <c r="BB31" t="b">
        <f t="shared" si="14"/>
        <v>1</v>
      </c>
      <c r="BO31" s="11"/>
      <c r="BP31" s="2"/>
      <c r="BQ31" s="2"/>
      <c r="BR31" s="2"/>
      <c r="BS31" s="8"/>
      <c r="BT31" s="8"/>
      <c r="BU31" s="8"/>
    </row>
    <row r="32" spans="1:76" x14ac:dyDescent="0.25">
      <c r="A32" s="1">
        <f t="shared" si="33"/>
        <v>126</v>
      </c>
      <c r="B32" s="8">
        <v>0.30930324183605323</v>
      </c>
      <c r="C32" s="8">
        <v>0.29122433358002042</v>
      </c>
      <c r="D32" s="8">
        <v>0.28587315860625945</v>
      </c>
      <c r="E32" s="12">
        <v>0.30930324183605601</v>
      </c>
      <c r="F32" s="12">
        <v>0.29122433358001198</v>
      </c>
      <c r="G32" s="12">
        <v>0.285873158606264</v>
      </c>
      <c r="H32" t="b">
        <f t="shared" si="0"/>
        <v>1</v>
      </c>
      <c r="I32" t="b">
        <f t="shared" si="1"/>
        <v>1</v>
      </c>
      <c r="J32" t="b">
        <f t="shared" si="2"/>
        <v>1</v>
      </c>
      <c r="L32" s="1">
        <f t="shared" si="34"/>
        <v>126</v>
      </c>
      <c r="M32" s="8">
        <v>1.1734331181431525</v>
      </c>
      <c r="N32" s="8">
        <v>1.233661403032607</v>
      </c>
      <c r="O32" s="8">
        <v>1.2522070679148229</v>
      </c>
      <c r="P32" s="12">
        <v>1.1734331181431401</v>
      </c>
      <c r="Q32" s="12">
        <v>1.23366140303264</v>
      </c>
      <c r="R32" s="12">
        <v>1.2522070679148101</v>
      </c>
      <c r="S32" t="b">
        <f t="shared" si="3"/>
        <v>1</v>
      </c>
      <c r="T32" t="b">
        <f t="shared" si="4"/>
        <v>1</v>
      </c>
      <c r="U32" t="b">
        <f t="shared" si="5"/>
        <v>1</v>
      </c>
      <c r="W32" s="1">
        <f t="shared" si="35"/>
        <v>126</v>
      </c>
      <c r="X32" s="8">
        <v>5.5259673435666566E-3</v>
      </c>
      <c r="Y32" s="8">
        <v>6.4759480652489682E-3</v>
      </c>
      <c r="Z32" s="8">
        <v>7.3212322416130954E-3</v>
      </c>
      <c r="AA32" s="12">
        <v>5.5259673435666202E-3</v>
      </c>
      <c r="AB32" s="12">
        <v>6.4759480652491E-3</v>
      </c>
      <c r="AC32" s="12">
        <v>7.3212322416129298E-3</v>
      </c>
      <c r="AD32" t="b">
        <f t="shared" si="6"/>
        <v>1</v>
      </c>
      <c r="AE32" t="b">
        <f t="shared" si="7"/>
        <v>1</v>
      </c>
      <c r="AF32" t="b">
        <f t="shared" si="8"/>
        <v>1</v>
      </c>
      <c r="AH32" s="1">
        <f t="shared" si="36"/>
        <v>126</v>
      </c>
      <c r="AI32" s="8">
        <v>0.69069675816394671</v>
      </c>
      <c r="AJ32" s="8">
        <v>0.70877566641997958</v>
      </c>
      <c r="AK32" s="8">
        <v>0.7141268413937405</v>
      </c>
      <c r="AL32" s="12">
        <v>0.69069675816394405</v>
      </c>
      <c r="AM32" s="12">
        <v>0.70877566641998802</v>
      </c>
      <c r="AN32" s="12">
        <v>0.71412684139373594</v>
      </c>
      <c r="AO32" t="b">
        <f t="shared" si="9"/>
        <v>1</v>
      </c>
      <c r="AP32" t="b">
        <f t="shared" si="10"/>
        <v>1</v>
      </c>
      <c r="AQ32" t="b">
        <f t="shared" si="11"/>
        <v>1</v>
      </c>
      <c r="AS32" s="1">
        <f t="shared" si="37"/>
        <v>126</v>
      </c>
      <c r="AT32" s="8">
        <v>1.7091996136453303E-3</v>
      </c>
      <c r="AU32" s="8">
        <v>1.8859536596009534E-3</v>
      </c>
      <c r="AV32" s="8">
        <v>2.0929437857999207E-3</v>
      </c>
      <c r="AW32" s="12">
        <v>1.7091996136453301E-3</v>
      </c>
      <c r="AX32" s="12">
        <v>1.8859536596009399E-3</v>
      </c>
      <c r="AY32" s="12">
        <v>2.0929437857999098E-3</v>
      </c>
      <c r="AZ32" t="b">
        <f t="shared" si="12"/>
        <v>1</v>
      </c>
      <c r="BA32" t="b">
        <f t="shared" si="13"/>
        <v>1</v>
      </c>
      <c r="BB32" t="b">
        <f t="shared" si="14"/>
        <v>1</v>
      </c>
      <c r="BO32" s="11"/>
      <c r="BP32" s="2"/>
      <c r="BQ32" s="2"/>
      <c r="BR32" s="2"/>
      <c r="BS32" s="8"/>
      <c r="BT32" s="8"/>
      <c r="BU32" s="8"/>
    </row>
    <row r="33" spans="1:73" x14ac:dyDescent="0.25">
      <c r="A33" s="1">
        <f t="shared" si="33"/>
        <v>132</v>
      </c>
      <c r="B33" s="8">
        <v>0.29937533364782287</v>
      </c>
      <c r="C33" s="8">
        <v>0.28026903585379537</v>
      </c>
      <c r="D33" s="8">
        <v>0.27366119966400138</v>
      </c>
      <c r="E33" s="12">
        <v>0.29937533364782498</v>
      </c>
      <c r="F33" s="12">
        <v>0.28026903585378699</v>
      </c>
      <c r="G33" s="12">
        <v>0.27366119966400498</v>
      </c>
      <c r="H33" t="b">
        <f t="shared" si="0"/>
        <v>1</v>
      </c>
      <c r="I33" t="b">
        <f t="shared" si="1"/>
        <v>1</v>
      </c>
      <c r="J33" t="b">
        <f t="shared" si="2"/>
        <v>1</v>
      </c>
      <c r="L33" s="1">
        <f t="shared" si="34"/>
        <v>132</v>
      </c>
      <c r="M33" s="8">
        <v>1.2060571963363329</v>
      </c>
      <c r="N33" s="8">
        <v>1.2720052947914242</v>
      </c>
      <c r="O33" s="8">
        <v>1.2958644352645889</v>
      </c>
      <c r="P33" s="12">
        <v>1.20605719633633</v>
      </c>
      <c r="Q33" s="12">
        <v>1.27200529479145</v>
      </c>
      <c r="R33" s="12">
        <v>1.2958644352645701</v>
      </c>
      <c r="S33" t="b">
        <f t="shared" si="3"/>
        <v>1</v>
      </c>
      <c r="T33" t="b">
        <f t="shared" si="4"/>
        <v>1</v>
      </c>
      <c r="U33" t="b">
        <f t="shared" si="5"/>
        <v>1</v>
      </c>
      <c r="W33" s="1">
        <f t="shared" si="35"/>
        <v>132</v>
      </c>
      <c r="X33" s="8">
        <v>5.3506055227790852E-3</v>
      </c>
      <c r="Y33" s="8">
        <v>6.3071159804588038E-3</v>
      </c>
      <c r="Z33" s="8">
        <v>7.2320965870996956E-3</v>
      </c>
      <c r="AA33" s="12">
        <v>5.3506055227790601E-3</v>
      </c>
      <c r="AB33" s="12">
        <v>6.30711598045894E-3</v>
      </c>
      <c r="AC33" s="12">
        <v>7.2320965870995499E-3</v>
      </c>
      <c r="AD33" t="b">
        <f t="shared" si="6"/>
        <v>1</v>
      </c>
      <c r="AE33" t="b">
        <f t="shared" si="7"/>
        <v>1</v>
      </c>
      <c r="AF33" t="b">
        <f t="shared" si="8"/>
        <v>1</v>
      </c>
      <c r="AH33" s="1">
        <f t="shared" si="36"/>
        <v>132</v>
      </c>
      <c r="AI33" s="8">
        <v>0.70062466635217713</v>
      </c>
      <c r="AJ33" s="8">
        <v>0.71973096414620463</v>
      </c>
      <c r="AK33" s="8">
        <v>0.72633880033599862</v>
      </c>
      <c r="AL33" s="12">
        <v>0.70062466635217502</v>
      </c>
      <c r="AM33" s="12">
        <v>0.71973096414621296</v>
      </c>
      <c r="AN33" s="12">
        <v>0.72633880033599496</v>
      </c>
      <c r="AO33" t="b">
        <f t="shared" si="9"/>
        <v>1</v>
      </c>
      <c r="AP33" t="b">
        <f t="shared" si="10"/>
        <v>1</v>
      </c>
      <c r="AQ33" t="b">
        <f t="shared" si="11"/>
        <v>1</v>
      </c>
      <c r="AS33" s="1">
        <f t="shared" si="37"/>
        <v>132</v>
      </c>
      <c r="AT33" s="8">
        <v>1.6018393135998723E-3</v>
      </c>
      <c r="AU33" s="8">
        <v>1.7676893148612543E-3</v>
      </c>
      <c r="AV33" s="8">
        <v>1.9791442281116328E-3</v>
      </c>
      <c r="AW33" s="12">
        <v>1.6018393135998801E-3</v>
      </c>
      <c r="AX33" s="12">
        <v>1.76768931486124E-3</v>
      </c>
      <c r="AY33" s="12">
        <v>1.9791442281116198E-3</v>
      </c>
      <c r="AZ33" t="b">
        <f t="shared" si="12"/>
        <v>1</v>
      </c>
      <c r="BA33" t="b">
        <f t="shared" si="13"/>
        <v>1</v>
      </c>
      <c r="BB33" t="b">
        <f t="shared" si="14"/>
        <v>1</v>
      </c>
      <c r="BO33" s="11"/>
      <c r="BP33" s="2"/>
      <c r="BQ33" s="2"/>
      <c r="BR33" s="2"/>
      <c r="BS33" s="8"/>
      <c r="BT33" s="8"/>
      <c r="BU33" s="8"/>
    </row>
    <row r="34" spans="1:73" x14ac:dyDescent="0.25">
      <c r="A34" s="1">
        <f t="shared" si="33"/>
        <v>138</v>
      </c>
      <c r="B34" s="8">
        <v>0.29006161868262309</v>
      </c>
      <c r="C34" s="8">
        <v>0.26999091313604118</v>
      </c>
      <c r="D34" s="8">
        <v>0.26210707488464607</v>
      </c>
      <c r="E34" s="12">
        <v>0.29006161868262498</v>
      </c>
      <c r="F34" s="12">
        <v>0.26999091313603302</v>
      </c>
      <c r="G34" s="12">
        <v>0.26210707488465101</v>
      </c>
      <c r="H34" t="b">
        <f t="shared" si="0"/>
        <v>1</v>
      </c>
      <c r="I34" t="b">
        <f t="shared" si="1"/>
        <v>1</v>
      </c>
      <c r="J34" t="b">
        <f t="shared" si="2"/>
        <v>1</v>
      </c>
      <c r="L34" s="1">
        <f t="shared" si="34"/>
        <v>138</v>
      </c>
      <c r="M34" s="8">
        <v>1.2376619003559748</v>
      </c>
      <c r="N34" s="8">
        <v>1.3093669756018056</v>
      </c>
      <c r="O34" s="8">
        <v>1.3390021759432711</v>
      </c>
      <c r="P34" s="12">
        <v>1.2376619003559699</v>
      </c>
      <c r="Q34" s="12">
        <v>1.30936697560184</v>
      </c>
      <c r="R34" s="12">
        <v>1.33900217594325</v>
      </c>
      <c r="S34" t="b">
        <f t="shared" si="3"/>
        <v>1</v>
      </c>
      <c r="T34" t="b">
        <f t="shared" si="4"/>
        <v>1</v>
      </c>
      <c r="U34" t="b">
        <f t="shared" si="5"/>
        <v>1</v>
      </c>
      <c r="W34" s="1">
        <f t="shared" si="35"/>
        <v>138</v>
      </c>
      <c r="X34" s="8">
        <v>5.1860059557321926E-3</v>
      </c>
      <c r="Y34" s="8">
        <v>6.1483787720327567E-3</v>
      </c>
      <c r="Z34" s="8">
        <v>7.1479379582662312E-3</v>
      </c>
      <c r="AA34" s="12">
        <v>5.1860059557321701E-3</v>
      </c>
      <c r="AB34" s="12">
        <v>6.1483787720328902E-3</v>
      </c>
      <c r="AC34" s="12">
        <v>7.1479379582660698E-3</v>
      </c>
      <c r="AD34" t="b">
        <f t="shared" si="6"/>
        <v>1</v>
      </c>
      <c r="AE34" t="b">
        <f t="shared" si="7"/>
        <v>1</v>
      </c>
      <c r="AF34" t="b">
        <f t="shared" si="8"/>
        <v>1</v>
      </c>
      <c r="AH34" s="1">
        <f t="shared" si="36"/>
        <v>138</v>
      </c>
      <c r="AI34" s="8">
        <v>0.70993838131737697</v>
      </c>
      <c r="AJ34" s="8">
        <v>0.73000908686395882</v>
      </c>
      <c r="AK34" s="8">
        <v>0.73789292511535387</v>
      </c>
      <c r="AL34" s="12">
        <v>0.70993838131737497</v>
      </c>
      <c r="AM34" s="12">
        <v>0.73000908686396704</v>
      </c>
      <c r="AN34" s="12">
        <v>0.73789292511534899</v>
      </c>
      <c r="AO34" t="b">
        <f t="shared" si="9"/>
        <v>1</v>
      </c>
      <c r="AP34" t="b">
        <f t="shared" si="10"/>
        <v>1</v>
      </c>
      <c r="AQ34" t="b">
        <f t="shared" si="11"/>
        <v>1</v>
      </c>
      <c r="AS34" s="1">
        <f t="shared" si="37"/>
        <v>138</v>
      </c>
      <c r="AT34" s="8">
        <v>1.5042612820174036E-3</v>
      </c>
      <c r="AU34" s="8">
        <v>1.6600063989673755E-3</v>
      </c>
      <c r="AV34" s="8">
        <v>1.8735251096980911E-3</v>
      </c>
      <c r="AW34" s="12">
        <v>1.5042612820174101E-3</v>
      </c>
      <c r="AX34" s="12">
        <v>1.6600063989673599E-3</v>
      </c>
      <c r="AY34" s="12">
        <v>1.8735251096980801E-3</v>
      </c>
      <c r="AZ34" t="b">
        <f t="shared" si="12"/>
        <v>1</v>
      </c>
      <c r="BA34" t="b">
        <f t="shared" si="13"/>
        <v>1</v>
      </c>
      <c r="BB34" t="b">
        <f t="shared" si="14"/>
        <v>1</v>
      </c>
      <c r="BO34" s="11"/>
      <c r="BP34" s="2"/>
      <c r="BQ34" s="2"/>
      <c r="BR34" s="2"/>
      <c r="BS34" s="8"/>
      <c r="BT34" s="8"/>
      <c r="BU34" s="8"/>
    </row>
    <row r="35" spans="1:73" x14ac:dyDescent="0.25">
      <c r="A35" s="1">
        <f t="shared" si="33"/>
        <v>144</v>
      </c>
      <c r="B35" s="8">
        <v>0.28130694733148559</v>
      </c>
      <c r="C35" s="8">
        <v>0.26033027624168992</v>
      </c>
      <c r="D35" s="8">
        <v>0.25116412052000708</v>
      </c>
      <c r="E35" s="12">
        <v>0.28130694733148798</v>
      </c>
      <c r="F35" s="12">
        <v>0.26033027624168198</v>
      </c>
      <c r="G35" s="12">
        <v>0.25116412052001202</v>
      </c>
      <c r="H35" t="b">
        <f t="shared" si="0"/>
        <v>1</v>
      </c>
      <c r="I35" t="b">
        <f t="shared" si="1"/>
        <v>1</v>
      </c>
      <c r="J35" t="b">
        <f t="shared" si="2"/>
        <v>1</v>
      </c>
      <c r="L35" s="1">
        <f t="shared" si="34"/>
        <v>144</v>
      </c>
      <c r="M35" s="8">
        <v>1.2683088665588567</v>
      </c>
      <c r="N35" s="8">
        <v>1.3458041608691775</v>
      </c>
      <c r="O35" s="8">
        <v>1.381648686914414</v>
      </c>
      <c r="P35" s="12">
        <v>1.26830886655885</v>
      </c>
      <c r="Q35" s="12">
        <v>1.34580416086921</v>
      </c>
      <c r="R35" s="12">
        <v>1.3816486869144</v>
      </c>
      <c r="S35" t="b">
        <f t="shared" si="3"/>
        <v>1</v>
      </c>
      <c r="T35" t="b">
        <f t="shared" si="4"/>
        <v>1</v>
      </c>
      <c r="U35" t="b">
        <f t="shared" si="5"/>
        <v>1</v>
      </c>
      <c r="W35" s="1">
        <f t="shared" si="35"/>
        <v>144</v>
      </c>
      <c r="X35" s="8">
        <v>5.0312094354477734E-3</v>
      </c>
      <c r="Y35" s="8">
        <v>5.9988057524412329E-3</v>
      </c>
      <c r="Z35" s="8">
        <v>7.0682795009345371E-3</v>
      </c>
      <c r="AA35" s="12">
        <v>5.0312094354477404E-3</v>
      </c>
      <c r="AB35" s="12">
        <v>5.9988057524413604E-3</v>
      </c>
      <c r="AC35" s="12">
        <v>7.0682795009343697E-3</v>
      </c>
      <c r="AD35" t="b">
        <f t="shared" si="6"/>
        <v>1</v>
      </c>
      <c r="AE35" t="b">
        <f t="shared" si="7"/>
        <v>1</v>
      </c>
      <c r="AF35" t="b">
        <f t="shared" si="8"/>
        <v>1</v>
      </c>
      <c r="AH35" s="1">
        <f t="shared" si="36"/>
        <v>144</v>
      </c>
      <c r="AI35" s="8">
        <v>0.71869305266851446</v>
      </c>
      <c r="AJ35" s="8">
        <v>0.73966972375831008</v>
      </c>
      <c r="AK35" s="8">
        <v>0.74883587947999297</v>
      </c>
      <c r="AL35" s="12">
        <v>0.71869305266851202</v>
      </c>
      <c r="AM35" s="12">
        <v>0.73966972375831797</v>
      </c>
      <c r="AN35" s="12">
        <v>0.74883587947998798</v>
      </c>
      <c r="AO35" t="b">
        <f t="shared" si="9"/>
        <v>1</v>
      </c>
      <c r="AP35" t="b">
        <f t="shared" si="10"/>
        <v>1</v>
      </c>
      <c r="AQ35" t="b">
        <f t="shared" si="11"/>
        <v>1</v>
      </c>
      <c r="AS35" s="1">
        <f t="shared" si="37"/>
        <v>144</v>
      </c>
      <c r="AT35" s="8">
        <v>1.4153141676711801E-3</v>
      </c>
      <c r="AU35" s="8">
        <v>1.5616707586532646E-3</v>
      </c>
      <c r="AV35" s="8">
        <v>1.7752982044418177E-3</v>
      </c>
      <c r="AW35" s="12">
        <v>1.4153141676711801E-3</v>
      </c>
      <c r="AX35" s="12">
        <v>1.5616707586532501E-3</v>
      </c>
      <c r="AY35" s="12">
        <v>1.7752982044418101E-3</v>
      </c>
      <c r="AZ35" t="b">
        <f t="shared" si="12"/>
        <v>1</v>
      </c>
      <c r="BA35" t="b">
        <f t="shared" si="13"/>
        <v>1</v>
      </c>
      <c r="BB35" t="b">
        <f t="shared" si="14"/>
        <v>1</v>
      </c>
      <c r="BO35" s="11"/>
      <c r="BP35" s="2"/>
      <c r="BQ35" s="2"/>
      <c r="BR35" s="2"/>
      <c r="BS35" s="8"/>
      <c r="BT35" s="8"/>
      <c r="BU35" s="8"/>
    </row>
    <row r="36" spans="1:73" x14ac:dyDescent="0.25">
      <c r="A36" s="1">
        <f t="shared" si="33"/>
        <v>150</v>
      </c>
      <c r="B36" s="8">
        <v>0.27306257001382978</v>
      </c>
      <c r="C36" s="8">
        <v>0.2512342939952813</v>
      </c>
      <c r="D36" s="8">
        <v>0.24079009514712787</v>
      </c>
      <c r="E36" s="12">
        <v>0.273062570013832</v>
      </c>
      <c r="F36" s="12">
        <v>0.25123429399527297</v>
      </c>
      <c r="G36" s="12">
        <v>0.24079009514713201</v>
      </c>
      <c r="H36" t="b">
        <f t="shared" si="0"/>
        <v>1</v>
      </c>
      <c r="I36" t="b">
        <f t="shared" si="1"/>
        <v>1</v>
      </c>
      <c r="J36" t="b">
        <f t="shared" si="2"/>
        <v>1</v>
      </c>
      <c r="L36" s="1">
        <f t="shared" si="34"/>
        <v>150</v>
      </c>
      <c r="M36" s="8">
        <v>1.2980543158683004</v>
      </c>
      <c r="N36" s="8">
        <v>1.3813693330243413</v>
      </c>
      <c r="O36" s="8">
        <v>1.4238296995033948</v>
      </c>
      <c r="P36" s="12">
        <v>1.29805431586829</v>
      </c>
      <c r="Q36" s="12">
        <v>1.3813693330243699</v>
      </c>
      <c r="R36" s="12">
        <v>1.4238296995033799</v>
      </c>
      <c r="S36" t="b">
        <f t="shared" si="3"/>
        <v>1</v>
      </c>
      <c r="T36" t="b">
        <f t="shared" si="4"/>
        <v>1</v>
      </c>
      <c r="U36" t="b">
        <f t="shared" si="5"/>
        <v>1</v>
      </c>
      <c r="W36" s="1">
        <f t="shared" si="35"/>
        <v>150</v>
      </c>
      <c r="X36" s="8">
        <v>4.8853672168122928E-3</v>
      </c>
      <c r="Y36" s="8">
        <v>5.8575801442421211E-3</v>
      </c>
      <c r="Z36" s="8">
        <v>6.9927075661218602E-3</v>
      </c>
      <c r="AA36" s="12">
        <v>4.8853672168122702E-3</v>
      </c>
      <c r="AB36" s="12">
        <v>5.8575801442422503E-3</v>
      </c>
      <c r="AC36" s="12">
        <v>6.9927075661217102E-3</v>
      </c>
      <c r="AD36" t="b">
        <f t="shared" si="6"/>
        <v>1</v>
      </c>
      <c r="AE36" t="b">
        <f t="shared" si="7"/>
        <v>1</v>
      </c>
      <c r="AF36" t="b">
        <f t="shared" si="8"/>
        <v>1</v>
      </c>
      <c r="AH36" s="1">
        <f t="shared" si="36"/>
        <v>150</v>
      </c>
      <c r="AI36" s="8">
        <v>0.72693742998617017</v>
      </c>
      <c r="AJ36" s="8">
        <v>0.7487657060047187</v>
      </c>
      <c r="AK36" s="8">
        <v>0.7592099048528721</v>
      </c>
      <c r="AL36" s="12">
        <v>0.72693742998616795</v>
      </c>
      <c r="AM36" s="12">
        <v>0.74876570600472703</v>
      </c>
      <c r="AN36" s="12">
        <v>0.75920990485286799</v>
      </c>
      <c r="AO36" t="b">
        <f t="shared" si="9"/>
        <v>1</v>
      </c>
      <c r="AP36" t="b">
        <f t="shared" si="10"/>
        <v>1</v>
      </c>
      <c r="AQ36" t="b">
        <f t="shared" si="11"/>
        <v>1</v>
      </c>
      <c r="AS36" s="1">
        <f t="shared" si="37"/>
        <v>150</v>
      </c>
      <c r="AT36" s="8">
        <v>1.3340109276840754E-3</v>
      </c>
      <c r="AU36" s="8">
        <v>1.4716250120594473E-3</v>
      </c>
      <c r="AV36" s="8">
        <v>1.6837747201825237E-3</v>
      </c>
      <c r="AW36" s="12">
        <v>1.33401092768408E-3</v>
      </c>
      <c r="AX36" s="12">
        <v>1.4716250120594299E-3</v>
      </c>
      <c r="AY36" s="12">
        <v>1.68377472018252E-3</v>
      </c>
      <c r="AZ36" t="b">
        <f t="shared" si="12"/>
        <v>1</v>
      </c>
      <c r="BA36" t="b">
        <f t="shared" si="13"/>
        <v>1</v>
      </c>
      <c r="BB36" t="b">
        <f t="shared" si="14"/>
        <v>1</v>
      </c>
      <c r="BO36" s="1"/>
      <c r="BP36" s="8"/>
      <c r="BQ36" s="8"/>
      <c r="BR36" s="8"/>
      <c r="BS36" s="8"/>
      <c r="BT36" s="8"/>
      <c r="BU36" s="8"/>
    </row>
    <row r="37" spans="1:73" x14ac:dyDescent="0.25">
      <c r="A37" s="1">
        <f t="shared" si="33"/>
        <v>156</v>
      </c>
      <c r="B37" s="8">
        <v>0.26528523618486305</v>
      </c>
      <c r="C37" s="8">
        <v>0.24265602535600683</v>
      </c>
      <c r="D37" s="8">
        <v>0.23094663189932874</v>
      </c>
      <c r="E37" s="12">
        <v>0.26528523618486499</v>
      </c>
      <c r="F37" s="12">
        <v>0.24265602535599901</v>
      </c>
      <c r="G37" s="12">
        <v>0.23094663189933301</v>
      </c>
      <c r="H37" t="b">
        <f t="shared" si="0"/>
        <v>1</v>
      </c>
      <c r="I37" t="b">
        <f t="shared" si="1"/>
        <v>1</v>
      </c>
      <c r="J37" t="b">
        <f t="shared" si="2"/>
        <v>1</v>
      </c>
      <c r="L37" s="1">
        <f t="shared" si="34"/>
        <v>156</v>
      </c>
      <c r="M37" s="8">
        <v>1.3269496688974394</v>
      </c>
      <c r="N37" s="8">
        <v>1.4161103719699852</v>
      </c>
      <c r="O37" s="8">
        <v>1.4655686258908924</v>
      </c>
      <c r="P37" s="12">
        <v>1.32694966889743</v>
      </c>
      <c r="Q37" s="12">
        <v>1.4161103719700201</v>
      </c>
      <c r="R37" s="12">
        <v>1.46556862589087</v>
      </c>
      <c r="S37" t="b">
        <f t="shared" si="3"/>
        <v>1</v>
      </c>
      <c r="T37" t="b">
        <f t="shared" si="4"/>
        <v>1</v>
      </c>
      <c r="U37" t="b">
        <f t="shared" si="5"/>
        <v>1</v>
      </c>
      <c r="W37" s="1">
        <f t="shared" si="35"/>
        <v>156</v>
      </c>
      <c r="X37" s="8">
        <v>4.7477255961233117E-3</v>
      </c>
      <c r="Y37" s="8">
        <v>5.7239819679093884E-3</v>
      </c>
      <c r="Z37" s="8">
        <v>6.9208611914432583E-3</v>
      </c>
      <c r="AA37" s="12">
        <v>4.74772559612329E-3</v>
      </c>
      <c r="AB37" s="12">
        <v>5.7239819679095003E-3</v>
      </c>
      <c r="AC37" s="12">
        <v>6.92086119144311E-3</v>
      </c>
      <c r="AD37" t="b">
        <f t="shared" si="6"/>
        <v>1</v>
      </c>
      <c r="AE37" t="b">
        <f t="shared" si="7"/>
        <v>1</v>
      </c>
      <c r="AF37" t="b">
        <f t="shared" si="8"/>
        <v>1</v>
      </c>
      <c r="AH37" s="1">
        <f t="shared" si="36"/>
        <v>156</v>
      </c>
      <c r="AI37" s="8">
        <v>0.73471476381513701</v>
      </c>
      <c r="AJ37" s="8">
        <v>0.75734397464399317</v>
      </c>
      <c r="AK37" s="8">
        <v>0.76905336810067126</v>
      </c>
      <c r="AL37" s="12">
        <v>0.73471476381513501</v>
      </c>
      <c r="AM37" s="12">
        <v>0.75734397464400105</v>
      </c>
      <c r="AN37" s="12">
        <v>0.76905336810066705</v>
      </c>
      <c r="AO37" t="b">
        <f t="shared" si="9"/>
        <v>1</v>
      </c>
      <c r="AP37" t="b">
        <f t="shared" si="10"/>
        <v>1</v>
      </c>
      <c r="AQ37" t="b">
        <f t="shared" si="11"/>
        <v>1</v>
      </c>
      <c r="AS37" s="1">
        <f t="shared" si="37"/>
        <v>156</v>
      </c>
      <c r="AT37" s="8">
        <v>1.2595015061084925E-3</v>
      </c>
      <c r="AU37" s="8">
        <v>1.3889587135423466E-3</v>
      </c>
      <c r="AV37" s="8">
        <v>1.5983495820065959E-3</v>
      </c>
      <c r="AW37" s="12">
        <v>1.2595015061085001E-3</v>
      </c>
      <c r="AX37" s="12">
        <v>1.3889587135423301E-3</v>
      </c>
      <c r="AY37" s="12">
        <v>1.5983495820065901E-3</v>
      </c>
      <c r="AZ37" t="b">
        <f t="shared" si="12"/>
        <v>1</v>
      </c>
      <c r="BA37" t="b">
        <f t="shared" si="13"/>
        <v>1</v>
      </c>
      <c r="BB37" t="b">
        <f t="shared" si="14"/>
        <v>1</v>
      </c>
      <c r="BO37" s="1"/>
      <c r="BP37" s="8"/>
      <c r="BQ37" s="8"/>
      <c r="BR37" s="8"/>
      <c r="BS37" s="8"/>
      <c r="BT37" s="8"/>
      <c r="BU37" s="8"/>
    </row>
    <row r="38" spans="1:73" x14ac:dyDescent="0.25">
      <c r="A38" s="1">
        <f t="shared" si="33"/>
        <v>162</v>
      </c>
      <c r="B38" s="8">
        <v>0.25793644120515252</v>
      </c>
      <c r="C38" s="8">
        <v>0.23455361256637941</v>
      </c>
      <c r="D38" s="8">
        <v>0.22159877568582473</v>
      </c>
      <c r="E38" s="12">
        <v>0.25793644120515402</v>
      </c>
      <c r="F38" s="12">
        <v>0.234553612566372</v>
      </c>
      <c r="G38" s="12">
        <v>0.221598775685829</v>
      </c>
      <c r="H38" t="b">
        <f t="shared" si="0"/>
        <v>1</v>
      </c>
      <c r="I38" t="b">
        <f t="shared" si="1"/>
        <v>1</v>
      </c>
      <c r="J38" t="b">
        <f t="shared" si="2"/>
        <v>1</v>
      </c>
      <c r="L38" s="1">
        <f t="shared" si="34"/>
        <v>162</v>
      </c>
      <c r="M38" s="8">
        <v>1.3550420763281514</v>
      </c>
      <c r="N38" s="8">
        <v>1.450071092209976</v>
      </c>
      <c r="O38" s="8">
        <v>1.506886849007733</v>
      </c>
      <c r="P38" s="12">
        <v>1.3550420763281401</v>
      </c>
      <c r="Q38" s="12">
        <v>1.45007109221001</v>
      </c>
      <c r="R38" s="12">
        <v>1.5068868490077101</v>
      </c>
      <c r="S38" t="b">
        <f t="shared" si="3"/>
        <v>1</v>
      </c>
      <c r="T38" t="b">
        <f t="shared" si="4"/>
        <v>1</v>
      </c>
      <c r="U38" t="b">
        <f t="shared" si="5"/>
        <v>1</v>
      </c>
      <c r="W38" s="1">
        <f t="shared" si="35"/>
        <v>162</v>
      </c>
      <c r="X38" s="8">
        <v>4.6176129973065855E-3</v>
      </c>
      <c r="Y38" s="8">
        <v>5.5973739357738726E-3</v>
      </c>
      <c r="Z38" s="8">
        <v>6.8524236626032586E-3</v>
      </c>
      <c r="AA38" s="12">
        <v>4.6176129973065699E-3</v>
      </c>
      <c r="AB38" s="12">
        <v>5.5973739357739897E-3</v>
      </c>
      <c r="AC38" s="12">
        <v>6.8524236626031102E-3</v>
      </c>
      <c r="AD38" t="b">
        <f t="shared" si="6"/>
        <v>1</v>
      </c>
      <c r="AE38" t="b">
        <f t="shared" si="7"/>
        <v>1</v>
      </c>
      <c r="AF38" t="b">
        <f t="shared" si="8"/>
        <v>1</v>
      </c>
      <c r="AH38" s="1">
        <f t="shared" si="36"/>
        <v>162</v>
      </c>
      <c r="AI38" s="8">
        <v>0.74206355879484742</v>
      </c>
      <c r="AJ38" s="8">
        <v>0.76544638743362059</v>
      </c>
      <c r="AK38" s="8">
        <v>0.77840122431417524</v>
      </c>
      <c r="AL38" s="12">
        <v>0.74206355879484598</v>
      </c>
      <c r="AM38" s="12">
        <v>0.76544638743362803</v>
      </c>
      <c r="AN38" s="12">
        <v>0.77840122431417103</v>
      </c>
      <c r="AO38" t="b">
        <f t="shared" si="9"/>
        <v>1</v>
      </c>
      <c r="AP38" t="b">
        <f t="shared" si="10"/>
        <v>1</v>
      </c>
      <c r="AQ38" t="b">
        <f t="shared" si="11"/>
        <v>1</v>
      </c>
      <c r="AS38" s="1">
        <f t="shared" si="37"/>
        <v>162</v>
      </c>
      <c r="AT38" s="8">
        <v>1.1910506633879183E-3</v>
      </c>
      <c r="AU38" s="8">
        <v>1.3128842775206552E-3</v>
      </c>
      <c r="AV38" s="8">
        <v>1.5184886941134569E-3</v>
      </c>
      <c r="AW38" s="12">
        <v>1.19105066338792E-3</v>
      </c>
      <c r="AX38" s="12">
        <v>1.31288427752064E-3</v>
      </c>
      <c r="AY38" s="12">
        <v>1.51848869411346E-3</v>
      </c>
      <c r="AZ38" t="b">
        <f t="shared" si="12"/>
        <v>1</v>
      </c>
      <c r="BA38" t="b">
        <f t="shared" si="13"/>
        <v>1</v>
      </c>
      <c r="BB38" t="b">
        <f t="shared" si="14"/>
        <v>1</v>
      </c>
      <c r="BO38" s="1"/>
      <c r="BP38" s="8"/>
      <c r="BQ38" s="8"/>
      <c r="BR38" s="8"/>
      <c r="BS38" s="8"/>
      <c r="BT38" s="8"/>
      <c r="BU38" s="8"/>
    </row>
    <row r="39" spans="1:73" x14ac:dyDescent="0.25">
      <c r="A39" s="1">
        <f t="shared" si="33"/>
        <v>168</v>
      </c>
      <c r="B39" s="8">
        <v>0.25098179354769229</v>
      </c>
      <c r="C39" s="8">
        <v>0.22688960467059827</v>
      </c>
      <c r="D39" s="8">
        <v>0.21271458958273981</v>
      </c>
      <c r="E39" s="12">
        <v>0.25098179354769401</v>
      </c>
      <c r="F39" s="12">
        <v>0.22688960467058999</v>
      </c>
      <c r="G39" s="12">
        <v>0.212714589582744</v>
      </c>
      <c r="H39" t="b">
        <f t="shared" si="0"/>
        <v>1</v>
      </c>
      <c r="I39" t="b">
        <f t="shared" si="1"/>
        <v>1</v>
      </c>
      <c r="J39" t="b">
        <f t="shared" si="2"/>
        <v>1</v>
      </c>
      <c r="L39" s="1">
        <f t="shared" si="34"/>
        <v>168</v>
      </c>
      <c r="M39" s="8">
        <v>1.3823748781477565</v>
      </c>
      <c r="N39" s="8">
        <v>1.4832917028311488</v>
      </c>
      <c r="O39" s="8">
        <v>1.547803966825799</v>
      </c>
      <c r="P39" s="12">
        <v>1.3823748781477501</v>
      </c>
      <c r="Q39" s="12">
        <v>1.4832917028311801</v>
      </c>
      <c r="R39" s="12">
        <v>1.5478039668257799</v>
      </c>
      <c r="S39" t="b">
        <f t="shared" si="3"/>
        <v>1</v>
      </c>
      <c r="T39" t="b">
        <f t="shared" si="4"/>
        <v>1</v>
      </c>
      <c r="U39" t="b">
        <f t="shared" si="5"/>
        <v>1</v>
      </c>
      <c r="W39" s="1">
        <f t="shared" si="35"/>
        <v>168</v>
      </c>
      <c r="X39" s="8">
        <v>4.4944291032959979E-3</v>
      </c>
      <c r="Y39" s="8">
        <v>5.4771897546878751E-3</v>
      </c>
      <c r="Z39" s="8">
        <v>6.7871156831662014E-3</v>
      </c>
      <c r="AA39" s="12">
        <v>4.4944291032959797E-3</v>
      </c>
      <c r="AB39" s="12">
        <v>5.4771897546879904E-3</v>
      </c>
      <c r="AC39" s="12">
        <v>6.7871156831660496E-3</v>
      </c>
      <c r="AD39" t="b">
        <f t="shared" si="6"/>
        <v>1</v>
      </c>
      <c r="AE39" t="b">
        <f t="shared" si="7"/>
        <v>1</v>
      </c>
      <c r="AF39" t="b">
        <f t="shared" si="8"/>
        <v>1</v>
      </c>
      <c r="AH39" s="1">
        <f t="shared" si="36"/>
        <v>168</v>
      </c>
      <c r="AI39" s="8">
        <v>0.74901820645230766</v>
      </c>
      <c r="AJ39" s="8">
        <v>0.77311039532940173</v>
      </c>
      <c r="AK39" s="8">
        <v>0.78728541041726019</v>
      </c>
      <c r="AL39" s="12">
        <v>0.74901820645230599</v>
      </c>
      <c r="AM39" s="12">
        <v>0.77311039532940995</v>
      </c>
      <c r="AN39" s="12">
        <v>0.78728541041725597</v>
      </c>
      <c r="AO39" t="b">
        <f t="shared" si="9"/>
        <v>1</v>
      </c>
      <c r="AP39" t="b">
        <f t="shared" si="10"/>
        <v>1</v>
      </c>
      <c r="AQ39" t="b">
        <f t="shared" si="11"/>
        <v>1</v>
      </c>
      <c r="AS39" s="1">
        <f t="shared" si="37"/>
        <v>168</v>
      </c>
      <c r="AT39" s="8">
        <v>1.1280198773181759E-3</v>
      </c>
      <c r="AU39" s="8">
        <v>1.2427174181469831E-3</v>
      </c>
      <c r="AV39" s="8">
        <v>1.4437185269952752E-3</v>
      </c>
      <c r="AW39" s="12">
        <v>1.12801987731818E-3</v>
      </c>
      <c r="AX39" s="12">
        <v>1.2427174181469699E-3</v>
      </c>
      <c r="AY39" s="12">
        <v>1.44371852699527E-3</v>
      </c>
      <c r="AZ39" t="b">
        <f t="shared" si="12"/>
        <v>1</v>
      </c>
      <c r="BA39" t="b">
        <f t="shared" si="13"/>
        <v>1</v>
      </c>
      <c r="BB39" t="b">
        <f t="shared" si="14"/>
        <v>1</v>
      </c>
      <c r="BO39" s="1"/>
      <c r="BP39" s="8"/>
      <c r="BQ39" s="8"/>
      <c r="BR39" s="8"/>
      <c r="BS39" s="8"/>
      <c r="BT39" s="8"/>
      <c r="BU39" s="8"/>
    </row>
    <row r="40" spans="1:73" x14ac:dyDescent="0.25">
      <c r="A40" s="1">
        <f t="shared" si="33"/>
        <v>174</v>
      </c>
      <c r="B40" s="8">
        <v>0.24439048051534834</v>
      </c>
      <c r="C40" s="8">
        <v>0.2196303872786588</v>
      </c>
      <c r="D40" s="8">
        <v>0.20426481798726873</v>
      </c>
      <c r="E40" s="12">
        <v>0.24439048051535001</v>
      </c>
      <c r="F40" s="12">
        <v>0.219630387278651</v>
      </c>
      <c r="G40" s="12">
        <v>0.204264817987273</v>
      </c>
      <c r="H40" t="b">
        <f t="shared" si="0"/>
        <v>1</v>
      </c>
      <c r="I40" t="b">
        <f t="shared" si="1"/>
        <v>1</v>
      </c>
      <c r="J40" t="b">
        <f t="shared" si="2"/>
        <v>1</v>
      </c>
      <c r="L40" s="1">
        <f t="shared" si="34"/>
        <v>174</v>
      </c>
      <c r="M40" s="8">
        <v>1.4089880028714827</v>
      </c>
      <c r="N40" s="8">
        <v>1.5158092033339019</v>
      </c>
      <c r="O40" s="8">
        <v>1.588337999588243</v>
      </c>
      <c r="P40" s="12">
        <v>1.4089880028714801</v>
      </c>
      <c r="Q40" s="12">
        <v>1.5158092033339401</v>
      </c>
      <c r="R40" s="12">
        <v>1.5883379995882201</v>
      </c>
      <c r="S40" t="b">
        <f t="shared" si="3"/>
        <v>1</v>
      </c>
      <c r="T40" t="b">
        <f t="shared" si="4"/>
        <v>1</v>
      </c>
      <c r="U40" t="b">
        <f t="shared" si="5"/>
        <v>1</v>
      </c>
      <c r="W40" s="1">
        <f t="shared" si="35"/>
        <v>174</v>
      </c>
      <c r="X40" s="8">
        <v>4.3776356653720911E-3</v>
      </c>
      <c r="Y40" s="8">
        <v>5.3629243710525921E-3</v>
      </c>
      <c r="Z40" s="8">
        <v>6.7246898005703555E-3</v>
      </c>
      <c r="AA40" s="12">
        <v>4.3776356653720703E-3</v>
      </c>
      <c r="AB40" s="12">
        <v>5.3629243710526997E-3</v>
      </c>
      <c r="AC40" s="12">
        <v>6.7246898005702098E-3</v>
      </c>
      <c r="AD40" t="b">
        <f t="shared" si="6"/>
        <v>1</v>
      </c>
      <c r="AE40" t="b">
        <f t="shared" si="7"/>
        <v>1</v>
      </c>
      <c r="AF40" t="b">
        <f t="shared" si="8"/>
        <v>1</v>
      </c>
      <c r="AH40" s="1">
        <f t="shared" si="36"/>
        <v>174</v>
      </c>
      <c r="AI40" s="8">
        <v>0.75560951948465171</v>
      </c>
      <c r="AJ40" s="8">
        <v>0.7803696127213412</v>
      </c>
      <c r="AK40" s="8">
        <v>0.7957351820127313</v>
      </c>
      <c r="AL40" s="12">
        <v>0.75560951948465005</v>
      </c>
      <c r="AM40" s="12">
        <v>0.78036961272134897</v>
      </c>
      <c r="AN40" s="12">
        <v>0.79573518201272697</v>
      </c>
      <c r="AO40" t="b">
        <f t="shared" si="9"/>
        <v>1</v>
      </c>
      <c r="AP40" t="b">
        <f t="shared" si="10"/>
        <v>1</v>
      </c>
      <c r="AQ40" t="b">
        <f t="shared" si="11"/>
        <v>1</v>
      </c>
      <c r="AS40" s="1">
        <f t="shared" si="37"/>
        <v>174</v>
      </c>
      <c r="AT40" s="8">
        <v>1.0698524837814121E-3</v>
      </c>
      <c r="AU40" s="8">
        <v>1.1778611565604385E-3</v>
      </c>
      <c r="AV40" s="8">
        <v>1.373617538134346E-3</v>
      </c>
      <c r="AW40" s="12">
        <v>1.0698524837814099E-3</v>
      </c>
      <c r="AX40" s="12">
        <v>1.1778611565604199E-3</v>
      </c>
      <c r="AY40" s="12">
        <v>1.37361753813435E-3</v>
      </c>
      <c r="AZ40" t="b">
        <f t="shared" si="12"/>
        <v>1</v>
      </c>
      <c r="BA40" t="b">
        <f t="shared" si="13"/>
        <v>1</v>
      </c>
      <c r="BB40" t="b">
        <f t="shared" si="14"/>
        <v>1</v>
      </c>
      <c r="BO40" s="1"/>
      <c r="BP40" s="8"/>
      <c r="BQ40" s="8"/>
      <c r="BR40" s="8"/>
      <c r="BS40" s="8"/>
      <c r="BT40" s="8"/>
      <c r="BU40" s="8"/>
    </row>
    <row r="41" spans="1:73" x14ac:dyDescent="0.25">
      <c r="A41" s="1">
        <f t="shared" si="33"/>
        <v>180</v>
      </c>
      <c r="B41" s="8">
        <v>0.23813481504725836</v>
      </c>
      <c r="C41" s="8">
        <v>0.21274569945234922</v>
      </c>
      <c r="D41" s="8">
        <v>0.19622259670714082</v>
      </c>
      <c r="E41" s="12">
        <v>0.23813481504726</v>
      </c>
      <c r="F41" s="12">
        <v>0.21274569945234201</v>
      </c>
      <c r="G41" s="12">
        <v>0.19622259670714501</v>
      </c>
      <c r="H41" t="b">
        <f t="shared" si="0"/>
        <v>1</v>
      </c>
      <c r="I41" t="b">
        <f t="shared" si="1"/>
        <v>1</v>
      </c>
      <c r="J41" t="b">
        <f t="shared" si="2"/>
        <v>1</v>
      </c>
      <c r="L41" s="1">
        <f t="shared" si="34"/>
        <v>180</v>
      </c>
      <c r="M41" s="8">
        <v>1.4349183159043826</v>
      </c>
      <c r="N41" s="8">
        <v>1.5476577258229764</v>
      </c>
      <c r="O41" s="8">
        <v>1.6285055666827346</v>
      </c>
      <c r="P41" s="12">
        <v>1.4349183159043699</v>
      </c>
      <c r="Q41" s="12">
        <v>1.54765772582301</v>
      </c>
      <c r="R41" s="12">
        <v>1.62850556668271</v>
      </c>
      <c r="S41" t="b">
        <f t="shared" si="3"/>
        <v>1</v>
      </c>
      <c r="T41" t="b">
        <f t="shared" si="4"/>
        <v>1</v>
      </c>
      <c r="U41" t="b">
        <f t="shared" si="5"/>
        <v>1</v>
      </c>
      <c r="W41" s="1">
        <f t="shared" si="35"/>
        <v>180</v>
      </c>
      <c r="X41" s="8">
        <v>4.2667486965024017E-3</v>
      </c>
      <c r="Y41" s="8">
        <v>5.2541257917754283E-3</v>
      </c>
      <c r="Z41" s="8">
        <v>6.6649258226982979E-3</v>
      </c>
      <c r="AA41" s="12">
        <v>4.26674869650238E-3</v>
      </c>
      <c r="AB41" s="12">
        <v>5.2541257917755402E-3</v>
      </c>
      <c r="AC41" s="12">
        <v>6.66492582269816E-3</v>
      </c>
      <c r="AD41" t="b">
        <f t="shared" si="6"/>
        <v>1</v>
      </c>
      <c r="AE41" t="b">
        <f t="shared" si="7"/>
        <v>1</v>
      </c>
      <c r="AF41" t="b">
        <f t="shared" si="8"/>
        <v>1</v>
      </c>
      <c r="AH41" s="1">
        <f t="shared" si="36"/>
        <v>180</v>
      </c>
      <c r="AI41" s="8">
        <v>0.76186518495274158</v>
      </c>
      <c r="AJ41" s="8">
        <v>0.78725430054765078</v>
      </c>
      <c r="AK41" s="8">
        <v>0.80377740329285918</v>
      </c>
      <c r="AL41" s="12">
        <v>0.76186518495274003</v>
      </c>
      <c r="AM41" s="12">
        <v>0.78725430054765799</v>
      </c>
      <c r="AN41" s="12">
        <v>0.80377740329285496</v>
      </c>
      <c r="AO41" t="b">
        <f t="shared" si="9"/>
        <v>1</v>
      </c>
      <c r="AP41" t="b">
        <f t="shared" si="10"/>
        <v>1</v>
      </c>
      <c r="AQ41" t="b">
        <f t="shared" si="11"/>
        <v>1</v>
      </c>
      <c r="AS41" s="1">
        <f t="shared" si="37"/>
        <v>180</v>
      </c>
      <c r="AT41" s="8">
        <v>1.0160614116947301E-3</v>
      </c>
      <c r="AU41" s="8">
        <v>1.1177926665818917E-3</v>
      </c>
      <c r="AV41" s="8">
        <v>1.3078090517903368E-3</v>
      </c>
      <c r="AW41" s="12">
        <v>1.0160614116947299E-3</v>
      </c>
      <c r="AX41" s="12">
        <v>1.11779266658188E-3</v>
      </c>
      <c r="AY41" s="12">
        <v>1.3078090517903401E-3</v>
      </c>
      <c r="AZ41" t="b">
        <f t="shared" si="12"/>
        <v>1</v>
      </c>
      <c r="BA41" t="b">
        <f t="shared" si="13"/>
        <v>1</v>
      </c>
      <c r="BB41" t="b">
        <f t="shared" si="14"/>
        <v>1</v>
      </c>
      <c r="BO41" s="1"/>
      <c r="BP41" s="8"/>
      <c r="BQ41" s="8"/>
      <c r="BR41" s="8"/>
      <c r="BS41" s="8"/>
      <c r="BT41" s="8"/>
      <c r="BU41" s="8"/>
    </row>
    <row r="42" spans="1:73" x14ac:dyDescent="0.25">
      <c r="A42" s="1">
        <f t="shared" si="33"/>
        <v>186</v>
      </c>
      <c r="B42" s="8">
        <v>0.23218984962371905</v>
      </c>
      <c r="C42" s="8">
        <v>0.2062082224483377</v>
      </c>
      <c r="D42" s="8">
        <v>0.18856320213198588</v>
      </c>
      <c r="E42" s="12">
        <v>0.232189849623721</v>
      </c>
      <c r="F42" s="12">
        <v>0.20620822244833001</v>
      </c>
      <c r="G42" s="12">
        <v>0.18856320213198999</v>
      </c>
      <c r="H42" t="b">
        <f t="shared" si="0"/>
        <v>1</v>
      </c>
      <c r="I42" t="b">
        <f t="shared" si="1"/>
        <v>1</v>
      </c>
      <c r="J42" t="b">
        <f t="shared" si="2"/>
        <v>1</v>
      </c>
      <c r="L42" s="1">
        <f t="shared" si="34"/>
        <v>186</v>
      </c>
      <c r="M42" s="8">
        <v>1.4601999246112998</v>
      </c>
      <c r="N42" s="8">
        <v>1.5788688321111954</v>
      </c>
      <c r="O42" s="8">
        <v>1.6683220384662849</v>
      </c>
      <c r="P42" s="12">
        <v>1.46019992461129</v>
      </c>
      <c r="Q42" s="12">
        <v>1.5788688321112301</v>
      </c>
      <c r="R42" s="12">
        <v>1.66832203846626</v>
      </c>
      <c r="S42" t="b">
        <f t="shared" si="3"/>
        <v>1</v>
      </c>
      <c r="T42" t="b">
        <f t="shared" si="4"/>
        <v>1</v>
      </c>
      <c r="U42" t="b">
        <f t="shared" si="5"/>
        <v>1</v>
      </c>
      <c r="W42" s="1">
        <f t="shared" si="35"/>
        <v>186</v>
      </c>
      <c r="X42" s="8">
        <v>4.161331811991827E-3</v>
      </c>
      <c r="Y42" s="8">
        <v>5.1503881914040164E-3</v>
      </c>
      <c r="Z42" s="8">
        <v>6.6076270223549716E-3</v>
      </c>
      <c r="AA42" s="12">
        <v>4.1613318119918096E-3</v>
      </c>
      <c r="AB42" s="12">
        <v>5.1503881914041197E-3</v>
      </c>
      <c r="AC42" s="12">
        <v>6.6076270223548198E-3</v>
      </c>
      <c r="AD42" t="b">
        <f t="shared" si="6"/>
        <v>1</v>
      </c>
      <c r="AE42" t="b">
        <f t="shared" si="7"/>
        <v>1</v>
      </c>
      <c r="AF42" t="b">
        <f t="shared" si="8"/>
        <v>1</v>
      </c>
      <c r="AH42" s="1">
        <f t="shared" si="36"/>
        <v>186</v>
      </c>
      <c r="AI42" s="8">
        <v>0.76781015037628098</v>
      </c>
      <c r="AJ42" s="8">
        <v>0.7937917775516623</v>
      </c>
      <c r="AK42" s="8">
        <v>0.81143679786801415</v>
      </c>
      <c r="AL42" s="12">
        <v>0.76781015037627898</v>
      </c>
      <c r="AM42" s="12">
        <v>0.79379177755166996</v>
      </c>
      <c r="AN42" s="12">
        <v>0.81143679786801004</v>
      </c>
      <c r="AO42" t="b">
        <f t="shared" si="9"/>
        <v>1</v>
      </c>
      <c r="AP42" t="b">
        <f t="shared" si="10"/>
        <v>1</v>
      </c>
      <c r="AQ42" t="b">
        <f t="shared" si="11"/>
        <v>1</v>
      </c>
      <c r="AS42" s="1">
        <f t="shared" si="37"/>
        <v>186</v>
      </c>
      <c r="AT42" s="8">
        <v>9.6621900766078058E-4</v>
      </c>
      <c r="AU42" s="8">
        <v>1.0620523938683311E-3</v>
      </c>
      <c r="AV42" s="8">
        <v>1.2459553098290925E-3</v>
      </c>
      <c r="AW42" s="12">
        <v>9.6621900766078405E-4</v>
      </c>
      <c r="AX42" s="12">
        <v>1.0620523938683101E-3</v>
      </c>
      <c r="AY42" s="12">
        <v>1.2459553098290901E-3</v>
      </c>
      <c r="AZ42" t="b">
        <f t="shared" si="12"/>
        <v>1</v>
      </c>
      <c r="BA42" t="b">
        <f t="shared" si="13"/>
        <v>1</v>
      </c>
      <c r="BB42" t="b">
        <f t="shared" si="14"/>
        <v>1</v>
      </c>
      <c r="BO42" s="1"/>
      <c r="BP42" s="8"/>
      <c r="BQ42" s="8"/>
      <c r="BR42" s="8"/>
      <c r="BS42" s="8"/>
      <c r="BT42" s="8"/>
      <c r="BU42" s="8"/>
    </row>
    <row r="43" spans="1:73" x14ac:dyDescent="0.25">
      <c r="A43" s="1">
        <f t="shared" si="33"/>
        <v>192</v>
      </c>
      <c r="B43" s="8">
        <v>0.22653304596885754</v>
      </c>
      <c r="C43" s="8">
        <v>0.19999322805434516</v>
      </c>
      <c r="D43" s="8">
        <v>0.1812638331592836</v>
      </c>
      <c r="E43" s="12">
        <v>0.22653304596885901</v>
      </c>
      <c r="F43" s="12">
        <v>0.199993228054338</v>
      </c>
      <c r="G43" s="12">
        <v>0.18126383315928801</v>
      </c>
      <c r="H43" t="b">
        <f t="shared" si="0"/>
        <v>1</v>
      </c>
      <c r="I43" t="b">
        <f t="shared" si="1"/>
        <v>1</v>
      </c>
      <c r="J43" t="b">
        <f t="shared" si="2"/>
        <v>1</v>
      </c>
      <c r="L43" s="1">
        <f t="shared" si="34"/>
        <v>192</v>
      </c>
      <c r="M43" s="8">
        <v>1.4848644463839209</v>
      </c>
      <c r="N43" s="8">
        <v>1.609471772735628</v>
      </c>
      <c r="O43" s="8">
        <v>1.7078016672808369</v>
      </c>
      <c r="P43" s="12">
        <v>1.48486444638391</v>
      </c>
      <c r="Q43" s="12">
        <v>1.60947177273567</v>
      </c>
      <c r="R43" s="12">
        <v>1.7078016672808101</v>
      </c>
      <c r="S43" t="b">
        <f t="shared" si="3"/>
        <v>1</v>
      </c>
      <c r="T43" t="b">
        <f t="shared" si="4"/>
        <v>1</v>
      </c>
      <c r="U43" t="b">
        <f t="shared" si="5"/>
        <v>1</v>
      </c>
      <c r="W43" s="1">
        <f t="shared" si="35"/>
        <v>192</v>
      </c>
      <c r="X43" s="8">
        <v>4.0609905258017819E-3</v>
      </c>
      <c r="Y43" s="8">
        <v>5.0513460748939018E-3</v>
      </c>
      <c r="Z43" s="8">
        <v>6.5526169735635733E-3</v>
      </c>
      <c r="AA43" s="12">
        <v>4.0609905258017602E-3</v>
      </c>
      <c r="AB43" s="12">
        <v>5.0513460748940102E-3</v>
      </c>
      <c r="AC43" s="12">
        <v>6.5526169735634302E-3</v>
      </c>
      <c r="AD43" t="b">
        <f t="shared" si="6"/>
        <v>1</v>
      </c>
      <c r="AE43" t="b">
        <f t="shared" si="7"/>
        <v>1</v>
      </c>
      <c r="AF43" t="b">
        <f t="shared" si="8"/>
        <v>1</v>
      </c>
      <c r="AH43" s="1">
        <f t="shared" si="36"/>
        <v>192</v>
      </c>
      <c r="AI43" s="8">
        <v>0.77346695403114252</v>
      </c>
      <c r="AJ43" s="8">
        <v>0.80000677194565484</v>
      </c>
      <c r="AK43" s="8">
        <v>0.81873616684071637</v>
      </c>
      <c r="AL43" s="12">
        <v>0.77346695403114096</v>
      </c>
      <c r="AM43" s="12">
        <v>0.80000677194566205</v>
      </c>
      <c r="AN43" s="12">
        <v>0.81873616684071204</v>
      </c>
      <c r="AO43" t="b">
        <f t="shared" si="9"/>
        <v>1</v>
      </c>
      <c r="AP43" t="b">
        <f t="shared" si="10"/>
        <v>1</v>
      </c>
      <c r="AQ43" t="b">
        <f t="shared" si="11"/>
        <v>1</v>
      </c>
      <c r="AS43" s="1">
        <f t="shared" si="37"/>
        <v>192</v>
      </c>
      <c r="AT43" s="8">
        <v>9.1994855346055004E-4</v>
      </c>
      <c r="AU43" s="8">
        <v>1.0102350075376775E-3</v>
      </c>
      <c r="AV43" s="8">
        <v>1.1877524698527173E-3</v>
      </c>
      <c r="AW43" s="12">
        <v>9.1994855346055296E-4</v>
      </c>
      <c r="AX43" s="12">
        <v>1.0102350075376599E-3</v>
      </c>
      <c r="AY43" s="12">
        <v>1.1877524698527199E-3</v>
      </c>
      <c r="AZ43" t="b">
        <f t="shared" si="12"/>
        <v>1</v>
      </c>
      <c r="BA43" t="b">
        <f t="shared" si="13"/>
        <v>1</v>
      </c>
      <c r="BB43" t="b">
        <f t="shared" si="14"/>
        <v>1</v>
      </c>
      <c r="BO43" s="1"/>
      <c r="BP43" s="8"/>
      <c r="BQ43" s="8"/>
      <c r="BR43" s="8"/>
      <c r="BS43" s="8"/>
      <c r="BT43" s="8"/>
      <c r="BU43" s="8"/>
    </row>
    <row r="44" spans="1:73" x14ac:dyDescent="0.25">
      <c r="A44" s="1">
        <f t="shared" si="33"/>
        <v>198</v>
      </c>
      <c r="B44" s="8">
        <v>0.22114399137259311</v>
      </c>
      <c r="C44" s="8">
        <v>0.1940782766044723</v>
      </c>
      <c r="D44" s="8">
        <v>0.17430342073810492</v>
      </c>
      <c r="E44" s="12">
        <v>0.22114399137259499</v>
      </c>
      <c r="F44" s="12">
        <v>0.194078276604465</v>
      </c>
      <c r="G44" s="12">
        <v>0.17430342073810901</v>
      </c>
      <c r="H44" t="b">
        <f t="shared" si="0"/>
        <v>1</v>
      </c>
      <c r="I44" t="b">
        <f t="shared" si="1"/>
        <v>1</v>
      </c>
      <c r="J44" t="b">
        <f t="shared" si="2"/>
        <v>1</v>
      </c>
      <c r="L44" s="1">
        <f t="shared" si="34"/>
        <v>198</v>
      </c>
      <c r="M44" s="8">
        <v>1.5089412449550965</v>
      </c>
      <c r="N44" s="8">
        <v>1.6394937136461429</v>
      </c>
      <c r="O44" s="8">
        <v>1.7469577010715469</v>
      </c>
      <c r="P44" s="12">
        <v>1.5089412449550901</v>
      </c>
      <c r="Q44" s="12">
        <v>1.63949371364618</v>
      </c>
      <c r="R44" s="12">
        <v>1.74695770107152</v>
      </c>
      <c r="S44" t="b">
        <f t="shared" si="3"/>
        <v>1</v>
      </c>
      <c r="T44" t="b">
        <f t="shared" si="4"/>
        <v>1</v>
      </c>
      <c r="U44" t="b">
        <f t="shared" si="5"/>
        <v>1</v>
      </c>
      <c r="W44" s="1">
        <f t="shared" si="35"/>
        <v>198</v>
      </c>
      <c r="X44" s="8">
        <v>3.9653673465508193E-3</v>
      </c>
      <c r="Y44" s="8">
        <v>4.9566693114740362E-3</v>
      </c>
      <c r="Z44" s="8">
        <v>6.4997368983520385E-3</v>
      </c>
      <c r="AA44" s="12">
        <v>3.9653673465508002E-3</v>
      </c>
      <c r="AB44" s="12">
        <v>4.9566693114741402E-3</v>
      </c>
      <c r="AC44" s="12">
        <v>6.4997368983518902E-3</v>
      </c>
      <c r="AD44" t="b">
        <f t="shared" si="6"/>
        <v>1</v>
      </c>
      <c r="AE44" t="b">
        <f t="shared" si="7"/>
        <v>1</v>
      </c>
      <c r="AF44" t="b">
        <f t="shared" si="8"/>
        <v>1</v>
      </c>
      <c r="AH44" s="1">
        <f t="shared" si="36"/>
        <v>198</v>
      </c>
      <c r="AI44" s="8">
        <v>0.77885600862740689</v>
      </c>
      <c r="AJ44" s="8">
        <v>0.8059217233955277</v>
      </c>
      <c r="AK44" s="8">
        <v>0.8256965792618951</v>
      </c>
      <c r="AL44" s="12">
        <v>0.77885600862740501</v>
      </c>
      <c r="AM44" s="12">
        <v>0.80592172339553503</v>
      </c>
      <c r="AN44" s="12">
        <v>0.82569657926189099</v>
      </c>
      <c r="AO44" t="b">
        <f t="shared" si="9"/>
        <v>1</v>
      </c>
      <c r="AP44" t="b">
        <f t="shared" si="10"/>
        <v>1</v>
      </c>
      <c r="AQ44" t="b">
        <f t="shared" si="11"/>
        <v>1</v>
      </c>
      <c r="AS44" s="1">
        <f t="shared" si="37"/>
        <v>198</v>
      </c>
      <c r="AT44" s="8">
        <v>8.7691716227479685E-4</v>
      </c>
      <c r="AU44" s="8">
        <v>9.6198183766915723E-4</v>
      </c>
      <c r="AV44" s="8">
        <v>1.1329263752804404E-3</v>
      </c>
      <c r="AW44" s="12">
        <v>8.769171622748E-4</v>
      </c>
      <c r="AX44" s="12">
        <v>9.6198183766913999E-4</v>
      </c>
      <c r="AY44" s="12">
        <v>1.13292637528044E-3</v>
      </c>
      <c r="AZ44" t="b">
        <f t="shared" si="12"/>
        <v>1</v>
      </c>
      <c r="BA44" t="b">
        <f t="shared" si="13"/>
        <v>1</v>
      </c>
      <c r="BB44" t="b">
        <f t="shared" si="14"/>
        <v>1</v>
      </c>
      <c r="BO44" s="1"/>
      <c r="BP44" s="8"/>
      <c r="BQ44" s="8"/>
      <c r="BR44" s="8"/>
      <c r="BS44" s="8"/>
      <c r="BT44" s="8"/>
      <c r="BU44" s="8"/>
    </row>
    <row r="45" spans="1:73" x14ac:dyDescent="0.25">
      <c r="A45" s="1">
        <f t="shared" si="33"/>
        <v>204</v>
      </c>
      <c r="B45" s="8">
        <v>0.21600415413789162</v>
      </c>
      <c r="C45" s="8">
        <v>0.18844295661268196</v>
      </c>
      <c r="D45" s="8">
        <v>0.16766246083068065</v>
      </c>
      <c r="E45" s="12">
        <v>0.21600415413789301</v>
      </c>
      <c r="F45" s="12">
        <v>0.18844295661267499</v>
      </c>
      <c r="G45" s="12">
        <v>0.16766246083068501</v>
      </c>
      <c r="H45" t="b">
        <f t="shared" si="0"/>
        <v>1</v>
      </c>
      <c r="I45" t="b">
        <f t="shared" si="1"/>
        <v>1</v>
      </c>
      <c r="J45" t="b">
        <f t="shared" si="2"/>
        <v>1</v>
      </c>
      <c r="L45" s="1">
        <f t="shared" si="34"/>
        <v>204</v>
      </c>
      <c r="M45" s="8">
        <v>1.5324576393630382</v>
      </c>
      <c r="N45" s="8">
        <v>1.6689599353313216</v>
      </c>
      <c r="O45" s="8">
        <v>1.785802482373992</v>
      </c>
      <c r="P45" s="12">
        <v>1.53245763936303</v>
      </c>
      <c r="Q45" s="12">
        <v>1.66895993533136</v>
      </c>
      <c r="R45" s="12">
        <v>1.78580248237397</v>
      </c>
      <c r="S45" t="b">
        <f t="shared" si="3"/>
        <v>1</v>
      </c>
      <c r="T45" t="b">
        <f t="shared" si="4"/>
        <v>1</v>
      </c>
      <c r="U45" t="b">
        <f t="shared" si="5"/>
        <v>1</v>
      </c>
      <c r="W45" s="1">
        <f t="shared" si="35"/>
        <v>204</v>
      </c>
      <c r="X45" s="8">
        <v>3.8741375455881378E-3</v>
      </c>
      <c r="Y45" s="8">
        <v>4.8660588910428735E-3</v>
      </c>
      <c r="Z45" s="8">
        <v>6.4488434289181979E-3</v>
      </c>
      <c r="AA45" s="12">
        <v>3.87413754558812E-3</v>
      </c>
      <c r="AB45" s="12">
        <v>4.8660588910429698E-3</v>
      </c>
      <c r="AC45" s="12">
        <v>6.4488434289180496E-3</v>
      </c>
      <c r="AD45" t="b">
        <f t="shared" si="6"/>
        <v>1</v>
      </c>
      <c r="AE45" t="b">
        <f t="shared" si="7"/>
        <v>1</v>
      </c>
      <c r="AF45" t="b">
        <f t="shared" si="8"/>
        <v>1</v>
      </c>
      <c r="AH45" s="1">
        <f t="shared" si="36"/>
        <v>204</v>
      </c>
      <c r="AI45" s="8">
        <v>0.78399584586210835</v>
      </c>
      <c r="AJ45" s="8">
        <v>0.81155704338731804</v>
      </c>
      <c r="AK45" s="8">
        <v>0.8323375391693193</v>
      </c>
      <c r="AL45" s="12">
        <v>0.78399584586210702</v>
      </c>
      <c r="AM45" s="12">
        <v>0.81155704338732504</v>
      </c>
      <c r="AN45" s="12">
        <v>0.83233753916931497</v>
      </c>
      <c r="AO45" t="b">
        <f t="shared" si="9"/>
        <v>1</v>
      </c>
      <c r="AP45" t="b">
        <f t="shared" si="10"/>
        <v>1</v>
      </c>
      <c r="AQ45" t="b">
        <f t="shared" si="11"/>
        <v>1</v>
      </c>
      <c r="AS45" s="1">
        <f t="shared" si="37"/>
        <v>204</v>
      </c>
      <c r="AT45" s="8">
        <v>8.3682980354861326E-4</v>
      </c>
      <c r="AU45" s="8">
        <v>9.1697452447954745E-4</v>
      </c>
      <c r="AV45" s="8">
        <v>1.0812289588041897E-3</v>
      </c>
      <c r="AW45" s="12">
        <v>8.3682980354861695E-4</v>
      </c>
      <c r="AX45" s="12">
        <v>9.1697452447953097E-4</v>
      </c>
      <c r="AY45" s="12">
        <v>1.08122895880419E-3</v>
      </c>
      <c r="AZ45" t="b">
        <f t="shared" si="12"/>
        <v>1</v>
      </c>
      <c r="BA45" t="b">
        <f t="shared" si="13"/>
        <v>1</v>
      </c>
      <c r="BB45" t="b">
        <f t="shared" si="14"/>
        <v>1</v>
      </c>
      <c r="BO45" s="1"/>
      <c r="BP45" s="8"/>
      <c r="BQ45" s="8"/>
      <c r="BR45" s="8"/>
      <c r="BS45" s="8"/>
      <c r="BT45" s="8"/>
      <c r="BU45" s="8"/>
    </row>
    <row r="46" spans="1:73" x14ac:dyDescent="0.25">
      <c r="A46" s="1">
        <f t="shared" si="33"/>
        <v>210</v>
      </c>
      <c r="B46" s="8">
        <v>0.21109667200408724</v>
      </c>
      <c r="C46" s="8">
        <v>0.18306865943375483</v>
      </c>
      <c r="D46" s="8">
        <v>0.16132286733498993</v>
      </c>
      <c r="E46" s="12">
        <v>0.21109667200408899</v>
      </c>
      <c r="F46" s="12">
        <v>0.183068659433748</v>
      </c>
      <c r="G46" s="12">
        <v>0.16132286733499401</v>
      </c>
      <c r="H46" t="b">
        <f t="shared" si="0"/>
        <v>1</v>
      </c>
      <c r="I46" t="b">
        <f t="shared" si="1"/>
        <v>1</v>
      </c>
      <c r="J46" t="b">
        <f t="shared" si="2"/>
        <v>1</v>
      </c>
      <c r="L46" s="1">
        <f t="shared" si="34"/>
        <v>210</v>
      </c>
      <c r="M46" s="8">
        <v>1.555439089273035</v>
      </c>
      <c r="N46" s="8">
        <v>1.6978940083436005</v>
      </c>
      <c r="O46" s="8">
        <v>1.8243475349284455</v>
      </c>
      <c r="P46" s="12">
        <v>1.5554390892730301</v>
      </c>
      <c r="Q46" s="12">
        <v>1.69789400834364</v>
      </c>
      <c r="R46" s="12">
        <v>1.8243475349284199</v>
      </c>
      <c r="S46" t="b">
        <f t="shared" si="3"/>
        <v>1</v>
      </c>
      <c r="T46" t="b">
        <f t="shared" si="4"/>
        <v>1</v>
      </c>
      <c r="U46" t="b">
        <f t="shared" si="5"/>
        <v>1</v>
      </c>
      <c r="W46" s="1">
        <f t="shared" si="35"/>
        <v>210</v>
      </c>
      <c r="X46" s="8">
        <v>3.7870054922438398E-3</v>
      </c>
      <c r="Y46" s="8">
        <v>4.7792432828187023E-3</v>
      </c>
      <c r="Z46" s="8">
        <v>6.3998067100196421E-3</v>
      </c>
      <c r="AA46" s="12">
        <v>3.7870054922438199E-3</v>
      </c>
      <c r="AB46" s="12">
        <v>4.7792432828188004E-3</v>
      </c>
      <c r="AC46" s="12">
        <v>6.3998067100194903E-3</v>
      </c>
      <c r="AD46" t="b">
        <f t="shared" si="6"/>
        <v>1</v>
      </c>
      <c r="AE46" t="b">
        <f t="shared" si="7"/>
        <v>1</v>
      </c>
      <c r="AF46" t="b">
        <f t="shared" si="8"/>
        <v>1</v>
      </c>
      <c r="AH46" s="1">
        <f t="shared" si="36"/>
        <v>210</v>
      </c>
      <c r="AI46" s="8">
        <v>0.78890332799591278</v>
      </c>
      <c r="AJ46" s="8">
        <v>0.81693134056624517</v>
      </c>
      <c r="AK46" s="8">
        <v>0.83867713266501009</v>
      </c>
      <c r="AL46" s="12">
        <v>0.78890332799591101</v>
      </c>
      <c r="AM46" s="12">
        <v>0.81693134056625205</v>
      </c>
      <c r="AN46" s="12">
        <v>0.83867713266500599</v>
      </c>
      <c r="AO46" t="b">
        <f t="shared" si="9"/>
        <v>1</v>
      </c>
      <c r="AP46" t="b">
        <f t="shared" si="10"/>
        <v>1</v>
      </c>
      <c r="AQ46" t="b">
        <f t="shared" si="11"/>
        <v>1</v>
      </c>
      <c r="AS46" s="1">
        <f t="shared" si="37"/>
        <v>210</v>
      </c>
      <c r="AT46" s="8">
        <v>7.9942425627387481E-4</v>
      </c>
      <c r="AU46" s="8">
        <v>8.7492966089339739E-4</v>
      </c>
      <c r="AV46" s="8">
        <v>1.0324351688500771E-3</v>
      </c>
      <c r="AW46" s="12">
        <v>7.9942425627387904E-4</v>
      </c>
      <c r="AX46" s="12">
        <v>8.74929660893382E-4</v>
      </c>
      <c r="AY46" s="12">
        <v>1.0324351688500799E-3</v>
      </c>
      <c r="AZ46" t="b">
        <f t="shared" si="12"/>
        <v>1</v>
      </c>
      <c r="BA46" t="b">
        <f t="shared" si="13"/>
        <v>1</v>
      </c>
      <c r="BB46" t="b">
        <f t="shared" si="14"/>
        <v>1</v>
      </c>
      <c r="BO46" s="1"/>
      <c r="BP46" s="8"/>
      <c r="BQ46" s="8"/>
      <c r="BR46" s="8"/>
      <c r="BS46" s="8"/>
      <c r="BT46" s="8"/>
      <c r="BU46" s="8"/>
    </row>
    <row r="47" spans="1:73" x14ac:dyDescent="0.25">
      <c r="A47" s="1">
        <f t="shared" si="33"/>
        <v>216</v>
      </c>
      <c r="B47" s="8">
        <v>0.20640616847652471</v>
      </c>
      <c r="C47" s="8">
        <v>0.17793838353490088</v>
      </c>
      <c r="D47" s="8">
        <v>0.15526784210556557</v>
      </c>
      <c r="E47" s="12">
        <v>0.20640616847652701</v>
      </c>
      <c r="F47" s="12">
        <v>0.177938383534894</v>
      </c>
      <c r="G47" s="12">
        <v>0.15526784210556999</v>
      </c>
      <c r="H47" t="b">
        <f t="shared" si="0"/>
        <v>1</v>
      </c>
      <c r="I47" t="b">
        <f t="shared" si="1"/>
        <v>1</v>
      </c>
      <c r="J47" t="b">
        <f t="shared" si="2"/>
        <v>1</v>
      </c>
      <c r="L47" s="1">
        <f t="shared" si="34"/>
        <v>216</v>
      </c>
      <c r="M47" s="8">
        <v>1.5779093597916338</v>
      </c>
      <c r="N47" s="8">
        <v>1.7263179485335129</v>
      </c>
      <c r="O47" s="8">
        <v>1.8626036397763288</v>
      </c>
      <c r="P47" s="12">
        <v>1.5779093597916201</v>
      </c>
      <c r="Q47" s="12">
        <v>1.72631794853355</v>
      </c>
      <c r="R47" s="12">
        <v>1.8626036397762999</v>
      </c>
      <c r="S47" t="b">
        <f t="shared" si="3"/>
        <v>1</v>
      </c>
      <c r="T47" t="b">
        <f t="shared" si="4"/>
        <v>1</v>
      </c>
      <c r="U47" t="b">
        <f t="shared" si="5"/>
        <v>1</v>
      </c>
      <c r="W47" s="1">
        <f t="shared" si="35"/>
        <v>216</v>
      </c>
      <c r="X47" s="8">
        <v>3.7037014696320279E-3</v>
      </c>
      <c r="Y47" s="8">
        <v>4.6959752983493797E-3</v>
      </c>
      <c r="Z47" s="8">
        <v>6.3525087817602856E-3</v>
      </c>
      <c r="AA47" s="12">
        <v>3.7037014696320101E-3</v>
      </c>
      <c r="AB47" s="12">
        <v>4.6959752983494699E-3</v>
      </c>
      <c r="AC47" s="12">
        <v>6.3525087817601304E-3</v>
      </c>
      <c r="AD47" t="b">
        <f t="shared" si="6"/>
        <v>1</v>
      </c>
      <c r="AE47" t="b">
        <f t="shared" si="7"/>
        <v>1</v>
      </c>
      <c r="AF47" t="b">
        <f t="shared" si="8"/>
        <v>1</v>
      </c>
      <c r="AH47" s="1">
        <f t="shared" si="36"/>
        <v>216</v>
      </c>
      <c r="AI47" s="8">
        <v>0.79359383152347529</v>
      </c>
      <c r="AJ47" s="8">
        <v>0.82206161646509912</v>
      </c>
      <c r="AK47" s="8">
        <v>0.84473215789443445</v>
      </c>
      <c r="AL47" s="12">
        <v>0.79359383152347296</v>
      </c>
      <c r="AM47" s="12">
        <v>0.822061616465106</v>
      </c>
      <c r="AN47" s="12">
        <v>0.84473215789443001</v>
      </c>
      <c r="AO47" t="b">
        <f t="shared" si="9"/>
        <v>1</v>
      </c>
      <c r="AP47" t="b">
        <f t="shared" si="10"/>
        <v>1</v>
      </c>
      <c r="AQ47" t="b">
        <f t="shared" si="11"/>
        <v>1</v>
      </c>
      <c r="AS47" s="1">
        <f t="shared" si="37"/>
        <v>216</v>
      </c>
      <c r="AT47" s="8">
        <v>7.6446682952762053E-4</v>
      </c>
      <c r="AU47" s="8">
        <v>8.3559425370811251E-4</v>
      </c>
      <c r="AV47" s="8">
        <v>9.8634033050057465E-4</v>
      </c>
      <c r="AW47" s="12">
        <v>7.64466829527624E-4</v>
      </c>
      <c r="AX47" s="12">
        <v>8.3559425370809701E-4</v>
      </c>
      <c r="AY47" s="12">
        <v>9.8634033050057899E-4</v>
      </c>
      <c r="AZ47" t="b">
        <f t="shared" si="12"/>
        <v>1</v>
      </c>
      <c r="BA47" t="b">
        <f t="shared" si="13"/>
        <v>1</v>
      </c>
      <c r="BB47" t="b">
        <f t="shared" si="14"/>
        <v>1</v>
      </c>
      <c r="BO47" s="1"/>
      <c r="BP47" s="8"/>
      <c r="BQ47" s="8"/>
      <c r="BR47" s="8"/>
      <c r="BS47" s="8"/>
      <c r="BT47" s="8"/>
      <c r="BU47" s="8"/>
    </row>
    <row r="48" spans="1:73" x14ac:dyDescent="0.25">
      <c r="A48" s="1">
        <f t="shared" si="33"/>
        <v>222</v>
      </c>
      <c r="B48" s="8">
        <v>0.20191859286375935</v>
      </c>
      <c r="C48" s="8">
        <v>0.17303656390379429</v>
      </c>
      <c r="D48" s="8">
        <v>0.14948175968782371</v>
      </c>
      <c r="E48" s="12">
        <v>0.20191859286376099</v>
      </c>
      <c r="F48" s="12">
        <v>0.17303656390378699</v>
      </c>
      <c r="G48" s="12">
        <v>0.14948175968782801</v>
      </c>
      <c r="H48" t="b">
        <f t="shared" si="0"/>
        <v>1</v>
      </c>
      <c r="I48" t="b">
        <f t="shared" si="1"/>
        <v>1</v>
      </c>
      <c r="J48" t="b">
        <f t="shared" si="2"/>
        <v>1</v>
      </c>
      <c r="L48" s="1">
        <f t="shared" si="34"/>
        <v>222</v>
      </c>
      <c r="M48" s="8">
        <v>1.5998906684344774</v>
      </c>
      <c r="N48" s="8">
        <v>1.7542523547710014</v>
      </c>
      <c r="O48" s="8">
        <v>1.9005809023721711</v>
      </c>
      <c r="P48" s="12">
        <v>1.59989066843447</v>
      </c>
      <c r="Q48" s="12">
        <v>1.75425235477104</v>
      </c>
      <c r="R48" s="12">
        <v>1.90058090237215</v>
      </c>
      <c r="S48" t="b">
        <f t="shared" si="3"/>
        <v>1</v>
      </c>
      <c r="T48" t="b">
        <f t="shared" si="4"/>
        <v>1</v>
      </c>
      <c r="U48" t="b">
        <f t="shared" si="5"/>
        <v>1</v>
      </c>
      <c r="W48" s="1">
        <f t="shared" si="35"/>
        <v>222</v>
      </c>
      <c r="X48" s="8">
        <v>3.6239788991573813E-3</v>
      </c>
      <c r="Y48" s="8">
        <v>4.6160293787942822E-3</v>
      </c>
      <c r="Z48" s="8">
        <v>6.3068421948138664E-3</v>
      </c>
      <c r="AA48" s="12">
        <v>3.62397889915737E-3</v>
      </c>
      <c r="AB48" s="12">
        <v>4.6160293787943802E-3</v>
      </c>
      <c r="AC48" s="12">
        <v>6.3068421948137303E-3</v>
      </c>
      <c r="AD48" t="b">
        <f t="shared" si="6"/>
        <v>1</v>
      </c>
      <c r="AE48" t="b">
        <f t="shared" si="7"/>
        <v>1</v>
      </c>
      <c r="AF48" t="b">
        <f t="shared" si="8"/>
        <v>1</v>
      </c>
      <c r="AH48" s="1">
        <f t="shared" si="36"/>
        <v>222</v>
      </c>
      <c r="AI48" s="8">
        <v>0.79808140713624065</v>
      </c>
      <c r="AJ48" s="8">
        <v>0.82696343609620571</v>
      </c>
      <c r="AK48" s="8">
        <v>0.85051824031217627</v>
      </c>
      <c r="AL48" s="12">
        <v>0.79808140713623898</v>
      </c>
      <c r="AM48" s="12">
        <v>0.82696343609621303</v>
      </c>
      <c r="AN48" s="12">
        <v>0.85051824031217205</v>
      </c>
      <c r="AO48" t="b">
        <f t="shared" si="9"/>
        <v>1</v>
      </c>
      <c r="AP48" t="b">
        <f t="shared" si="10"/>
        <v>1</v>
      </c>
      <c r="AQ48" t="b">
        <f t="shared" si="11"/>
        <v>1</v>
      </c>
      <c r="AS48" s="1">
        <f t="shared" si="37"/>
        <v>222</v>
      </c>
      <c r="AT48" s="8">
        <v>7.317487198858141E-4</v>
      </c>
      <c r="AU48" s="8">
        <v>7.9874186258552867E-4</v>
      </c>
      <c r="AV48" s="8">
        <v>9.4275786935419303E-4</v>
      </c>
      <c r="AW48" s="12">
        <v>7.3174871988581703E-4</v>
      </c>
      <c r="AX48" s="12">
        <v>7.9874186258551295E-4</v>
      </c>
      <c r="AY48" s="12">
        <v>9.4275786935419704E-4</v>
      </c>
      <c r="AZ48" t="b">
        <f t="shared" si="12"/>
        <v>1</v>
      </c>
      <c r="BA48" t="b">
        <f t="shared" si="13"/>
        <v>1</v>
      </c>
      <c r="BB48" t="b">
        <f t="shared" si="14"/>
        <v>1</v>
      </c>
      <c r="BO48" s="1"/>
      <c r="BP48" s="8"/>
      <c r="BQ48" s="8"/>
      <c r="BR48" s="8"/>
      <c r="BS48" s="8"/>
      <c r="BT48" s="8"/>
      <c r="BU48" s="8"/>
    </row>
    <row r="49" spans="1:73" x14ac:dyDescent="0.25">
      <c r="A49" s="1">
        <f t="shared" si="33"/>
        <v>228</v>
      </c>
      <c r="B49" s="8">
        <v>0.19762108052988667</v>
      </c>
      <c r="C49" s="8">
        <v>0.1683489228798607</v>
      </c>
      <c r="D49" s="8">
        <v>0.14395006476865627</v>
      </c>
      <c r="E49" s="12">
        <v>0.197621080529888</v>
      </c>
      <c r="F49" s="12">
        <v>0.16834892287985401</v>
      </c>
      <c r="G49" s="12">
        <v>0.14395006476866101</v>
      </c>
      <c r="H49" t="b">
        <f t="shared" si="0"/>
        <v>1</v>
      </c>
      <c r="I49" t="b">
        <f t="shared" si="1"/>
        <v>1</v>
      </c>
      <c r="J49" t="b">
        <f t="shared" si="2"/>
        <v>1</v>
      </c>
      <c r="L49" s="1">
        <f t="shared" si="34"/>
        <v>228</v>
      </c>
      <c r="M49" s="8">
        <v>1.6214038165150235</v>
      </c>
      <c r="N49" s="8">
        <v>1.781716531495547</v>
      </c>
      <c r="O49" s="8">
        <v>1.9382888119854895</v>
      </c>
      <c r="P49" s="12">
        <v>1.62140381651501</v>
      </c>
      <c r="Q49" s="12">
        <v>1.7817165314955901</v>
      </c>
      <c r="R49" s="12">
        <v>1.93828881198546</v>
      </c>
      <c r="S49" t="b">
        <f t="shared" si="3"/>
        <v>1</v>
      </c>
      <c r="T49" t="b">
        <f t="shared" si="4"/>
        <v>1</v>
      </c>
      <c r="U49" t="b">
        <f t="shared" si="5"/>
        <v>1</v>
      </c>
      <c r="W49" s="1">
        <f t="shared" si="35"/>
        <v>228</v>
      </c>
      <c r="X49" s="8">
        <v>3.547611913879012E-3</v>
      </c>
      <c r="Y49" s="8">
        <v>4.5391992406370093E-3</v>
      </c>
      <c r="Z49" s="8">
        <v>6.2627088193846917E-3</v>
      </c>
      <c r="AA49" s="12">
        <v>3.5476119138789998E-3</v>
      </c>
      <c r="AB49" s="12">
        <v>4.5391992406371004E-3</v>
      </c>
      <c r="AC49" s="12">
        <v>6.2627088193845304E-3</v>
      </c>
      <c r="AD49" t="b">
        <f t="shared" si="6"/>
        <v>1</v>
      </c>
      <c r="AE49" t="b">
        <f t="shared" si="7"/>
        <v>1</v>
      </c>
      <c r="AF49" t="b">
        <f t="shared" si="8"/>
        <v>1</v>
      </c>
      <c r="AH49" s="1">
        <f t="shared" si="36"/>
        <v>228</v>
      </c>
      <c r="AI49" s="8">
        <v>0.80237891947011331</v>
      </c>
      <c r="AJ49" s="8">
        <v>0.8316510771201393</v>
      </c>
      <c r="AK49" s="8">
        <v>0.85604993523134376</v>
      </c>
      <c r="AL49" s="12">
        <v>0.80237891947011197</v>
      </c>
      <c r="AM49" s="12">
        <v>0.83165107712014597</v>
      </c>
      <c r="AN49" s="12">
        <v>0.85604993523133899</v>
      </c>
      <c r="AO49" t="b">
        <f t="shared" si="9"/>
        <v>1</v>
      </c>
      <c r="AP49" t="b">
        <f t="shared" si="10"/>
        <v>1</v>
      </c>
      <c r="AQ49" t="b">
        <f t="shared" si="11"/>
        <v>1</v>
      </c>
      <c r="AS49" s="1">
        <f t="shared" si="37"/>
        <v>228</v>
      </c>
      <c r="AT49" s="8">
        <v>7.0108289972146953E-4</v>
      </c>
      <c r="AU49" s="8">
        <v>7.6416930289832207E-4</v>
      </c>
      <c r="AV49" s="8">
        <v>9.0151734017766122E-4</v>
      </c>
      <c r="AW49" s="12">
        <v>7.0108289972147203E-4</v>
      </c>
      <c r="AX49" s="12">
        <v>7.64169302898307E-4</v>
      </c>
      <c r="AY49" s="12">
        <v>9.0151734017766697E-4</v>
      </c>
      <c r="AZ49" t="b">
        <f t="shared" si="12"/>
        <v>1</v>
      </c>
      <c r="BA49" t="b">
        <f t="shared" si="13"/>
        <v>1</v>
      </c>
      <c r="BB49" t="b">
        <f t="shared" si="14"/>
        <v>1</v>
      </c>
      <c r="BO49" s="1"/>
      <c r="BP49" s="8"/>
      <c r="BQ49" s="8"/>
      <c r="BR49" s="8"/>
      <c r="BS49" s="8"/>
      <c r="BT49" s="8"/>
      <c r="BU49" s="8"/>
    </row>
    <row r="50" spans="1:73" x14ac:dyDescent="0.25">
      <c r="A50" s="1">
        <f t="shared" si="33"/>
        <v>234</v>
      </c>
      <c r="B50" s="8">
        <v>0.19350183044503982</v>
      </c>
      <c r="C50" s="8">
        <v>0.1638623393133658</v>
      </c>
      <c r="D50" s="8">
        <v>0.13865918066190605</v>
      </c>
      <c r="E50" s="12">
        <v>0.19350183044504199</v>
      </c>
      <c r="F50" s="12">
        <v>0.163862339313359</v>
      </c>
      <c r="G50" s="12">
        <v>0.13865918066191099</v>
      </c>
      <c r="H50" t="b">
        <f t="shared" si="0"/>
        <v>1</v>
      </c>
      <c r="I50" t="b">
        <f t="shared" si="1"/>
        <v>1</v>
      </c>
      <c r="J50" t="b">
        <f t="shared" si="2"/>
        <v>1</v>
      </c>
      <c r="L50" s="1">
        <f t="shared" si="34"/>
        <v>234</v>
      </c>
      <c r="M50" s="8">
        <v>1.6424683068927544</v>
      </c>
      <c r="N50" s="8">
        <v>1.8087285980774053</v>
      </c>
      <c r="O50" s="8">
        <v>1.9757362944575134</v>
      </c>
      <c r="P50" s="12">
        <v>1.6424683068927499</v>
      </c>
      <c r="Q50" s="12">
        <v>1.8087285980774499</v>
      </c>
      <c r="R50" s="12">
        <v>1.9757362944574799</v>
      </c>
      <c r="S50" t="b">
        <f t="shared" si="3"/>
        <v>1</v>
      </c>
      <c r="T50" t="b">
        <f t="shared" si="4"/>
        <v>1</v>
      </c>
      <c r="U50" t="b">
        <f t="shared" si="5"/>
        <v>1</v>
      </c>
      <c r="W50" s="1">
        <f t="shared" si="35"/>
        <v>234</v>
      </c>
      <c r="X50" s="8">
        <v>3.4743932306824806E-3</v>
      </c>
      <c r="Y50" s="8">
        <v>4.4652958254438012E-3</v>
      </c>
      <c r="Z50" s="8">
        <v>6.2200188164849082E-3</v>
      </c>
      <c r="AA50" s="12">
        <v>3.4743932306824702E-3</v>
      </c>
      <c r="AB50" s="12">
        <v>4.4652958254439001E-3</v>
      </c>
      <c r="AC50" s="12">
        <v>6.2200188164847599E-3</v>
      </c>
      <c r="AD50" t="b">
        <f t="shared" si="6"/>
        <v>1</v>
      </c>
      <c r="AE50" t="b">
        <f t="shared" si="7"/>
        <v>1</v>
      </c>
      <c r="AF50" t="b">
        <f t="shared" si="8"/>
        <v>1</v>
      </c>
      <c r="AH50" s="1">
        <f t="shared" si="36"/>
        <v>234</v>
      </c>
      <c r="AI50" s="8">
        <v>0.80649816955496023</v>
      </c>
      <c r="AJ50" s="8">
        <v>0.8361376606866342</v>
      </c>
      <c r="AK50" s="8">
        <v>0.86134081933809392</v>
      </c>
      <c r="AL50" s="12">
        <v>0.80649816955495801</v>
      </c>
      <c r="AM50" s="12">
        <v>0.83613766068664097</v>
      </c>
      <c r="AN50" s="12">
        <v>0.86134081933808904</v>
      </c>
      <c r="AO50" t="b">
        <f t="shared" si="9"/>
        <v>1</v>
      </c>
      <c r="AP50" t="b">
        <f t="shared" si="10"/>
        <v>1</v>
      </c>
      <c r="AQ50" t="b">
        <f t="shared" si="11"/>
        <v>1</v>
      </c>
      <c r="AS50" s="1">
        <f t="shared" si="37"/>
        <v>234</v>
      </c>
      <c r="AT50" s="8">
        <v>6.723014498229155E-4</v>
      </c>
      <c r="AU50" s="8">
        <v>7.3169381968342796E-4</v>
      </c>
      <c r="AV50" s="8">
        <v>8.6246271279543599E-4</v>
      </c>
      <c r="AW50" s="12">
        <v>6.7230144982291897E-4</v>
      </c>
      <c r="AX50" s="12">
        <v>7.31693819683413E-4</v>
      </c>
      <c r="AY50" s="12">
        <v>8.6246271279544402E-4</v>
      </c>
      <c r="AZ50" t="b">
        <f t="shared" si="12"/>
        <v>1</v>
      </c>
      <c r="BA50" t="b">
        <f t="shared" si="13"/>
        <v>1</v>
      </c>
      <c r="BB50" t="b">
        <f t="shared" si="14"/>
        <v>1</v>
      </c>
      <c r="BO50" s="1"/>
      <c r="BP50" s="8"/>
      <c r="BQ50" s="8"/>
      <c r="BR50" s="8"/>
      <c r="BS50" s="8"/>
      <c r="BT50" s="8"/>
      <c r="BU50" s="8"/>
    </row>
    <row r="51" spans="1:73" x14ac:dyDescent="0.25">
      <c r="A51" s="1">
        <f t="shared" si="33"/>
        <v>240</v>
      </c>
      <c r="B51" s="8">
        <v>0.18954999758812091</v>
      </c>
      <c r="C51" s="8">
        <v>0.15956473346072642</v>
      </c>
      <c r="D51" s="8">
        <v>0.13359642740640393</v>
      </c>
      <c r="E51" s="12">
        <v>0.18954999758812299</v>
      </c>
      <c r="F51" s="12">
        <v>0.15956473346072</v>
      </c>
      <c r="G51" s="12">
        <v>0.13359642740640901</v>
      </c>
      <c r="H51" t="b">
        <f t="shared" si="0"/>
        <v>1</v>
      </c>
      <c r="I51" t="b">
        <f t="shared" si="1"/>
        <v>1</v>
      </c>
      <c r="J51" t="b">
        <f t="shared" si="2"/>
        <v>1</v>
      </c>
      <c r="L51" s="1">
        <f t="shared" si="34"/>
        <v>240</v>
      </c>
      <c r="M51" s="8">
        <v>1.6631024497440301</v>
      </c>
      <c r="N51" s="8">
        <v>1.8353055866747063</v>
      </c>
      <c r="O51" s="8">
        <v>2.0129317592071683</v>
      </c>
      <c r="P51" s="12">
        <v>1.6631024497440201</v>
      </c>
      <c r="Q51" s="12">
        <v>1.8353055866747501</v>
      </c>
      <c r="R51" s="12">
        <v>2.0129317592071301</v>
      </c>
      <c r="S51" t="b">
        <f t="shared" si="3"/>
        <v>1</v>
      </c>
      <c r="T51" t="b">
        <f t="shared" si="4"/>
        <v>1</v>
      </c>
      <c r="U51" t="b">
        <f t="shared" si="5"/>
        <v>1</v>
      </c>
      <c r="W51" s="1">
        <f t="shared" si="35"/>
        <v>240</v>
      </c>
      <c r="X51" s="8">
        <v>3.4041322792421787E-3</v>
      </c>
      <c r="Y51" s="8">
        <v>4.3941455085427725E-3</v>
      </c>
      <c r="Z51" s="8">
        <v>6.178689745868284E-3</v>
      </c>
      <c r="AA51" s="12">
        <v>3.40413227924216E-3</v>
      </c>
      <c r="AB51" s="12">
        <v>4.3941455085428601E-3</v>
      </c>
      <c r="AC51" s="12">
        <v>6.1786897458681201E-3</v>
      </c>
      <c r="AD51" t="b">
        <f t="shared" si="6"/>
        <v>1</v>
      </c>
      <c r="AE51" t="b">
        <f t="shared" si="7"/>
        <v>1</v>
      </c>
      <c r="AF51" t="b">
        <f t="shared" si="8"/>
        <v>1</v>
      </c>
      <c r="AH51" s="1">
        <f t="shared" si="36"/>
        <v>240</v>
      </c>
      <c r="AI51" s="8">
        <v>0.81045000241187903</v>
      </c>
      <c r="AJ51" s="8">
        <v>0.84043526653927358</v>
      </c>
      <c r="AK51" s="8">
        <v>0.86640357259359613</v>
      </c>
      <c r="AL51" s="12">
        <v>0.81045000241187704</v>
      </c>
      <c r="AM51" s="12">
        <v>0.84043526653928002</v>
      </c>
      <c r="AN51" s="12">
        <v>0.86640357259359102</v>
      </c>
      <c r="AO51" t="b">
        <f t="shared" si="9"/>
        <v>1</v>
      </c>
      <c r="AP51" t="b">
        <f t="shared" si="10"/>
        <v>1</v>
      </c>
      <c r="AQ51" t="b">
        <f t="shared" si="11"/>
        <v>1</v>
      </c>
      <c r="AS51" s="1">
        <f t="shared" si="37"/>
        <v>240</v>
      </c>
      <c r="AT51" s="8">
        <v>6.4525326531999952E-4</v>
      </c>
      <c r="AU51" s="8">
        <v>7.0115065685827566E-4</v>
      </c>
      <c r="AV51" s="8">
        <v>8.2545087610058458E-4</v>
      </c>
      <c r="AW51" s="12">
        <v>6.4525326532000201E-4</v>
      </c>
      <c r="AX51" s="12">
        <v>7.0115065685826005E-4</v>
      </c>
      <c r="AY51" s="12">
        <v>8.2545087610059195E-4</v>
      </c>
      <c r="AZ51" t="b">
        <f t="shared" si="12"/>
        <v>1</v>
      </c>
      <c r="BA51" t="b">
        <f t="shared" si="13"/>
        <v>1</v>
      </c>
      <c r="BB51" t="b">
        <f t="shared" si="14"/>
        <v>1</v>
      </c>
    </row>
  </sheetData>
  <mergeCells count="28">
    <mergeCell ref="BP7:BX7"/>
    <mergeCell ref="BP8:BR8"/>
    <mergeCell ref="BS8:BU8"/>
    <mergeCell ref="BV8:BX8"/>
    <mergeCell ref="AI7:AQ7"/>
    <mergeCell ref="AI8:AK8"/>
    <mergeCell ref="AL8:AN8"/>
    <mergeCell ref="AO8:AQ8"/>
    <mergeCell ref="AT7:BB7"/>
    <mergeCell ref="AT8:AV8"/>
    <mergeCell ref="AW8:AY8"/>
    <mergeCell ref="AZ8:BB8"/>
    <mergeCell ref="E8:G8"/>
    <mergeCell ref="H8:J8"/>
    <mergeCell ref="B7:J7"/>
    <mergeCell ref="M7:U7"/>
    <mergeCell ref="M8:O8"/>
    <mergeCell ref="P8:R8"/>
    <mergeCell ref="S8:U8"/>
    <mergeCell ref="B8:D8"/>
    <mergeCell ref="BE7:BM7"/>
    <mergeCell ref="BE8:BG8"/>
    <mergeCell ref="BH8:BJ8"/>
    <mergeCell ref="BK8:BM8"/>
    <mergeCell ref="X7:AF7"/>
    <mergeCell ref="X8:Z8"/>
    <mergeCell ref="AA8:AC8"/>
    <mergeCell ref="AD8:AF8"/>
  </mergeCells>
  <phoneticPr fontId="1" type="noConversion"/>
  <conditionalFormatting sqref="H11:J51">
    <cfRule type="cellIs" dxfId="6" priority="8" operator="equal">
      <formula>FALSE</formula>
    </cfRule>
  </conditionalFormatting>
  <conditionalFormatting sqref="S11:U51">
    <cfRule type="cellIs" dxfId="5" priority="7" operator="equal">
      <formula>FALSE</formula>
    </cfRule>
  </conditionalFormatting>
  <conditionalFormatting sqref="AD11:AF51">
    <cfRule type="cellIs" dxfId="4" priority="6" operator="equal">
      <formula>FALSE</formula>
    </cfRule>
  </conditionalFormatting>
  <conditionalFormatting sqref="AO11:AQ51">
    <cfRule type="cellIs" dxfId="3" priority="5" operator="equal">
      <formula>FALSE</formula>
    </cfRule>
  </conditionalFormatting>
  <conditionalFormatting sqref="AZ11:BB51">
    <cfRule type="cellIs" dxfId="2" priority="4" operator="equal">
      <formula>FALSE</formula>
    </cfRule>
  </conditionalFormatting>
  <conditionalFormatting sqref="BV11:BX19">
    <cfRule type="cellIs" dxfId="1" priority="3" operator="equal">
      <formula>FALSE</formula>
    </cfRule>
  </conditionalFormatting>
  <conditionalFormatting sqref="BK11:BM17">
    <cfRule type="cellIs" dxfId="0" priority="1" operator="equal">
      <formula>FALSE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D207-30EF-4175-9780-44C4DBBB3837}">
  <sheetPr codeName="Sheet3"/>
  <dimension ref="A1:H585"/>
  <sheetViews>
    <sheetView showGridLines="0" zoomScale="118" zoomScaleNormal="118" workbookViewId="0">
      <selection activeCell="R22" sqref="R22"/>
    </sheetView>
  </sheetViews>
  <sheetFormatPr defaultRowHeight="15" x14ac:dyDescent="0.25"/>
  <cols>
    <col min="1" max="1" width="20.140625" customWidth="1"/>
    <col min="2" max="7" width="12.7109375" customWidth="1"/>
    <col min="8" max="8" width="1.7109375" customWidth="1"/>
  </cols>
  <sheetData>
    <row r="1" spans="1:8" x14ac:dyDescent="0.25">
      <c r="A1" s="3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</row>
    <row r="2" spans="1:8" x14ac:dyDescent="0.25">
      <c r="A2" t="s">
        <v>0</v>
      </c>
      <c r="B2" s="2">
        <v>-9.0262495178831497</v>
      </c>
      <c r="C2" s="2">
        <v>2.7973353436628301</v>
      </c>
      <c r="D2" s="2">
        <v>0.203539862155796</v>
      </c>
      <c r="E2" s="2">
        <v>0.86099071813852401</v>
      </c>
      <c r="F2" s="2">
        <v>3.0551241028527198</v>
      </c>
      <c r="G2" s="2">
        <v>4.3906138884445802</v>
      </c>
      <c r="H2" s="1"/>
    </row>
    <row r="3" spans="1:8" x14ac:dyDescent="0.25">
      <c r="A3" t="s">
        <v>1</v>
      </c>
      <c r="B3" s="2">
        <v>-4.4559827777261898</v>
      </c>
      <c r="C3" s="2">
        <v>1.29055647032624</v>
      </c>
      <c r="D3" s="2">
        <v>6.7993862825414197E-2</v>
      </c>
      <c r="E3" s="2">
        <v>0.86099071813852401</v>
      </c>
      <c r="F3" s="2">
        <v>3.0551241028527198</v>
      </c>
      <c r="G3" s="2">
        <v>4.3906138884445802</v>
      </c>
      <c r="H3" s="1"/>
    </row>
    <row r="4" spans="1:8" x14ac:dyDescent="0.25">
      <c r="A4" t="s">
        <v>2</v>
      </c>
      <c r="B4" s="2">
        <v>-8.9125145747578607</v>
      </c>
      <c r="C4" s="2">
        <v>2.7499747591489099</v>
      </c>
      <c r="D4" s="2">
        <v>0.22902485794892899</v>
      </c>
      <c r="E4" s="2">
        <v>0.86099071813852401</v>
      </c>
      <c r="F4" s="2">
        <v>3.0551241028527198</v>
      </c>
      <c r="G4" s="2">
        <v>4.3906138884445802</v>
      </c>
      <c r="H4" s="1"/>
    </row>
    <row r="5" spans="1:8" x14ac:dyDescent="0.25">
      <c r="B5" s="2"/>
      <c r="C5" s="2"/>
      <c r="D5" s="2"/>
      <c r="E5" s="2"/>
      <c r="F5" s="2"/>
      <c r="G5" s="2"/>
      <c r="H5" s="1"/>
    </row>
    <row r="7" spans="1:8" x14ac:dyDescent="0.25">
      <c r="A7" s="9"/>
      <c r="B7" s="107" t="s">
        <v>12</v>
      </c>
      <c r="C7" s="107"/>
      <c r="D7" s="107"/>
    </row>
    <row r="8" spans="1:8" x14ac:dyDescent="0.25">
      <c r="A8" s="10"/>
      <c r="B8" s="107" t="s">
        <v>20</v>
      </c>
      <c r="C8" s="107"/>
      <c r="D8" s="107"/>
    </row>
    <row r="9" spans="1:8" x14ac:dyDescent="0.25">
      <c r="A9" s="5"/>
      <c r="B9" s="7" t="s">
        <v>13</v>
      </c>
      <c r="C9" s="7" t="s">
        <v>14</v>
      </c>
      <c r="D9" s="7" t="s">
        <v>15</v>
      </c>
    </row>
    <row r="10" spans="1:8" x14ac:dyDescent="0.25">
      <c r="A10" s="6" t="s">
        <v>10</v>
      </c>
      <c r="B10" s="7" t="s">
        <v>17</v>
      </c>
      <c r="C10" s="7" t="s">
        <v>18</v>
      </c>
      <c r="D10" s="7" t="s">
        <v>16</v>
      </c>
    </row>
    <row r="11" spans="1:8" x14ac:dyDescent="0.25">
      <c r="A11" s="2">
        <v>0</v>
      </c>
      <c r="B11" s="15" cm="1">
        <f t="array" ref="B11:B585">ssurvspline($A$11:$A$585,$B$2:$D$2,$E$2:$G$2,"odds")</f>
        <v>1</v>
      </c>
      <c r="C11" s="15" cm="1">
        <f t="array" ref="C11:C585">ssurvspline($A$11:$A$585,$B$3:$D$3,$E$3:$G$3,"normal")</f>
        <v>1</v>
      </c>
      <c r="D11" s="15" cm="1">
        <f t="array" ref="D11:D585">ssurvspline($A$11:$A$585,$B$4:$D$4,$E$4:$G$4,"hazard")</f>
        <v>1</v>
      </c>
    </row>
    <row r="12" spans="1:8" x14ac:dyDescent="0.25">
      <c r="A12" s="2">
        <v>0.26283367556468173</v>
      </c>
      <c r="B12" s="15">
        <v>0.99999713844845239</v>
      </c>
      <c r="C12" s="15">
        <v>0.99999999968044084</v>
      </c>
      <c r="D12" s="15">
        <v>0.99999658429166471</v>
      </c>
    </row>
    <row r="13" spans="1:8" x14ac:dyDescent="0.25">
      <c r="A13" s="2">
        <v>0.49281314168377821</v>
      </c>
      <c r="B13" s="15">
        <v>0.99998339374465517</v>
      </c>
      <c r="C13" s="15">
        <v>0.99999996045952477</v>
      </c>
      <c r="D13" s="15">
        <v>0.99998075916344109</v>
      </c>
    </row>
    <row r="14" spans="1:8" x14ac:dyDescent="0.25">
      <c r="A14" s="2">
        <v>0.52566735112936347</v>
      </c>
      <c r="B14" s="15">
        <v>0.99998010811115534</v>
      </c>
      <c r="C14" s="15">
        <v>0.99999993746356308</v>
      </c>
      <c r="D14" s="15">
        <v>0.99997702257159715</v>
      </c>
    </row>
    <row r="15" spans="1:8" x14ac:dyDescent="0.25">
      <c r="A15" s="2">
        <v>0.55852156057494862</v>
      </c>
      <c r="B15" s="15">
        <v>0.9999764318606148</v>
      </c>
      <c r="C15" s="15">
        <v>0.99999990439336406</v>
      </c>
      <c r="D15" s="15">
        <v>0.99997285408822723</v>
      </c>
    </row>
    <row r="16" spans="1:8" x14ac:dyDescent="0.25">
      <c r="A16" s="2">
        <v>0.59137577002053388</v>
      </c>
      <c r="B16" s="15">
        <v>0.99997234565277926</v>
      </c>
      <c r="C16" s="15">
        <v>0.99999985811320391</v>
      </c>
      <c r="D16" s="15">
        <v>0.99996823362498732</v>
      </c>
    </row>
    <row r="17" spans="1:4" x14ac:dyDescent="0.25">
      <c r="A17" s="2">
        <v>0.95277207392197127</v>
      </c>
      <c r="B17" s="15">
        <v>0.99989501450837504</v>
      </c>
      <c r="C17" s="15">
        <v>0.99999688485013616</v>
      </c>
      <c r="D17" s="15">
        <v>0.99988209320632893</v>
      </c>
    </row>
    <row r="18" spans="1:4" x14ac:dyDescent="0.25">
      <c r="A18" s="2">
        <v>1.3798767967145791</v>
      </c>
      <c r="B18" s="15">
        <v>0.99970419779665309</v>
      </c>
      <c r="C18" s="15">
        <v>0.99997332347608159</v>
      </c>
      <c r="D18" s="15">
        <v>0.99967353958486715</v>
      </c>
    </row>
    <row r="19" spans="1:4" x14ac:dyDescent="0.25">
      <c r="A19" s="2">
        <v>1.5112936344969199</v>
      </c>
      <c r="B19" s="15">
        <v>0.9996185102995131</v>
      </c>
      <c r="C19" s="15">
        <v>0.99995627829726175</v>
      </c>
      <c r="D19" s="15">
        <v>0.99958076467658297</v>
      </c>
    </row>
    <row r="20" spans="1:4" x14ac:dyDescent="0.25">
      <c r="A20" s="2">
        <v>1.8726899383983573</v>
      </c>
      <c r="B20" s="15">
        <v>0.9993052537028615</v>
      </c>
      <c r="C20" s="15">
        <v>0.99986698804167062</v>
      </c>
      <c r="D20" s="15">
        <v>0.9992441176656448</v>
      </c>
    </row>
    <row r="21" spans="1:4" x14ac:dyDescent="0.25">
      <c r="A21" s="2">
        <v>2.0698151950718686</v>
      </c>
      <c r="B21" s="15">
        <v>0.99908099708244569</v>
      </c>
      <c r="C21" s="15">
        <v>0.99978190086826646</v>
      </c>
      <c r="D21" s="15">
        <v>0.99900475102120434</v>
      </c>
    </row>
    <row r="22" spans="1:4" x14ac:dyDescent="0.25">
      <c r="A22" s="2">
        <v>2.1355236139630391</v>
      </c>
      <c r="B22" s="15">
        <v>0.99899712195957313</v>
      </c>
      <c r="C22" s="15">
        <v>0.99974630297600431</v>
      </c>
      <c r="D22" s="15">
        <v>0.99891548087191917</v>
      </c>
    </row>
    <row r="23" spans="1:4" x14ac:dyDescent="0.25">
      <c r="A23" s="2">
        <v>2.2012320328542097</v>
      </c>
      <c r="B23" s="15">
        <v>0.99890849289097439</v>
      </c>
      <c r="C23" s="15">
        <v>0.99970667381400025</v>
      </c>
      <c r="D23" s="15">
        <v>0.9988212807231257</v>
      </c>
    </row>
    <row r="24" spans="1:4" x14ac:dyDescent="0.25">
      <c r="A24" s="2">
        <v>2.3326488706365502</v>
      </c>
      <c r="B24" s="15">
        <v>0.99871651759601276</v>
      </c>
      <c r="C24" s="15">
        <v>0.999614324525119</v>
      </c>
      <c r="D24" s="15">
        <v>0.99861764293858346</v>
      </c>
    </row>
    <row r="25" spans="1:4" x14ac:dyDescent="0.25">
      <c r="A25" s="2">
        <v>2.3655030800821355</v>
      </c>
      <c r="B25" s="15">
        <v>0.99866537545624678</v>
      </c>
      <c r="C25" s="15">
        <v>0.99958832842871037</v>
      </c>
      <c r="D25" s="15">
        <v>0.99856347822759128</v>
      </c>
    </row>
    <row r="26" spans="1:4" x14ac:dyDescent="0.25">
      <c r="A26" s="2">
        <v>3.2197125256673513</v>
      </c>
      <c r="B26" s="15">
        <v>0.99685127580967903</v>
      </c>
      <c r="C26" s="15">
        <v>0.99839925798863083</v>
      </c>
      <c r="D26" s="15">
        <v>0.99665805905143057</v>
      </c>
    </row>
    <row r="27" spans="1:4" x14ac:dyDescent="0.25">
      <c r="A27" s="2">
        <v>3.7125256673511293</v>
      </c>
      <c r="B27" s="15">
        <v>0.99533968765836078</v>
      </c>
      <c r="C27" s="15">
        <v>0.99715821505128455</v>
      </c>
      <c r="D27" s="15">
        <v>0.99508633374800903</v>
      </c>
    </row>
    <row r="28" spans="1:4" x14ac:dyDescent="0.25">
      <c r="A28" s="2">
        <v>3.7453798767967146</v>
      </c>
      <c r="B28" s="15">
        <v>0.99522596038761379</v>
      </c>
      <c r="C28" s="15">
        <v>0.99705883643279625</v>
      </c>
      <c r="D28" s="15">
        <v>0.9949685121039209</v>
      </c>
    </row>
    <row r="29" spans="1:4" x14ac:dyDescent="0.25">
      <c r="A29" s="2">
        <v>3.9425051334702257</v>
      </c>
      <c r="B29" s="15">
        <v>0.99450870461939445</v>
      </c>
      <c r="C29" s="15">
        <v>0.99641673891602689</v>
      </c>
      <c r="D29" s="15">
        <v>0.99422662667000572</v>
      </c>
    </row>
    <row r="30" spans="1:4" x14ac:dyDescent="0.25">
      <c r="A30" s="2">
        <v>4.862422997946612</v>
      </c>
      <c r="B30" s="15">
        <v>0.99034876021696683</v>
      </c>
      <c r="C30" s="15">
        <v>0.99233619540664975</v>
      </c>
      <c r="D30" s="15">
        <v>0.9899560895026408</v>
      </c>
    </row>
    <row r="31" spans="1:4" x14ac:dyDescent="0.25">
      <c r="A31" s="2">
        <v>5.2566735112936342</v>
      </c>
      <c r="B31" s="15">
        <v>0.98814741784260096</v>
      </c>
      <c r="C31" s="15">
        <v>0.99002813452350691</v>
      </c>
      <c r="D31" s="15">
        <v>0.98771320983125621</v>
      </c>
    </row>
    <row r="32" spans="1:4" x14ac:dyDescent="0.25">
      <c r="A32" s="2">
        <v>5.5195071868583163</v>
      </c>
      <c r="B32" s="15">
        <v>0.98653943808947553</v>
      </c>
      <c r="C32" s="15">
        <v>0.98830455213401558</v>
      </c>
      <c r="D32" s="15">
        <v>0.98608065546125512</v>
      </c>
    </row>
    <row r="33" spans="1:4" x14ac:dyDescent="0.25">
      <c r="A33" s="2">
        <v>5.5523613963039011</v>
      </c>
      <c r="B33" s="15">
        <v>0.98633056264355101</v>
      </c>
      <c r="C33" s="15">
        <v>0.98807885269880702</v>
      </c>
      <c r="D33" s="15">
        <v>0.98586890880724587</v>
      </c>
    </row>
    <row r="34" spans="1:4" x14ac:dyDescent="0.25">
      <c r="A34" s="2">
        <v>5.6180698151950716</v>
      </c>
      <c r="B34" s="15">
        <v>0.98590757336338763</v>
      </c>
      <c r="C34" s="15">
        <v>0.9876206854805748</v>
      </c>
      <c r="D34" s="15">
        <v>0.98544031904394613</v>
      </c>
    </row>
    <row r="35" spans="1:4" x14ac:dyDescent="0.25">
      <c r="A35" s="2">
        <v>5.6837782340862422</v>
      </c>
      <c r="B35" s="15">
        <v>0.98547760989977462</v>
      </c>
      <c r="C35" s="15">
        <v>0.98715353828472363</v>
      </c>
      <c r="D35" s="15">
        <v>0.98500494907020075</v>
      </c>
    </row>
    <row r="36" spans="1:4" x14ac:dyDescent="0.25">
      <c r="A36" s="2">
        <v>5.7494866529774127</v>
      </c>
      <c r="B36" s="15">
        <v>0.98504068596651251</v>
      </c>
      <c r="C36" s="15">
        <v>0.98667746716331928</v>
      </c>
      <c r="D36" s="15">
        <v>0.98456281812033153</v>
      </c>
    </row>
    <row r="37" spans="1:4" x14ac:dyDescent="0.25">
      <c r="A37" s="2">
        <v>5.8151950718685832</v>
      </c>
      <c r="B37" s="15">
        <v>0.98459681674997823</v>
      </c>
      <c r="C37" s="15">
        <v>0.98619253108550931</v>
      </c>
      <c r="D37" s="15">
        <v>0.98411394672273</v>
      </c>
    </row>
    <row r="38" spans="1:4" x14ac:dyDescent="0.25">
      <c r="A38" s="2">
        <v>5.9137577002053385</v>
      </c>
      <c r="B38" s="15">
        <v>0.98391802728066646</v>
      </c>
      <c r="C38" s="15">
        <v>0.98544864095911155</v>
      </c>
      <c r="D38" s="15">
        <v>0.9834280492887687</v>
      </c>
    </row>
    <row r="39" spans="1:4" x14ac:dyDescent="0.25">
      <c r="A39" s="2">
        <v>5.9466119096509242</v>
      </c>
      <c r="B39" s="15">
        <v>0.98368831039273175</v>
      </c>
      <c r="C39" s="15">
        <v>0.98519631365960758</v>
      </c>
      <c r="D39" s="15">
        <v>0.9831960709722104</v>
      </c>
    </row>
    <row r="40" spans="1:4" x14ac:dyDescent="0.25">
      <c r="A40" s="2">
        <v>6.0451745379876796</v>
      </c>
      <c r="B40" s="15">
        <v>0.98298883311741425</v>
      </c>
      <c r="C40" s="15">
        <v>0.98442635805517575</v>
      </c>
      <c r="D40" s="15">
        <v>0.98249014139797386</v>
      </c>
    </row>
    <row r="41" spans="1:4" x14ac:dyDescent="0.25">
      <c r="A41" s="2">
        <v>6.1108829568788501</v>
      </c>
      <c r="B41" s="15">
        <v>0.9825139360147187</v>
      </c>
      <c r="C41" s="15">
        <v>0.98390233049480236</v>
      </c>
      <c r="D41" s="15">
        <v>0.98201122509066241</v>
      </c>
    </row>
    <row r="42" spans="1:4" x14ac:dyDescent="0.25">
      <c r="A42" s="2">
        <v>6.2751540041067759</v>
      </c>
      <c r="B42" s="15">
        <v>0.98129683519935074</v>
      </c>
      <c r="C42" s="15">
        <v>0.98255526067334553</v>
      </c>
      <c r="D42" s="15">
        <v>0.98078509561387117</v>
      </c>
    </row>
    <row r="43" spans="1:4" x14ac:dyDescent="0.25">
      <c r="A43" s="2">
        <v>6.406570841889117</v>
      </c>
      <c r="B43" s="15">
        <v>0.98029265181445879</v>
      </c>
      <c r="C43" s="15">
        <v>0.98144017744558132</v>
      </c>
      <c r="D43" s="15">
        <v>0.97977477034375882</v>
      </c>
    </row>
    <row r="44" spans="1:4" x14ac:dyDescent="0.25">
      <c r="A44" s="2">
        <v>6.7351129363449695</v>
      </c>
      <c r="B44" s="15">
        <v>0.97766514442044083</v>
      </c>
      <c r="C44" s="15">
        <v>0.97851139983512703</v>
      </c>
      <c r="D44" s="15">
        <v>0.9771363033895758</v>
      </c>
    </row>
    <row r="45" spans="1:4" x14ac:dyDescent="0.25">
      <c r="A45" s="2">
        <v>6.9979466119096507</v>
      </c>
      <c r="B45" s="15">
        <v>0.97544486497745719</v>
      </c>
      <c r="C45" s="15">
        <v>0.97602892118674545</v>
      </c>
      <c r="D45" s="15">
        <v>0.97491196229832455</v>
      </c>
    </row>
    <row r="46" spans="1:4" x14ac:dyDescent="0.25">
      <c r="A46" s="2">
        <v>7.3264887063655033</v>
      </c>
      <c r="B46" s="15">
        <v>0.97252546815924601</v>
      </c>
      <c r="C46" s="15">
        <v>0.97276091075738758</v>
      </c>
      <c r="D46" s="15">
        <v>0.97199358692786031</v>
      </c>
    </row>
    <row r="47" spans="1:4" x14ac:dyDescent="0.25">
      <c r="A47" s="2">
        <v>7.4579055441478443</v>
      </c>
      <c r="B47" s="15">
        <v>0.97131391558766778</v>
      </c>
      <c r="C47" s="15">
        <v>0.97140477459334829</v>
      </c>
      <c r="D47" s="15">
        <v>0.97078437424763153</v>
      </c>
    </row>
    <row r="48" spans="1:4" x14ac:dyDescent="0.25">
      <c r="A48" s="2">
        <v>7.523613963039014</v>
      </c>
      <c r="B48" s="15">
        <v>0.97069892388749712</v>
      </c>
      <c r="C48" s="15">
        <v>0.97071659668229726</v>
      </c>
      <c r="D48" s="15">
        <v>0.9701709695131715</v>
      </c>
    </row>
    <row r="49" spans="1:4" x14ac:dyDescent="0.25">
      <c r="A49" s="2">
        <v>7.655030800821355</v>
      </c>
      <c r="B49" s="15">
        <v>0.96945073030338325</v>
      </c>
      <c r="C49" s="15">
        <v>0.96932049425892408</v>
      </c>
      <c r="D49" s="15">
        <v>0.96892678571043489</v>
      </c>
    </row>
    <row r="50" spans="1:4" x14ac:dyDescent="0.25">
      <c r="A50" s="2">
        <v>7.8193018480492817</v>
      </c>
      <c r="B50" s="15">
        <v>0.96785681272063118</v>
      </c>
      <c r="C50" s="15">
        <v>0.96753931970593443</v>
      </c>
      <c r="D50" s="15">
        <v>0.96733944809218142</v>
      </c>
    </row>
    <row r="51" spans="1:4" x14ac:dyDescent="0.25">
      <c r="A51" s="2">
        <v>7.9178644763860371</v>
      </c>
      <c r="B51" s="15">
        <v>0.96688278126954963</v>
      </c>
      <c r="C51" s="15">
        <v>0.96645195983611942</v>
      </c>
      <c r="D51" s="15">
        <v>0.9663701993508238</v>
      </c>
    </row>
    <row r="52" spans="1:4" x14ac:dyDescent="0.25">
      <c r="A52" s="2">
        <v>7.9507186858316219</v>
      </c>
      <c r="B52" s="15">
        <v>0.96655519298230763</v>
      </c>
      <c r="C52" s="15">
        <v>0.96608646852785696</v>
      </c>
      <c r="D52" s="15">
        <v>0.96604434405526274</v>
      </c>
    </row>
    <row r="53" spans="1:4" x14ac:dyDescent="0.25">
      <c r="A53" s="2">
        <v>8.1149897330595486</v>
      </c>
      <c r="B53" s="15">
        <v>0.96489569130200659</v>
      </c>
      <c r="C53" s="15">
        <v>0.96423675951561927</v>
      </c>
      <c r="D53" s="15">
        <v>0.96439454374205391</v>
      </c>
    </row>
    <row r="54" spans="1:4" x14ac:dyDescent="0.25">
      <c r="A54" s="2">
        <v>8.1806981519507183</v>
      </c>
      <c r="B54" s="15">
        <v>0.96422194428416463</v>
      </c>
      <c r="C54" s="15">
        <v>0.96348671180001033</v>
      </c>
      <c r="D54" s="15">
        <v>0.96372515868799036</v>
      </c>
    </row>
    <row r="55" spans="1:4" x14ac:dyDescent="0.25">
      <c r="A55" s="2">
        <v>8.2464065708418897</v>
      </c>
      <c r="B55" s="15">
        <v>0.96354258859867914</v>
      </c>
      <c r="C55" s="15">
        <v>0.9627309972547422</v>
      </c>
      <c r="D55" s="15">
        <v>0.96305043835062987</v>
      </c>
    </row>
    <row r="56" spans="1:4" x14ac:dyDescent="0.25">
      <c r="A56" s="2">
        <v>8.9363449691991779</v>
      </c>
      <c r="B56" s="15">
        <v>0.95608372696114241</v>
      </c>
      <c r="C56" s="15">
        <v>0.95447722543859048</v>
      </c>
      <c r="D56" s="15">
        <v>0.95565633923979121</v>
      </c>
    </row>
    <row r="57" spans="1:4" x14ac:dyDescent="0.25">
      <c r="A57" s="2">
        <v>8.9691991786447645</v>
      </c>
      <c r="B57" s="15">
        <v>0.95571429341584213</v>
      </c>
      <c r="C57" s="15">
        <v>0.95407067541993673</v>
      </c>
      <c r="D57" s="15">
        <v>0.95529069998086513</v>
      </c>
    </row>
    <row r="58" spans="1:4" x14ac:dyDescent="0.25">
      <c r="A58" s="2">
        <v>9.0349075975359341</v>
      </c>
      <c r="B58" s="15">
        <v>0.9549717021193237</v>
      </c>
      <c r="C58" s="15">
        <v>0.9532541594485624</v>
      </c>
      <c r="D58" s="15">
        <v>0.95455588370023203</v>
      </c>
    </row>
    <row r="59" spans="1:4" x14ac:dyDescent="0.25">
      <c r="A59" s="2">
        <v>9.0677618069815189</v>
      </c>
      <c r="B59" s="15">
        <v>0.9545985580977695</v>
      </c>
      <c r="C59" s="15">
        <v>0.95284421551198117</v>
      </c>
      <c r="D59" s="15">
        <v>0.95418671971692148</v>
      </c>
    </row>
    <row r="60" spans="1:4" x14ac:dyDescent="0.25">
      <c r="A60" s="2">
        <v>9.2320328542094447</v>
      </c>
      <c r="B60" s="15">
        <v>0.95271463017057467</v>
      </c>
      <c r="C60" s="15">
        <v>0.95077807313402007</v>
      </c>
      <c r="D60" s="15">
        <v>0.95232360291154272</v>
      </c>
    </row>
    <row r="61" spans="1:4" x14ac:dyDescent="0.25">
      <c r="A61" s="2">
        <v>9.3634496919917858</v>
      </c>
      <c r="B61" s="15">
        <v>0.95118605471294893</v>
      </c>
      <c r="C61" s="15">
        <v>0.94910609996752948</v>
      </c>
      <c r="D61" s="15">
        <v>0.95081274686377171</v>
      </c>
    </row>
    <row r="62" spans="1:4" x14ac:dyDescent="0.25">
      <c r="A62" s="2">
        <v>9.3963039014373724</v>
      </c>
      <c r="B62" s="15">
        <v>0.95080099211665248</v>
      </c>
      <c r="C62" s="15">
        <v>0.9486855486011635</v>
      </c>
      <c r="D62" s="15">
        <v>0.95043225953575294</v>
      </c>
    </row>
    <row r="63" spans="1:4" x14ac:dyDescent="0.25">
      <c r="A63" s="2">
        <v>9.462012320328542</v>
      </c>
      <c r="B63" s="15">
        <v>0.9500274134658333</v>
      </c>
      <c r="C63" s="15">
        <v>0.94784145008273391</v>
      </c>
      <c r="D63" s="15">
        <v>0.94966800306590626</v>
      </c>
    </row>
    <row r="64" spans="1:4" x14ac:dyDescent="0.25">
      <c r="A64" s="2">
        <v>9.6262833675564679</v>
      </c>
      <c r="B64" s="15">
        <v>0.9480736497328851</v>
      </c>
      <c r="C64" s="15">
        <v>0.94571421492383578</v>
      </c>
      <c r="D64" s="15">
        <v>0.9477385263246878</v>
      </c>
    </row>
    <row r="65" spans="1:4" x14ac:dyDescent="0.25">
      <c r="A65" s="2">
        <v>9.7248459958932241</v>
      </c>
      <c r="B65" s="15">
        <v>0.94688808466104024</v>
      </c>
      <c r="C65" s="15">
        <v>0.94442663643568414</v>
      </c>
      <c r="D65" s="15">
        <v>0.94656818909262219</v>
      </c>
    </row>
    <row r="66" spans="1:4" x14ac:dyDescent="0.25">
      <c r="A66" s="2">
        <v>10.020533880903491</v>
      </c>
      <c r="B66" s="15">
        <v>0.94327367478088153</v>
      </c>
      <c r="C66" s="15">
        <v>0.94051641856366974</v>
      </c>
      <c r="D66" s="15">
        <v>0.94300227381175517</v>
      </c>
    </row>
    <row r="67" spans="1:4" x14ac:dyDescent="0.25">
      <c r="A67" s="2">
        <v>10.086242299794661</v>
      </c>
      <c r="B67" s="15">
        <v>0.94245908024056257</v>
      </c>
      <c r="C67" s="15">
        <v>0.93963831513963592</v>
      </c>
      <c r="D67" s="15">
        <v>0.94219900417797486</v>
      </c>
    </row>
    <row r="68" spans="1:4" x14ac:dyDescent="0.25">
      <c r="A68" s="2">
        <v>10.119096509240247</v>
      </c>
      <c r="B68" s="15">
        <v>0.94205027210667336</v>
      </c>
      <c r="C68" s="15">
        <v>0.93919807159724678</v>
      </c>
      <c r="D68" s="15">
        <v>0.94179593035271025</v>
      </c>
    </row>
    <row r="69" spans="1:4" x14ac:dyDescent="0.25">
      <c r="A69" s="2">
        <v>10.184804928131417</v>
      </c>
      <c r="B69" s="15">
        <v>0.94122966965917865</v>
      </c>
      <c r="C69" s="15">
        <v>0.93831524841951874</v>
      </c>
      <c r="D69" s="15">
        <v>0.94098693774861053</v>
      </c>
    </row>
    <row r="70" spans="1:4" x14ac:dyDescent="0.25">
      <c r="A70" s="2">
        <v>10.381930184804927</v>
      </c>
      <c r="B70" s="15">
        <v>0.93874448464121374</v>
      </c>
      <c r="C70" s="15">
        <v>0.9356487654660911</v>
      </c>
      <c r="D70" s="15">
        <v>0.93853767575686387</v>
      </c>
    </row>
    <row r="71" spans="1:4" x14ac:dyDescent="0.25">
      <c r="A71" s="2">
        <v>10.480492813141684</v>
      </c>
      <c r="B71" s="15">
        <v>0.93748909377679468</v>
      </c>
      <c r="C71" s="15">
        <v>0.9343058484491068</v>
      </c>
      <c r="D71" s="15">
        <v>0.93730083616859494</v>
      </c>
    </row>
    <row r="72" spans="1:4" x14ac:dyDescent="0.25">
      <c r="A72" s="2">
        <v>10.57905544147844</v>
      </c>
      <c r="B72" s="15">
        <v>0.93622542602621817</v>
      </c>
      <c r="C72" s="15">
        <v>0.93295680724347674</v>
      </c>
      <c r="D72" s="15">
        <v>0.93605609417491298</v>
      </c>
    </row>
    <row r="73" spans="1:4" x14ac:dyDescent="0.25">
      <c r="A73" s="2">
        <v>10.809034907597535</v>
      </c>
      <c r="B73" s="15">
        <v>0.93324575278616084</v>
      </c>
      <c r="C73" s="15">
        <v>0.92978656673501281</v>
      </c>
      <c r="D73" s="15">
        <v>0.93312195729005809</v>
      </c>
    </row>
    <row r="74" spans="1:4" x14ac:dyDescent="0.25">
      <c r="A74" s="2">
        <v>11.039014373716633</v>
      </c>
      <c r="B74" s="15">
        <v>0.9302244740021558</v>
      </c>
      <c r="C74" s="15">
        <v>0.9265872395434398</v>
      </c>
      <c r="D74" s="15">
        <v>0.9301479931659643</v>
      </c>
    </row>
    <row r="75" spans="1:4" x14ac:dyDescent="0.25">
      <c r="A75" s="2">
        <v>11.104722792607802</v>
      </c>
      <c r="B75" s="15">
        <v>0.92935394606418742</v>
      </c>
      <c r="C75" s="15">
        <v>0.92566820415959128</v>
      </c>
      <c r="D75" s="15">
        <v>0.92929128443968956</v>
      </c>
    </row>
    <row r="76" spans="1:4" x14ac:dyDescent="0.25">
      <c r="A76" s="2">
        <v>11.268993839835728</v>
      </c>
      <c r="B76" s="15">
        <v>0.92716398983073267</v>
      </c>
      <c r="C76" s="15">
        <v>0.92336166690394528</v>
      </c>
      <c r="D76" s="15">
        <v>0.9271364166902083</v>
      </c>
    </row>
    <row r="77" spans="1:4" x14ac:dyDescent="0.25">
      <c r="A77" s="2">
        <v>11.301848049281315</v>
      </c>
      <c r="B77" s="15">
        <v>0.9267237163188955</v>
      </c>
      <c r="C77" s="15">
        <v>0.92289888860781799</v>
      </c>
      <c r="D77" s="15">
        <v>0.92670324917536673</v>
      </c>
    </row>
    <row r="78" spans="1:4" x14ac:dyDescent="0.25">
      <c r="A78" s="2">
        <v>11.433264887063656</v>
      </c>
      <c r="B78" s="15">
        <v>0.92495524446250255</v>
      </c>
      <c r="C78" s="15">
        <v>0.92104313123780324</v>
      </c>
      <c r="D78" s="15">
        <v>0.92496347751929009</v>
      </c>
    </row>
    <row r="79" spans="1:4" x14ac:dyDescent="0.25">
      <c r="A79" s="2">
        <v>11.498973305954825</v>
      </c>
      <c r="B79" s="15">
        <v>0.92406667784941976</v>
      </c>
      <c r="C79" s="15">
        <v>0.92011257264329593</v>
      </c>
      <c r="D79" s="15">
        <v>0.92408941913093823</v>
      </c>
    </row>
    <row r="80" spans="1:4" x14ac:dyDescent="0.25">
      <c r="A80" s="2">
        <v>11.597535934291582</v>
      </c>
      <c r="B80" s="15">
        <v>0.92272856816184512</v>
      </c>
      <c r="C80" s="15">
        <v>0.91871355349773576</v>
      </c>
      <c r="D80" s="15">
        <v>0.92277325723998971</v>
      </c>
    </row>
    <row r="81" spans="1:4" x14ac:dyDescent="0.25">
      <c r="A81" s="2">
        <v>11.728952772073923</v>
      </c>
      <c r="B81" s="15">
        <v>0.92093488859244754</v>
      </c>
      <c r="C81" s="15">
        <v>0.91684256459343505</v>
      </c>
      <c r="D81" s="15">
        <v>0.9210091649045562</v>
      </c>
    </row>
    <row r="82" spans="1:4" x14ac:dyDescent="0.25">
      <c r="A82" s="2">
        <v>11.761806981519507</v>
      </c>
      <c r="B82" s="15">
        <v>0.92048481131787685</v>
      </c>
      <c r="C82" s="15">
        <v>0.91637386015260636</v>
      </c>
      <c r="D82" s="15">
        <v>0.92056653861909254</v>
      </c>
    </row>
    <row r="83" spans="1:4" x14ac:dyDescent="0.25">
      <c r="A83" s="2">
        <v>11.794661190965092</v>
      </c>
      <c r="B83" s="15">
        <v>0.92003408452551727</v>
      </c>
      <c r="C83" s="15">
        <v>0.91590478706008249</v>
      </c>
      <c r="D83" s="15">
        <v>0.92012328341571059</v>
      </c>
    </row>
    <row r="84" spans="1:4" x14ac:dyDescent="0.25">
      <c r="A84" s="2">
        <v>11.827515400410677</v>
      </c>
      <c r="B84" s="15">
        <v>0.91958271490738541</v>
      </c>
      <c r="C84" s="15">
        <v>0.91543535235146256</v>
      </c>
      <c r="D84" s="15">
        <v>0.91967940545203597</v>
      </c>
    </row>
    <row r="85" spans="1:4" x14ac:dyDescent="0.25">
      <c r="A85" s="2">
        <v>12.090349075975359</v>
      </c>
      <c r="B85" s="15">
        <v>0.91594941426342003</v>
      </c>
      <c r="C85" s="15">
        <v>0.91166768555138289</v>
      </c>
      <c r="D85" s="15">
        <v>0.91610669667077282</v>
      </c>
    </row>
    <row r="86" spans="1:4" x14ac:dyDescent="0.25">
      <c r="A86" s="2">
        <v>12.123203285420944</v>
      </c>
      <c r="B86" s="15">
        <v>0.91549255782850225</v>
      </c>
      <c r="C86" s="15">
        <v>0.91119530530326065</v>
      </c>
      <c r="D86" s="15">
        <v>0.91565748863598884</v>
      </c>
    </row>
    <row r="87" spans="1:4" x14ac:dyDescent="0.25">
      <c r="A87" s="2">
        <v>12.156057494866531</v>
      </c>
      <c r="B87" s="15">
        <v>0.91503512463568915</v>
      </c>
      <c r="C87" s="15">
        <v>0.91072263127136388</v>
      </c>
      <c r="D87" s="15">
        <v>0.9152077186359413</v>
      </c>
    </row>
    <row r="88" spans="1:4" x14ac:dyDescent="0.25">
      <c r="A88" s="2">
        <v>12.188911704312115</v>
      </c>
      <c r="B88" s="15">
        <v>0.91457712120245449</v>
      </c>
      <c r="C88" s="15">
        <v>0.91024966999002566</v>
      </c>
      <c r="D88" s="15">
        <v>0.91475739266913392</v>
      </c>
    </row>
    <row r="89" spans="1:4" x14ac:dyDescent="0.25">
      <c r="A89" s="2">
        <v>12.2217659137577</v>
      </c>
      <c r="B89" s="15">
        <v>0.91411855402932884</v>
      </c>
      <c r="C89" s="15">
        <v>0.90977642794897984</v>
      </c>
      <c r="D89" s="15">
        <v>0.91430651671884899</v>
      </c>
    </row>
    <row r="90" spans="1:4" x14ac:dyDescent="0.25">
      <c r="A90" s="2">
        <v>12.28747433264887</v>
      </c>
      <c r="B90" s="15">
        <v>0.91319975437981582</v>
      </c>
      <c r="C90" s="15">
        <v>0.90882912732472221</v>
      </c>
      <c r="D90" s="15">
        <v>0.91340313872417433</v>
      </c>
    </row>
    <row r="91" spans="1:4" x14ac:dyDescent="0.25">
      <c r="A91" s="2">
        <v>12.320328542094456</v>
      </c>
      <c r="B91" s="15">
        <v>0.91273953481828962</v>
      </c>
      <c r="C91" s="15">
        <v>0.90835508149951261</v>
      </c>
      <c r="D91" s="15">
        <v>0.91295064856920483</v>
      </c>
    </row>
    <row r="92" spans="1:4" x14ac:dyDescent="0.25">
      <c r="A92" s="2">
        <v>12.386036960985626</v>
      </c>
      <c r="B92" s="15">
        <v>0.91181748837714749</v>
      </c>
      <c r="C92" s="15">
        <v>0.90740623038832946</v>
      </c>
      <c r="D92" s="15">
        <v>0.91204409555015831</v>
      </c>
    </row>
    <row r="93" spans="1:4" x14ac:dyDescent="0.25">
      <c r="A93" s="2">
        <v>12.451745379876797</v>
      </c>
      <c r="B93" s="15">
        <v>0.91089334151139156</v>
      </c>
      <c r="C93" s="15">
        <v>0.90645640824053952</v>
      </c>
      <c r="D93" s="15">
        <v>0.9111354848758848</v>
      </c>
    </row>
    <row r="94" spans="1:4" x14ac:dyDescent="0.25">
      <c r="A94" s="2">
        <v>12.648870636550308</v>
      </c>
      <c r="B94" s="15">
        <v>0.908108806357799</v>
      </c>
      <c r="C94" s="15">
        <v>0.90360160500558473</v>
      </c>
      <c r="D94" s="15">
        <v>0.90839777486412221</v>
      </c>
    </row>
    <row r="95" spans="1:4" x14ac:dyDescent="0.25">
      <c r="A95" s="2">
        <v>12.878850102669405</v>
      </c>
      <c r="B95" s="15">
        <v>0.90483867927213524</v>
      </c>
      <c r="C95" s="15">
        <v>0.90026223423520069</v>
      </c>
      <c r="D95" s="15">
        <v>0.90518257597722285</v>
      </c>
    </row>
    <row r="96" spans="1:4" x14ac:dyDescent="0.25">
      <c r="A96" s="2">
        <v>12.944558521560575</v>
      </c>
      <c r="B96" s="15">
        <v>0.90390038245709015</v>
      </c>
      <c r="C96" s="15">
        <v>0.89930665333226556</v>
      </c>
      <c r="D96" s="15">
        <v>0.90426001041406256</v>
      </c>
    </row>
    <row r="97" spans="1:4" x14ac:dyDescent="0.25">
      <c r="A97" s="2">
        <v>13.240246406570842</v>
      </c>
      <c r="B97" s="15">
        <v>0.89965798822538656</v>
      </c>
      <c r="C97" s="15">
        <v>0.8950000645921885</v>
      </c>
      <c r="D97" s="15">
        <v>0.90008847480112797</v>
      </c>
    </row>
    <row r="98" spans="1:4" x14ac:dyDescent="0.25">
      <c r="A98" s="2">
        <v>13.470225872689939</v>
      </c>
      <c r="B98" s="15">
        <v>0.8963376522792581</v>
      </c>
      <c r="C98" s="15">
        <v>0.89164494005744044</v>
      </c>
      <c r="D98" s="15">
        <v>0.89682317762352959</v>
      </c>
    </row>
    <row r="99" spans="1:4" x14ac:dyDescent="0.25">
      <c r="A99" s="2">
        <v>13.634496919917865</v>
      </c>
      <c r="B99" s="15">
        <v>0.8939561190579165</v>
      </c>
      <c r="C99" s="15">
        <v>0.88924650571598463</v>
      </c>
      <c r="D99" s="15">
        <v>0.89448082804061357</v>
      </c>
    </row>
    <row r="100" spans="1:4" x14ac:dyDescent="0.25">
      <c r="A100" s="2">
        <v>13.700205338809035</v>
      </c>
      <c r="B100" s="15">
        <v>0.89300139014363367</v>
      </c>
      <c r="C100" s="15">
        <v>0.88828684245916645</v>
      </c>
      <c r="D100" s="15">
        <v>0.89354172882571936</v>
      </c>
    </row>
    <row r="101" spans="1:4" x14ac:dyDescent="0.25">
      <c r="A101" s="2">
        <v>13.798767967145791</v>
      </c>
      <c r="B101" s="15">
        <v>0.89156717016551912</v>
      </c>
      <c r="C101" s="15">
        <v>0.88684715421011595</v>
      </c>
      <c r="D101" s="15">
        <v>0.89213089654499511</v>
      </c>
    </row>
    <row r="102" spans="1:4" x14ac:dyDescent="0.25">
      <c r="A102" s="2">
        <v>13.930184804928132</v>
      </c>
      <c r="B102" s="15">
        <v>0.88965113938250295</v>
      </c>
      <c r="C102" s="15">
        <v>0.88492739996885517</v>
      </c>
      <c r="D102" s="15">
        <v>0.89024592697305027</v>
      </c>
    </row>
    <row r="103" spans="1:4" x14ac:dyDescent="0.25">
      <c r="A103" s="2">
        <v>13.995893223819301</v>
      </c>
      <c r="B103" s="15">
        <v>0.88869162062356233</v>
      </c>
      <c r="C103" s="15">
        <v>0.88396753016624463</v>
      </c>
      <c r="D103" s="15">
        <v>0.88930187956625695</v>
      </c>
    </row>
    <row r="104" spans="1:4" x14ac:dyDescent="0.25">
      <c r="A104" s="2">
        <v>14.094455852156058</v>
      </c>
      <c r="B104" s="15">
        <v>0.88725058477918717</v>
      </c>
      <c r="C104" s="15">
        <v>0.88252783244869404</v>
      </c>
      <c r="D104" s="15">
        <v>0.88788396841111072</v>
      </c>
    </row>
    <row r="105" spans="1:4" x14ac:dyDescent="0.25">
      <c r="A105" s="2">
        <v>14.193018480492814</v>
      </c>
      <c r="B105" s="15">
        <v>0.88580756767335356</v>
      </c>
      <c r="C105" s="15">
        <v>0.88108836503097543</v>
      </c>
      <c r="D105" s="15">
        <v>0.88646396861332744</v>
      </c>
    </row>
    <row r="106" spans="1:4" x14ac:dyDescent="0.25">
      <c r="A106" s="2">
        <v>14.324435318275153</v>
      </c>
      <c r="B106" s="15">
        <v>0.88388070860215351</v>
      </c>
      <c r="C106" s="15">
        <v>0.87916962688654976</v>
      </c>
      <c r="D106" s="15">
        <v>0.88456761606694601</v>
      </c>
    </row>
    <row r="107" spans="1:4" x14ac:dyDescent="0.25">
      <c r="A107" s="2">
        <v>14.390143737166325</v>
      </c>
      <c r="B107" s="15">
        <v>0.88291615707014737</v>
      </c>
      <c r="C107" s="15">
        <v>0.87821056714126078</v>
      </c>
      <c r="D107" s="15">
        <v>0.88361823322414534</v>
      </c>
    </row>
    <row r="108" spans="1:4" x14ac:dyDescent="0.25">
      <c r="A108" s="2">
        <v>14.652977412731007</v>
      </c>
      <c r="B108" s="15">
        <v>0.87905142299202543</v>
      </c>
      <c r="C108" s="15">
        <v>0.8743771205380948</v>
      </c>
      <c r="D108" s="15">
        <v>0.87981355016812823</v>
      </c>
    </row>
    <row r="109" spans="1:4" x14ac:dyDescent="0.25">
      <c r="A109" s="2">
        <v>14.718685831622176</v>
      </c>
      <c r="B109" s="15">
        <v>0.87808380783381879</v>
      </c>
      <c r="C109" s="15">
        <v>0.87341960843756972</v>
      </c>
      <c r="D109" s="15">
        <v>0.87886077956941666</v>
      </c>
    </row>
    <row r="110" spans="1:4" x14ac:dyDescent="0.25">
      <c r="A110" s="2">
        <v>14.751540041067761</v>
      </c>
      <c r="B110" s="15">
        <v>0.87759981264744702</v>
      </c>
      <c r="C110" s="15">
        <v>0.87294100009598785</v>
      </c>
      <c r="D110" s="15">
        <v>0.87838417981205419</v>
      </c>
    </row>
    <row r="111" spans="1:4" x14ac:dyDescent="0.25">
      <c r="A111" s="2">
        <v>14.948665297741274</v>
      </c>
      <c r="B111" s="15">
        <v>0.87469351974445675</v>
      </c>
      <c r="C111" s="15">
        <v>0.87007164218478683</v>
      </c>
      <c r="D111" s="15">
        <v>0.87552186597524451</v>
      </c>
    </row>
    <row r="112" spans="1:4" x14ac:dyDescent="0.25">
      <c r="A112" s="2">
        <v>14.981519507186858</v>
      </c>
      <c r="B112" s="15">
        <v>0.8742087952373816</v>
      </c>
      <c r="C112" s="15">
        <v>0.86959383042143634</v>
      </c>
      <c r="D112" s="15">
        <v>0.8750444032059701</v>
      </c>
    </row>
    <row r="113" spans="1:4" x14ac:dyDescent="0.25">
      <c r="A113" s="2">
        <v>15.112936344969199</v>
      </c>
      <c r="B113" s="15">
        <v>0.87226909176588263</v>
      </c>
      <c r="C113" s="15">
        <v>0.86768389244139166</v>
      </c>
      <c r="D113" s="15">
        <v>0.87313354258968146</v>
      </c>
    </row>
    <row r="114" spans="1:4" x14ac:dyDescent="0.25">
      <c r="A114" s="2">
        <v>15.145790554414784</v>
      </c>
      <c r="B114" s="15">
        <v>0.87178398774546118</v>
      </c>
      <c r="C114" s="15">
        <v>0.86720675178371354</v>
      </c>
      <c r="D114" s="15">
        <v>0.87265559701760853</v>
      </c>
    </row>
    <row r="115" spans="1:4" x14ac:dyDescent="0.25">
      <c r="A115" s="2">
        <v>15.211498973305956</v>
      </c>
      <c r="B115" s="15">
        <v>0.87081359809204917</v>
      </c>
      <c r="C115" s="15">
        <v>0.86625290587904713</v>
      </c>
      <c r="D115" s="15">
        <v>0.87169945985542319</v>
      </c>
    </row>
    <row r="116" spans="1:4" x14ac:dyDescent="0.25">
      <c r="A116" s="2">
        <v>15.277207392197125</v>
      </c>
      <c r="B116" s="15">
        <v>0.86984299658338438</v>
      </c>
      <c r="C116" s="15">
        <v>0.8652996618284795</v>
      </c>
      <c r="D116" s="15">
        <v>0.87074302341214371</v>
      </c>
    </row>
    <row r="117" spans="1:4" x14ac:dyDescent="0.25">
      <c r="A117" s="2">
        <v>15.474332648870636</v>
      </c>
      <c r="B117" s="15">
        <v>0.86693027943099699</v>
      </c>
      <c r="C117" s="15">
        <v>0.86244379053040654</v>
      </c>
      <c r="D117" s="15">
        <v>0.86787225907902898</v>
      </c>
    </row>
    <row r="118" spans="1:4" x14ac:dyDescent="0.25">
      <c r="A118" s="2">
        <v>15.540041067761807</v>
      </c>
      <c r="B118" s="15">
        <v>0.86595918717952991</v>
      </c>
      <c r="C118" s="15">
        <v>0.86149320149740682</v>
      </c>
      <c r="D118" s="15">
        <v>0.86691496465817419</v>
      </c>
    </row>
    <row r="119" spans="1:4" x14ac:dyDescent="0.25">
      <c r="A119" s="2">
        <v>15.605749486652977</v>
      </c>
      <c r="B119" s="15">
        <v>0.86498805958705138</v>
      </c>
      <c r="C119" s="15">
        <v>0.86054333601012067</v>
      </c>
      <c r="D119" s="15">
        <v>0.86595753899469197</v>
      </c>
    </row>
    <row r="120" spans="1:4" x14ac:dyDescent="0.25">
      <c r="A120" s="2">
        <v>15.638603696098563</v>
      </c>
      <c r="B120" s="15">
        <v>0.86450249324278217</v>
      </c>
      <c r="C120" s="15">
        <v>0.86006868182808716</v>
      </c>
      <c r="D120" s="15">
        <v>0.86547878717402316</v>
      </c>
    </row>
    <row r="121" spans="1:4" x14ac:dyDescent="0.25">
      <c r="A121" s="2">
        <v>15.802874743326489</v>
      </c>
      <c r="B121" s="15">
        <v>0.86207480505330802</v>
      </c>
      <c r="C121" s="15">
        <v>0.85769830972898342</v>
      </c>
      <c r="D121" s="15">
        <v>0.86308479990733367</v>
      </c>
    </row>
    <row r="122" spans="1:4" x14ac:dyDescent="0.25">
      <c r="A122" s="2">
        <v>15.967145790554415</v>
      </c>
      <c r="B122" s="15">
        <v>0.85964773667846961</v>
      </c>
      <c r="C122" s="15">
        <v>0.85533302103459874</v>
      </c>
      <c r="D122" s="15">
        <v>0.86069079732698373</v>
      </c>
    </row>
    <row r="123" spans="1:4" x14ac:dyDescent="0.25">
      <c r="A123" s="2">
        <v>16.032854209445585</v>
      </c>
      <c r="B123" s="15">
        <v>0.85867719708511414</v>
      </c>
      <c r="C123" s="15">
        <v>0.85438840369880875</v>
      </c>
      <c r="D123" s="15">
        <v>0.85973330176133234</v>
      </c>
    </row>
    <row r="124" spans="1:4" x14ac:dyDescent="0.25">
      <c r="A124" s="2">
        <v>16.098562628336754</v>
      </c>
      <c r="B124" s="15">
        <v>0.85770686993037282</v>
      </c>
      <c r="C124" s="15">
        <v>0.85344467349996833</v>
      </c>
      <c r="D124" s="15">
        <v>0.85877591270710396</v>
      </c>
    </row>
    <row r="125" spans="1:4" x14ac:dyDescent="0.25">
      <c r="A125" s="2">
        <v>16.131416837782339</v>
      </c>
      <c r="B125" s="15">
        <v>0.85722179587952752</v>
      </c>
      <c r="C125" s="15">
        <v>0.85297314740151009</v>
      </c>
      <c r="D125" s="15">
        <v>0.85829726763862724</v>
      </c>
    </row>
    <row r="126" spans="1:4" x14ac:dyDescent="0.25">
      <c r="A126" s="2">
        <v>16.262833675564682</v>
      </c>
      <c r="B126" s="15">
        <v>0.85528218740104178</v>
      </c>
      <c r="C126" s="15">
        <v>0.85108936084529829</v>
      </c>
      <c r="D126" s="15">
        <v>0.85638310492994763</v>
      </c>
    </row>
    <row r="127" spans="1:4" x14ac:dyDescent="0.25">
      <c r="A127" s="2">
        <v>16.361396303901437</v>
      </c>
      <c r="B127" s="15">
        <v>0.853828310665116</v>
      </c>
      <c r="C127" s="15">
        <v>0.84967902248259042</v>
      </c>
      <c r="D127" s="15">
        <v>0.85494802544521586</v>
      </c>
    </row>
    <row r="128" spans="1:4" x14ac:dyDescent="0.25">
      <c r="A128" s="2">
        <v>16.427104722792606</v>
      </c>
      <c r="B128" s="15">
        <v>0.85285951133752469</v>
      </c>
      <c r="C128" s="15">
        <v>0.84874002362969947</v>
      </c>
      <c r="D128" s="15">
        <v>0.85399161921703326</v>
      </c>
    </row>
    <row r="129" spans="1:4" x14ac:dyDescent="0.25">
      <c r="A129" s="2">
        <v>16.492813141683779</v>
      </c>
      <c r="B129" s="15">
        <v>0.85189110823629444</v>
      </c>
      <c r="C129" s="15">
        <v>0.84780202768886359</v>
      </c>
      <c r="D129" s="15">
        <v>0.85303549752383756</v>
      </c>
    </row>
    <row r="130" spans="1:4" x14ac:dyDescent="0.25">
      <c r="A130" s="2">
        <v>16.525667351129364</v>
      </c>
      <c r="B130" s="15">
        <v>0.85140706447309245</v>
      </c>
      <c r="C130" s="15">
        <v>0.84733341147157126</v>
      </c>
      <c r="D130" s="15">
        <v>0.85255755233720676</v>
      </c>
    </row>
    <row r="131" spans="1:4" x14ac:dyDescent="0.25">
      <c r="A131" s="2">
        <v>16.558521560574949</v>
      </c>
      <c r="B131" s="15">
        <v>0.85092313076612369</v>
      </c>
      <c r="C131" s="15">
        <v>0.8468650527333389</v>
      </c>
      <c r="D131" s="15">
        <v>0.8520796889987875</v>
      </c>
    </row>
    <row r="132" spans="1:4" x14ac:dyDescent="0.25">
      <c r="A132" s="2">
        <v>16.919917864476385</v>
      </c>
      <c r="B132" s="15">
        <v>0.84560814406897855</v>
      </c>
      <c r="C132" s="15">
        <v>0.8417307166373581</v>
      </c>
      <c r="D132" s="15">
        <v>0.84682959174106864</v>
      </c>
    </row>
    <row r="133" spans="1:4" x14ac:dyDescent="0.25">
      <c r="A133" s="2">
        <v>17.018480492813143</v>
      </c>
      <c r="B133" s="15">
        <v>0.84416160372794791</v>
      </c>
      <c r="C133" s="15">
        <v>0.84033626418424168</v>
      </c>
      <c r="D133" s="15">
        <v>0.84540014182148515</v>
      </c>
    </row>
    <row r="134" spans="1:4" x14ac:dyDescent="0.25">
      <c r="A134" s="2">
        <v>17.248459958932237</v>
      </c>
      <c r="B134" s="15">
        <v>0.84079217012013019</v>
      </c>
      <c r="C134" s="15">
        <v>0.83709272548078495</v>
      </c>
      <c r="D134" s="15">
        <v>0.84206956250541054</v>
      </c>
    </row>
    <row r="135" spans="1:4" x14ac:dyDescent="0.25">
      <c r="A135" s="2">
        <v>17.281314168377822</v>
      </c>
      <c r="B135" s="15">
        <v>0.84031153611349174</v>
      </c>
      <c r="C135" s="15">
        <v>0.83663055398592046</v>
      </c>
      <c r="D135" s="15">
        <v>0.84159436167549728</v>
      </c>
    </row>
    <row r="136" spans="1:4" x14ac:dyDescent="0.25">
      <c r="A136" s="2">
        <v>17.37987679671458</v>
      </c>
      <c r="B136" s="15">
        <v>0.83887077451680547</v>
      </c>
      <c r="C136" s="15">
        <v>0.83524586585121119</v>
      </c>
      <c r="D136" s="15">
        <v>0.84016972296412995</v>
      </c>
    </row>
    <row r="137" spans="1:4" x14ac:dyDescent="0.25">
      <c r="A137" s="2">
        <v>17.412731006160165</v>
      </c>
      <c r="B137" s="15">
        <v>0.8383909111860457</v>
      </c>
      <c r="C137" s="15">
        <v>0.83478491774172192</v>
      </c>
      <c r="D137" s="15">
        <v>0.83969517500213742</v>
      </c>
    </row>
    <row r="138" spans="1:4" x14ac:dyDescent="0.25">
      <c r="A138" s="2">
        <v>17.511293634496919</v>
      </c>
      <c r="B138" s="15">
        <v>0.83695253588525587</v>
      </c>
      <c r="C138" s="15">
        <v>0.83340394116813599</v>
      </c>
      <c r="D138" s="15">
        <v>0.83827256892218616</v>
      </c>
    </row>
    <row r="139" spans="1:4" x14ac:dyDescent="0.25">
      <c r="A139" s="2">
        <v>17.577002053388089</v>
      </c>
      <c r="B139" s="15">
        <v>0.83599466158489177</v>
      </c>
      <c r="C139" s="15">
        <v>0.83248486329921323</v>
      </c>
      <c r="D139" s="15">
        <v>0.83732506001975948</v>
      </c>
    </row>
    <row r="140" spans="1:4" x14ac:dyDescent="0.25">
      <c r="A140" s="2">
        <v>17.609856262833677</v>
      </c>
      <c r="B140" s="15">
        <v>0.83551604619697573</v>
      </c>
      <c r="C140" s="15">
        <v>0.83202580124475123</v>
      </c>
      <c r="D140" s="15">
        <v>0.83685158311750574</v>
      </c>
    </row>
    <row r="141" spans="1:4" x14ac:dyDescent="0.25">
      <c r="A141" s="2">
        <v>17.642710472279262</v>
      </c>
      <c r="B141" s="15">
        <v>0.8350376492673599</v>
      </c>
      <c r="C141" s="15">
        <v>0.83156705926033625</v>
      </c>
      <c r="D141" s="15">
        <v>0.83637829520967422</v>
      </c>
    </row>
    <row r="142" spans="1:4" x14ac:dyDescent="0.25">
      <c r="A142" s="2">
        <v>17.741273100616016</v>
      </c>
      <c r="B142" s="15">
        <v>0.83360379850826949</v>
      </c>
      <c r="C142" s="15">
        <v>0.8301927695623772</v>
      </c>
      <c r="D142" s="15">
        <v>0.83495959486869242</v>
      </c>
    </row>
    <row r="143" spans="1:4" x14ac:dyDescent="0.25">
      <c r="A143" s="2">
        <v>17.774127310061601</v>
      </c>
      <c r="B143" s="15">
        <v>0.83312630459346571</v>
      </c>
      <c r="C143" s="15">
        <v>0.829735323611137</v>
      </c>
      <c r="D143" s="15">
        <v>0.83448709226992157</v>
      </c>
    </row>
    <row r="144" spans="1:4" x14ac:dyDescent="0.25">
      <c r="A144" s="2">
        <v>17.806981519507186</v>
      </c>
      <c r="B144" s="15">
        <v>0.8326490436296442</v>
      </c>
      <c r="C144" s="15">
        <v>0.82927820552482701</v>
      </c>
      <c r="D144" s="15">
        <v>0.8340147932468106</v>
      </c>
    </row>
    <row r="145" spans="1:4" x14ac:dyDescent="0.25">
      <c r="A145" s="2">
        <v>17.872689938398356</v>
      </c>
      <c r="B145" s="15">
        <v>0.83169523189508265</v>
      </c>
      <c r="C145" s="15">
        <v>0.82836495897274509</v>
      </c>
      <c r="D145" s="15">
        <v>0.8330708173737924</v>
      </c>
    </row>
    <row r="146" spans="1:4" x14ac:dyDescent="0.25">
      <c r="A146" s="2">
        <v>17.905544147843944</v>
      </c>
      <c r="B146" s="15">
        <v>0.83121868674596977</v>
      </c>
      <c r="C146" s="15">
        <v>0.82790883348016453</v>
      </c>
      <c r="D146" s="15">
        <v>0.83259914620522146</v>
      </c>
    </row>
    <row r="147" spans="1:4" x14ac:dyDescent="0.25">
      <c r="A147" s="2">
        <v>17.938398357289529</v>
      </c>
      <c r="B147" s="15">
        <v>0.8307423857912215</v>
      </c>
      <c r="C147" s="15">
        <v>0.82745304179912293</v>
      </c>
      <c r="D147" s="15">
        <v>0.8321276899750748</v>
      </c>
    </row>
    <row r="148" spans="1:4" x14ac:dyDescent="0.25">
      <c r="A148" s="2">
        <v>17.971252566735114</v>
      </c>
      <c r="B148" s="15">
        <v>0.83026633179350207</v>
      </c>
      <c r="C148" s="15">
        <v>0.82699758537704282</v>
      </c>
      <c r="D148" s="15">
        <v>0.8316564514824536</v>
      </c>
    </row>
    <row r="149" spans="1:4" x14ac:dyDescent="0.25">
      <c r="A149" s="2">
        <v>18.004106776180699</v>
      </c>
      <c r="B149" s="15">
        <v>0.82979052749633075</v>
      </c>
      <c r="C149" s="15">
        <v>0.82654246564587819</v>
      </c>
      <c r="D149" s="15">
        <v>0.83118543350991592</v>
      </c>
    </row>
    <row r="150" spans="1:4" x14ac:dyDescent="0.25">
      <c r="A150" s="2">
        <v>18.069815195071868</v>
      </c>
      <c r="B150" s="15">
        <v>0.82883967888239063</v>
      </c>
      <c r="C150" s="15">
        <v>0.82563324190743859</v>
      </c>
      <c r="D150" s="15">
        <v>0.83024407017289559</v>
      </c>
    </row>
    <row r="151" spans="1:4" x14ac:dyDescent="0.25">
      <c r="A151" s="2">
        <v>18.135523613963038</v>
      </c>
      <c r="B151" s="15">
        <v>0.82788986151718635</v>
      </c>
      <c r="C151" s="15">
        <v>0.82472538173427989</v>
      </c>
      <c r="D151" s="15">
        <v>0.82930362189542817</v>
      </c>
    </row>
    <row r="152" spans="1:4" x14ac:dyDescent="0.25">
      <c r="A152" s="2">
        <v>18.168377823408623</v>
      </c>
      <c r="B152" s="15">
        <v>0.82741534621013324</v>
      </c>
      <c r="C152" s="15">
        <v>0.82427196640336031</v>
      </c>
      <c r="D152" s="15">
        <v>0.8288337476860087</v>
      </c>
    </row>
    <row r="153" spans="1:4" x14ac:dyDescent="0.25">
      <c r="A153" s="2">
        <v>18.201232032854211</v>
      </c>
      <c r="B153" s="15">
        <v>0.82694109666641602</v>
      </c>
      <c r="C153" s="15">
        <v>0.82381889603642233</v>
      </c>
      <c r="D153" s="15">
        <v>0.82836411034728419</v>
      </c>
    </row>
    <row r="154" spans="1:4" x14ac:dyDescent="0.25">
      <c r="A154" s="2">
        <v>18.299794661190965</v>
      </c>
      <c r="B154" s="15">
        <v>0.82551996863586519</v>
      </c>
      <c r="C154" s="15">
        <v>0.82246176791408732</v>
      </c>
      <c r="D154" s="15">
        <v>0.82695664615544351</v>
      </c>
    </row>
    <row r="155" spans="1:4" x14ac:dyDescent="0.25">
      <c r="A155" s="2">
        <v>18.365503080082135</v>
      </c>
      <c r="B155" s="15">
        <v>0.82457392614533687</v>
      </c>
      <c r="C155" s="15">
        <v>0.82155876458887633</v>
      </c>
      <c r="D155" s="15">
        <v>0.82601956953270006</v>
      </c>
    </row>
    <row r="156" spans="1:4" x14ac:dyDescent="0.25">
      <c r="A156" s="2">
        <v>18.496919917864478</v>
      </c>
      <c r="B156" s="15">
        <v>0.82268523488555811</v>
      </c>
      <c r="C156" s="15">
        <v>0.81975700025732201</v>
      </c>
      <c r="D156" s="15">
        <v>0.82414846840472533</v>
      </c>
    </row>
    <row r="157" spans="1:4" x14ac:dyDescent="0.25">
      <c r="A157" s="2">
        <v>18.529774127310063</v>
      </c>
      <c r="B157" s="15">
        <v>0.82221378355073482</v>
      </c>
      <c r="C157" s="15">
        <v>0.81930745012702078</v>
      </c>
      <c r="D157" s="15">
        <v>0.82368134386761438</v>
      </c>
    </row>
    <row r="158" spans="1:4" x14ac:dyDescent="0.25">
      <c r="A158" s="2">
        <v>18.595482546201232</v>
      </c>
      <c r="B158" s="15">
        <v>0.82127176371818045</v>
      </c>
      <c r="C158" s="15">
        <v>0.81840942735566857</v>
      </c>
      <c r="D158" s="15">
        <v>0.82274789330322962</v>
      </c>
    </row>
    <row r="159" spans="1:4" x14ac:dyDescent="0.25">
      <c r="A159" s="2">
        <v>18.628336755646817</v>
      </c>
      <c r="B159" s="15">
        <v>0.820801200023202</v>
      </c>
      <c r="C159" s="15">
        <v>0.81796095704486071</v>
      </c>
      <c r="D159" s="15">
        <v>0.82228157224637832</v>
      </c>
    </row>
    <row r="160" spans="1:4" x14ac:dyDescent="0.25">
      <c r="A160" s="2">
        <v>18.726899383983572</v>
      </c>
      <c r="B160" s="15">
        <v>0.81939132226616695</v>
      </c>
      <c r="C160" s="15">
        <v>0.81661772411249833</v>
      </c>
      <c r="D160" s="15">
        <v>0.82088425547277355</v>
      </c>
    </row>
    <row r="161" spans="1:4" x14ac:dyDescent="0.25">
      <c r="A161" s="2">
        <v>18.759753593429156</v>
      </c>
      <c r="B161" s="15">
        <v>0.81892197525401456</v>
      </c>
      <c r="C161" s="15">
        <v>0.81617070953034276</v>
      </c>
      <c r="D161" s="15">
        <v>0.82041904011675515</v>
      </c>
    </row>
    <row r="162" spans="1:4" x14ac:dyDescent="0.25">
      <c r="A162" s="2">
        <v>18.82546201232033</v>
      </c>
      <c r="B162" s="15">
        <v>0.81798421344116046</v>
      </c>
      <c r="C162" s="15">
        <v>0.81527778153351549</v>
      </c>
      <c r="D162" s="15">
        <v>0.81948945918097249</v>
      </c>
    </row>
    <row r="163" spans="1:4" x14ac:dyDescent="0.25">
      <c r="A163" s="2">
        <v>18.891170431211499</v>
      </c>
      <c r="B163" s="15">
        <v>0.81704770973453056</v>
      </c>
      <c r="C163" s="15">
        <v>0.8143863288934079</v>
      </c>
      <c r="D163" s="15">
        <v>0.81856102710218404</v>
      </c>
    </row>
    <row r="164" spans="1:4" x14ac:dyDescent="0.25">
      <c r="A164" s="2">
        <v>18.956878850102669</v>
      </c>
      <c r="B164" s="15">
        <v>0.81611248208102805</v>
      </c>
      <c r="C164" s="15">
        <v>0.81349635999254299</v>
      </c>
      <c r="D164" s="15">
        <v>0.81763376265388876</v>
      </c>
    </row>
    <row r="165" spans="1:4" x14ac:dyDescent="0.25">
      <c r="A165" s="2">
        <v>18.989733059548254</v>
      </c>
      <c r="B165" s="15">
        <v>0.81564535230739155</v>
      </c>
      <c r="C165" s="15">
        <v>0.81305193450902857</v>
      </c>
      <c r="D165" s="15">
        <v>0.81717057409172245</v>
      </c>
    </row>
    <row r="166" spans="1:4" x14ac:dyDescent="0.25">
      <c r="A166" s="2">
        <v>19.022587268993838</v>
      </c>
      <c r="B166" s="15">
        <v>0.81517854815270485</v>
      </c>
      <c r="C166" s="15">
        <v>0.81260788301319498</v>
      </c>
      <c r="D166" s="15">
        <v>0.81670768436774865</v>
      </c>
    </row>
    <row r="167" spans="1:4" x14ac:dyDescent="0.25">
      <c r="A167" s="2">
        <v>19.252566735112936</v>
      </c>
      <c r="B167" s="15">
        <v>0.81192021625969102</v>
      </c>
      <c r="C167" s="15">
        <v>0.80951007600421354</v>
      </c>
      <c r="D167" s="15">
        <v>0.8134760133277904</v>
      </c>
    </row>
    <row r="168" spans="1:4" x14ac:dyDescent="0.25">
      <c r="A168" s="2">
        <v>19.515400410677618</v>
      </c>
      <c r="B168" s="15">
        <v>0.80821699348633536</v>
      </c>
      <c r="C168" s="15">
        <v>0.80599263527911813</v>
      </c>
      <c r="D168" s="15">
        <v>0.80980171359845732</v>
      </c>
    </row>
    <row r="169" spans="1:4" x14ac:dyDescent="0.25">
      <c r="A169" s="2">
        <v>19.548254620123203</v>
      </c>
      <c r="B169" s="15">
        <v>0.80775568254303809</v>
      </c>
      <c r="C169" s="15">
        <v>0.80555469444492578</v>
      </c>
      <c r="D169" s="15">
        <v>0.80934390520383248</v>
      </c>
    </row>
    <row r="170" spans="1:4" x14ac:dyDescent="0.25">
      <c r="A170" s="2">
        <v>19.581108829568787</v>
      </c>
      <c r="B170" s="15">
        <v>0.8072947317970397</v>
      </c>
      <c r="C170" s="15">
        <v>0.80511714286970182</v>
      </c>
      <c r="D170" s="15">
        <v>0.80888643239638069</v>
      </c>
    </row>
    <row r="171" spans="1:4" x14ac:dyDescent="0.25">
      <c r="A171" s="2">
        <v>19.646817248459961</v>
      </c>
      <c r="B171" s="15">
        <v>0.80637391843574346</v>
      </c>
      <c r="C171" s="15">
        <v>0.80424321067470883</v>
      </c>
      <c r="D171" s="15">
        <v>0.80797250165873902</v>
      </c>
    </row>
    <row r="172" spans="1:4" x14ac:dyDescent="0.25">
      <c r="A172" s="2">
        <v>19.71252566735113</v>
      </c>
      <c r="B172" s="15">
        <v>0.80545456832335938</v>
      </c>
      <c r="C172" s="15">
        <v>0.80337084494478028</v>
      </c>
      <c r="D172" s="15">
        <v>0.80705993747698157</v>
      </c>
    </row>
    <row r="173" spans="1:4" x14ac:dyDescent="0.25">
      <c r="A173" s="2">
        <v>20.106776180698152</v>
      </c>
      <c r="B173" s="15">
        <v>0.79997000033491117</v>
      </c>
      <c r="C173" s="15">
        <v>0.79816987544769225</v>
      </c>
      <c r="D173" s="15">
        <v>0.80161412330433524</v>
      </c>
    </row>
    <row r="174" spans="1:4" x14ac:dyDescent="0.25">
      <c r="A174" s="2">
        <v>20.205338809034906</v>
      </c>
      <c r="B174" s="15">
        <v>0.79860752437104676</v>
      </c>
      <c r="C174" s="15">
        <v>0.79687862017394517</v>
      </c>
      <c r="D174" s="15">
        <v>0.80026083082389221</v>
      </c>
    </row>
    <row r="175" spans="1:4" x14ac:dyDescent="0.25">
      <c r="A175" s="2">
        <v>20.435318275154003</v>
      </c>
      <c r="B175" s="15">
        <v>0.7954423139529635</v>
      </c>
      <c r="C175" s="15">
        <v>0.793879832559788</v>
      </c>
      <c r="D175" s="15">
        <v>0.79711630651420329</v>
      </c>
    </row>
    <row r="176" spans="1:4" x14ac:dyDescent="0.25">
      <c r="A176" s="2">
        <v>20.468172484599588</v>
      </c>
      <c r="B176" s="15">
        <v>0.79499175238999231</v>
      </c>
      <c r="C176" s="15">
        <v>0.79345305892458229</v>
      </c>
      <c r="D176" s="15">
        <v>0.7966686179065422</v>
      </c>
    </row>
    <row r="177" spans="1:4" x14ac:dyDescent="0.25">
      <c r="A177" s="2">
        <v>20.501026694045173</v>
      </c>
      <c r="B177" s="15">
        <v>0.79454159819475856</v>
      </c>
      <c r="C177" s="15">
        <v>0.79302669308401474</v>
      </c>
      <c r="D177" s="15">
        <v>0.79622131665895168</v>
      </c>
    </row>
    <row r="178" spans="1:4" x14ac:dyDescent="0.25">
      <c r="A178" s="2">
        <v>20.632443531827516</v>
      </c>
      <c r="B178" s="15">
        <v>0.7927450843836128</v>
      </c>
      <c r="C178" s="15">
        <v>0.79132531807211981</v>
      </c>
      <c r="D178" s="15">
        <v>0.79443601826142307</v>
      </c>
    </row>
    <row r="179" spans="1:4" x14ac:dyDescent="0.25">
      <c r="A179" s="2">
        <v>20.6652977412731</v>
      </c>
      <c r="B179" s="15">
        <v>0.79229698887653044</v>
      </c>
      <c r="C179" s="15">
        <v>0.7909009989329322</v>
      </c>
      <c r="D179" s="15">
        <v>0.79399067844867544</v>
      </c>
    </row>
    <row r="180" spans="1:4" x14ac:dyDescent="0.25">
      <c r="A180" s="2">
        <v>20.73100616016427</v>
      </c>
      <c r="B180" s="15">
        <v>0.7914020472917157</v>
      </c>
      <c r="C180" s="15">
        <v>0.79005359360974281</v>
      </c>
      <c r="D180" s="15">
        <v>0.79310119178685701</v>
      </c>
    </row>
    <row r="181" spans="1:4" x14ac:dyDescent="0.25">
      <c r="A181" s="2">
        <v>20.763860369609855</v>
      </c>
      <c r="B181" s="15">
        <v>0.79095520398716834</v>
      </c>
      <c r="C181" s="15">
        <v>0.78963050836924431</v>
      </c>
      <c r="D181" s="15">
        <v>0.79265704809405002</v>
      </c>
    </row>
    <row r="182" spans="1:4" x14ac:dyDescent="0.25">
      <c r="A182" s="2">
        <v>20.928131416837783</v>
      </c>
      <c r="B182" s="15">
        <v>0.78872731661157847</v>
      </c>
      <c r="C182" s="15">
        <v>0.78752127451464959</v>
      </c>
      <c r="D182" s="15">
        <v>0.79044238803742073</v>
      </c>
    </row>
    <row r="183" spans="1:4" x14ac:dyDescent="0.25">
      <c r="A183" s="2">
        <v>21.223819301848049</v>
      </c>
      <c r="B183" s="15">
        <v>0.78474411166144309</v>
      </c>
      <c r="C183" s="15">
        <v>0.78375079366267486</v>
      </c>
      <c r="D183" s="15">
        <v>0.78648191760308606</v>
      </c>
    </row>
    <row r="184" spans="1:4" x14ac:dyDescent="0.25">
      <c r="A184" s="2">
        <v>21.289527720739219</v>
      </c>
      <c r="B184" s="15">
        <v>0.78386374008716486</v>
      </c>
      <c r="C184" s="15">
        <v>0.78291749529014343</v>
      </c>
      <c r="D184" s="15">
        <v>0.78560642210916187</v>
      </c>
    </row>
    <row r="185" spans="1:4" x14ac:dyDescent="0.25">
      <c r="A185" s="2">
        <v>21.355236139630389</v>
      </c>
      <c r="B185" s="15">
        <v>0.78298512345080507</v>
      </c>
      <c r="C185" s="15">
        <v>0.7820858674619281</v>
      </c>
      <c r="D185" s="15">
        <v>0.78473261962798124</v>
      </c>
    </row>
    <row r="186" spans="1:4" x14ac:dyDescent="0.25">
      <c r="A186" s="2">
        <v>21.388090349075977</v>
      </c>
      <c r="B186" s="15">
        <v>0.78254647420782708</v>
      </c>
      <c r="C186" s="15">
        <v>0.78167067972796034</v>
      </c>
      <c r="D186" s="15">
        <v>0.78429635426695921</v>
      </c>
    </row>
    <row r="187" spans="1:4" x14ac:dyDescent="0.25">
      <c r="A187" s="2">
        <v>21.420944558521562</v>
      </c>
      <c r="B187" s="15">
        <v>0.78210826484854834</v>
      </c>
      <c r="C187" s="15">
        <v>0.78125590929143818</v>
      </c>
      <c r="D187" s="15">
        <v>0.78386051334074858</v>
      </c>
    </row>
    <row r="188" spans="1:4" x14ac:dyDescent="0.25">
      <c r="A188" s="2">
        <v>21.585215605749486</v>
      </c>
      <c r="B188" s="15">
        <v>0.77992382870599475</v>
      </c>
      <c r="C188" s="15">
        <v>0.77918831209731132</v>
      </c>
      <c r="D188" s="15">
        <v>0.78168768805257027</v>
      </c>
    </row>
    <row r="189" spans="1:4" x14ac:dyDescent="0.25">
      <c r="A189" s="2">
        <v>21.749486652977414</v>
      </c>
      <c r="B189" s="15">
        <v>0.77775044029336227</v>
      </c>
      <c r="C189" s="15">
        <v>0.77713112688724484</v>
      </c>
      <c r="D189" s="15">
        <v>0.77952552619005611</v>
      </c>
    </row>
    <row r="190" spans="1:4" x14ac:dyDescent="0.25">
      <c r="A190" s="2">
        <v>21.782340862422998</v>
      </c>
      <c r="B190" s="15">
        <v>0.77731709164205454</v>
      </c>
      <c r="C190" s="15">
        <v>0.77672093757444771</v>
      </c>
      <c r="D190" s="15">
        <v>0.77909437689043626</v>
      </c>
    </row>
    <row r="191" spans="1:4" x14ac:dyDescent="0.25">
      <c r="A191" s="2">
        <v>22.012320328542096</v>
      </c>
      <c r="B191" s="15">
        <v>0.77429608711941811</v>
      </c>
      <c r="C191" s="15">
        <v>0.77386123664366346</v>
      </c>
      <c r="D191" s="15">
        <v>0.77608834082598488</v>
      </c>
    </row>
    <row r="192" spans="1:4" x14ac:dyDescent="0.25">
      <c r="A192" s="2">
        <v>22.17659137577002</v>
      </c>
      <c r="B192" s="15">
        <v>0.77215158025039277</v>
      </c>
      <c r="C192" s="15">
        <v>0.77183102255331226</v>
      </c>
      <c r="D192" s="15">
        <v>0.77395407048514031</v>
      </c>
    </row>
    <row r="193" spans="1:4" x14ac:dyDescent="0.25">
      <c r="A193" s="2">
        <v>22.308008213552363</v>
      </c>
      <c r="B193" s="15">
        <v>0.77044400516214862</v>
      </c>
      <c r="C193" s="15">
        <v>0.77021428878996934</v>
      </c>
      <c r="D193" s="15">
        <v>0.77225441329236755</v>
      </c>
    </row>
    <row r="194" spans="1:4" x14ac:dyDescent="0.25">
      <c r="A194" s="2">
        <v>22.570841889117045</v>
      </c>
      <c r="B194" s="15">
        <v>0.76705030885169934</v>
      </c>
      <c r="C194" s="15">
        <v>0.7670005915262037</v>
      </c>
      <c r="D194" s="15">
        <v>0.7688758348378284</v>
      </c>
    </row>
    <row r="195" spans="1:4" x14ac:dyDescent="0.25">
      <c r="A195" s="2">
        <v>22.735112936344969</v>
      </c>
      <c r="B195" s="15">
        <v>0.76494379410490165</v>
      </c>
      <c r="C195" s="15">
        <v>0.76500537065591168</v>
      </c>
      <c r="D195" s="15">
        <v>0.76677828671330484</v>
      </c>
    </row>
    <row r="196" spans="1:4" x14ac:dyDescent="0.25">
      <c r="A196" s="2">
        <v>22.833675564681723</v>
      </c>
      <c r="B196" s="15">
        <v>0.76368526041268125</v>
      </c>
      <c r="C196" s="15">
        <v>0.76381314655537136</v>
      </c>
      <c r="D196" s="15">
        <v>0.76552495650213925</v>
      </c>
    </row>
    <row r="197" spans="1:4" x14ac:dyDescent="0.25">
      <c r="A197" s="2">
        <v>22.932238193018481</v>
      </c>
      <c r="B197" s="15">
        <v>0.76243075938463933</v>
      </c>
      <c r="C197" s="15">
        <v>0.76262459448208664</v>
      </c>
      <c r="D197" s="15">
        <v>0.7642755273901326</v>
      </c>
    </row>
    <row r="198" spans="1:4" x14ac:dyDescent="0.25">
      <c r="A198" s="2">
        <v>23.227926078028748</v>
      </c>
      <c r="B198" s="15">
        <v>0.75869145440696673</v>
      </c>
      <c r="C198" s="15">
        <v>0.75908089058207073</v>
      </c>
      <c r="D198" s="15">
        <v>0.76055065562669155</v>
      </c>
    </row>
    <row r="199" spans="1:4" x14ac:dyDescent="0.25">
      <c r="A199" s="2">
        <v>23.392197125256672</v>
      </c>
      <c r="B199" s="15">
        <v>0.75662974231241997</v>
      </c>
      <c r="C199" s="15">
        <v>0.75712633324758261</v>
      </c>
      <c r="D199" s="15">
        <v>0.7584964600075661</v>
      </c>
    </row>
    <row r="200" spans="1:4" x14ac:dyDescent="0.25">
      <c r="A200" s="2">
        <v>23.457905544147845</v>
      </c>
      <c r="B200" s="15">
        <v>0.7558081915364373</v>
      </c>
      <c r="C200" s="15">
        <v>0.75634733173769519</v>
      </c>
      <c r="D200" s="15">
        <v>0.75767781643936072</v>
      </c>
    </row>
    <row r="201" spans="1:4" x14ac:dyDescent="0.25">
      <c r="A201" s="2">
        <v>23.5564681724846</v>
      </c>
      <c r="B201" s="15">
        <v>0.75457922140031353</v>
      </c>
      <c r="C201" s="15">
        <v>0.75518184411681744</v>
      </c>
      <c r="D201" s="15">
        <v>0.75645310133056387</v>
      </c>
    </row>
    <row r="202" spans="1:4" x14ac:dyDescent="0.25">
      <c r="A202" s="2">
        <v>23.687885010266939</v>
      </c>
      <c r="B202" s="15">
        <v>0.75294685517505222</v>
      </c>
      <c r="C202" s="15">
        <v>0.75363347366663902</v>
      </c>
      <c r="D202" s="15">
        <v>0.7548262122022007</v>
      </c>
    </row>
    <row r="203" spans="1:4" x14ac:dyDescent="0.25">
      <c r="A203" s="2">
        <v>23.720739219712527</v>
      </c>
      <c r="B203" s="15">
        <v>0.75253988087246826</v>
      </c>
      <c r="C203" s="15">
        <v>0.75324738107909428</v>
      </c>
      <c r="D203" s="15">
        <v>0.75442057231637683</v>
      </c>
    </row>
    <row r="204" spans="1:4" x14ac:dyDescent="0.25">
      <c r="A204" s="2">
        <v>23.753593429158112</v>
      </c>
      <c r="B204" s="15">
        <v>0.75213335323433406</v>
      </c>
      <c r="C204" s="15">
        <v>0.75286168780083229</v>
      </c>
      <c r="D204" s="15">
        <v>0.7540153652099536</v>
      </c>
    </row>
    <row r="205" spans="1:4" x14ac:dyDescent="0.25">
      <c r="A205" s="2">
        <v>23.885010266940451</v>
      </c>
      <c r="B205" s="15">
        <v>0.7505117067104814</v>
      </c>
      <c r="C205" s="15">
        <v>0.75132290067248908</v>
      </c>
      <c r="D205" s="15">
        <v>0.75239886254762323</v>
      </c>
    </row>
    <row r="206" spans="1:4" x14ac:dyDescent="0.25">
      <c r="A206" s="2">
        <v>23.950718685831621</v>
      </c>
      <c r="B206" s="15">
        <v>0.74970355990046078</v>
      </c>
      <c r="C206" s="15">
        <v>0.75055589366876518</v>
      </c>
      <c r="D206" s="15">
        <v>0.75159320512184358</v>
      </c>
    </row>
    <row r="207" spans="1:4" x14ac:dyDescent="0.25">
      <c r="A207" s="2">
        <v>23.983572895277206</v>
      </c>
      <c r="B207" s="15">
        <v>0.74930015508412906</v>
      </c>
      <c r="C207" s="15">
        <v>0.75017298553608791</v>
      </c>
      <c r="D207" s="15">
        <v>0.75119102446489738</v>
      </c>
    </row>
    <row r="208" spans="1:4" x14ac:dyDescent="0.25">
      <c r="A208" s="2">
        <v>24.016427104722794</v>
      </c>
      <c r="B208" s="15">
        <v>0.74889719578151104</v>
      </c>
      <c r="C208" s="15">
        <v>0.74979047382708452</v>
      </c>
      <c r="D208" s="15">
        <v>0.75078927567301779</v>
      </c>
    </row>
    <row r="209" spans="1:4" x14ac:dyDescent="0.25">
      <c r="A209" s="2">
        <v>24.049281314168379</v>
      </c>
      <c r="B209" s="15">
        <v>0.74849468182786982</v>
      </c>
      <c r="C209" s="15">
        <v>0.7494083581726555</v>
      </c>
      <c r="D209" s="15">
        <v>0.75038795861146701</v>
      </c>
    </row>
    <row r="210" spans="1:4" x14ac:dyDescent="0.25">
      <c r="A210" s="2">
        <v>24.082135523613964</v>
      </c>
      <c r="B210" s="15">
        <v>0.74809261305397767</v>
      </c>
      <c r="C210" s="15">
        <v>0.74902663820192061</v>
      </c>
      <c r="D210" s="15">
        <v>0.74998707314110746</v>
      </c>
    </row>
    <row r="211" spans="1:4" x14ac:dyDescent="0.25">
      <c r="A211" s="2">
        <v>24.114989733059549</v>
      </c>
      <c r="B211" s="15">
        <v>0.74769098928615862</v>
      </c>
      <c r="C211" s="15">
        <v>0.7486453135422465</v>
      </c>
      <c r="D211" s="15">
        <v>0.74958661911843993</v>
      </c>
    </row>
    <row r="212" spans="1:4" x14ac:dyDescent="0.25">
      <c r="A212" s="2">
        <v>24.213552361396303</v>
      </c>
      <c r="B212" s="15">
        <v>0.74648878621659931</v>
      </c>
      <c r="C212" s="15">
        <v>0.74750370767745078</v>
      </c>
      <c r="D212" s="15">
        <v>0.74838784423708715</v>
      </c>
    </row>
    <row r="213" spans="1:4" x14ac:dyDescent="0.25">
      <c r="A213" s="2">
        <v>24.312114989733061</v>
      </c>
      <c r="B213" s="15">
        <v>0.74529058153163008</v>
      </c>
      <c r="C213" s="15">
        <v>0.74636564603414812</v>
      </c>
      <c r="D213" s="15">
        <v>0.74719294680916237</v>
      </c>
    </row>
    <row r="214" spans="1:4" x14ac:dyDescent="0.25">
      <c r="A214" s="2">
        <v>24.344969199178646</v>
      </c>
      <c r="B214" s="15">
        <v>0.74489206757900917</v>
      </c>
      <c r="C214" s="15">
        <v>0.74598707797595987</v>
      </c>
      <c r="D214" s="15">
        <v>0.74679550854482024</v>
      </c>
    </row>
    <row r="215" spans="1:4" x14ac:dyDescent="0.25">
      <c r="A215" s="2">
        <v>24.377823408624231</v>
      </c>
      <c r="B215" s="15">
        <v>0.74449399708817587</v>
      </c>
      <c r="C215" s="15">
        <v>0.7456089021875516</v>
      </c>
      <c r="D215" s="15">
        <v>0.74639850042815148</v>
      </c>
    </row>
    <row r="216" spans="1:4" x14ac:dyDescent="0.25">
      <c r="A216" s="2">
        <v>24.476386036960985</v>
      </c>
      <c r="B216" s="15">
        <v>0.74330244424877445</v>
      </c>
      <c r="C216" s="15">
        <v>0.74447672456019087</v>
      </c>
      <c r="D216" s="15">
        <v>0.74521005513537553</v>
      </c>
    </row>
    <row r="217" spans="1:4" x14ac:dyDescent="0.25">
      <c r="A217" s="2">
        <v>24.542094455852155</v>
      </c>
      <c r="B217" s="15">
        <v>0.74251028900947436</v>
      </c>
      <c r="C217" s="15">
        <v>0.74372389368324399</v>
      </c>
      <c r="D217" s="15">
        <v>0.74441990559046878</v>
      </c>
    </row>
    <row r="218" spans="1:4" x14ac:dyDescent="0.25">
      <c r="A218" s="2">
        <v>24.57494866529774</v>
      </c>
      <c r="B218" s="15">
        <v>0.74211487470317461</v>
      </c>
      <c r="C218" s="15">
        <v>0.74334806332743608</v>
      </c>
      <c r="D218" s="15">
        <v>0.74402547442361222</v>
      </c>
    </row>
    <row r="219" spans="1:4" x14ac:dyDescent="0.25">
      <c r="A219" s="2">
        <v>24.673511293634498</v>
      </c>
      <c r="B219" s="15">
        <v>0.74093128220314741</v>
      </c>
      <c r="C219" s="15">
        <v>0.74222290783365363</v>
      </c>
      <c r="D219" s="15">
        <v>0.74284475288531315</v>
      </c>
    </row>
    <row r="220" spans="1:4" x14ac:dyDescent="0.25">
      <c r="A220" s="2">
        <v>24.739219712525667</v>
      </c>
      <c r="B220" s="15">
        <v>0.74014442678176595</v>
      </c>
      <c r="C220" s="15">
        <v>0.74147474649102418</v>
      </c>
      <c r="D220" s="15">
        <v>0.74205974637085059</v>
      </c>
    </row>
    <row r="221" spans="1:4" x14ac:dyDescent="0.25">
      <c r="A221" s="2">
        <v>24.772073921971252</v>
      </c>
      <c r="B221" s="15">
        <v>0.73975166019422056</v>
      </c>
      <c r="C221" s="15">
        <v>0.74110124731127025</v>
      </c>
      <c r="D221" s="15">
        <v>0.74166788481059875</v>
      </c>
    </row>
    <row r="222" spans="1:4" x14ac:dyDescent="0.25">
      <c r="A222" s="2">
        <v>24.804928131416837</v>
      </c>
      <c r="B222" s="15">
        <v>0.73935933401346365</v>
      </c>
      <c r="C222" s="15">
        <v>0.74072813525424719</v>
      </c>
      <c r="D222" s="15">
        <v>0.74127645074827242</v>
      </c>
    </row>
    <row r="223" spans="1:4" x14ac:dyDescent="0.25">
      <c r="A223" s="2">
        <v>24.903490759753595</v>
      </c>
      <c r="B223" s="15">
        <v>0.73818499528510684</v>
      </c>
      <c r="C223" s="15">
        <v>0.73961111776033051</v>
      </c>
      <c r="D223" s="15">
        <v>0.74010471123700317</v>
      </c>
    </row>
    <row r="224" spans="1:4" x14ac:dyDescent="0.25">
      <c r="A224" s="2">
        <v>25.002053388090349</v>
      </c>
      <c r="B224" s="15">
        <v>0.73701461061559104</v>
      </c>
      <c r="C224" s="15">
        <v>0.73849756970683733</v>
      </c>
      <c r="D224" s="15">
        <v>0.73893681073998463</v>
      </c>
    </row>
    <row r="225" spans="1:4" x14ac:dyDescent="0.25">
      <c r="A225" s="2">
        <v>25.034907597535934</v>
      </c>
      <c r="B225" s="15">
        <v>0.73662535978216581</v>
      </c>
      <c r="C225" s="15">
        <v>0.73812715609249424</v>
      </c>
      <c r="D225" s="15">
        <v>0.73854836254611533</v>
      </c>
    </row>
    <row r="226" spans="1:4" x14ac:dyDescent="0.25">
      <c r="A226" s="2">
        <v>25.166324435318277</v>
      </c>
      <c r="B226" s="15">
        <v>0.73507273578250809</v>
      </c>
      <c r="C226" s="15">
        <v>0.73664933595094839</v>
      </c>
      <c r="D226" s="15">
        <v>0.73699882285956697</v>
      </c>
    </row>
    <row r="227" spans="1:4" x14ac:dyDescent="0.25">
      <c r="A227" s="2">
        <v>25.232032854209447</v>
      </c>
      <c r="B227" s="15">
        <v>0.73429904727248618</v>
      </c>
      <c r="C227" s="15">
        <v>0.73591272063847013</v>
      </c>
      <c r="D227" s="15">
        <v>0.73622660120304173</v>
      </c>
    </row>
    <row r="228" spans="1:4" x14ac:dyDescent="0.25">
      <c r="A228" s="2">
        <v>25.264887063655031</v>
      </c>
      <c r="B228" s="15">
        <v>0.73391285784022342</v>
      </c>
      <c r="C228" s="15">
        <v>0.73554498520671652</v>
      </c>
      <c r="D228" s="15">
        <v>0.73584112648285638</v>
      </c>
    </row>
    <row r="229" spans="1:4" x14ac:dyDescent="0.25">
      <c r="A229" s="2">
        <v>25.297741273100616</v>
      </c>
      <c r="B229" s="15">
        <v>0.73352710454833581</v>
      </c>
      <c r="C229" s="15">
        <v>0.73517763069713371</v>
      </c>
      <c r="D229" s="15">
        <v>0.73545607546894509</v>
      </c>
    </row>
    <row r="230" spans="1:4" x14ac:dyDescent="0.25">
      <c r="A230" s="2">
        <v>25.363449691991786</v>
      </c>
      <c r="B230" s="15">
        <v>0.73275690514318903</v>
      </c>
      <c r="C230" s="15">
        <v>0.73444406275618568</v>
      </c>
      <c r="D230" s="15">
        <v>0.73468724344452474</v>
      </c>
    </row>
    <row r="231" spans="1:4" x14ac:dyDescent="0.25">
      <c r="A231" s="2">
        <v>25.494866529774129</v>
      </c>
      <c r="B231" s="15">
        <v>0.73122172618440762</v>
      </c>
      <c r="C231" s="15">
        <v>0.73298147931651703</v>
      </c>
      <c r="D231" s="15">
        <v>0.73315465143596159</v>
      </c>
    </row>
    <row r="232" spans="1:4" x14ac:dyDescent="0.25">
      <c r="A232" s="2">
        <v>25.593429158110883</v>
      </c>
      <c r="B232" s="15">
        <v>0.73007489913738244</v>
      </c>
      <c r="C232" s="15">
        <v>0.73188851169825586</v>
      </c>
      <c r="D232" s="15">
        <v>0.73200963626754956</v>
      </c>
    </row>
    <row r="233" spans="1:4" x14ac:dyDescent="0.25">
      <c r="A233" s="2">
        <v>25.757700205338811</v>
      </c>
      <c r="B233" s="15">
        <v>0.72817217437272852</v>
      </c>
      <c r="C233" s="15">
        <v>0.73007442649760601</v>
      </c>
      <c r="D233" s="15">
        <v>0.73010968939469012</v>
      </c>
    </row>
    <row r="234" spans="1:4" x14ac:dyDescent="0.25">
      <c r="A234" s="2">
        <v>25.95482546201232</v>
      </c>
      <c r="B234" s="15">
        <v>0.7259031299650841</v>
      </c>
      <c r="C234" s="15">
        <v>0.7279098779849118</v>
      </c>
      <c r="D234" s="15">
        <v>0.72784358419311035</v>
      </c>
    </row>
    <row r="235" spans="1:4" x14ac:dyDescent="0.25">
      <c r="A235" s="2">
        <v>26.020533880903489</v>
      </c>
      <c r="B235" s="15">
        <v>0.72515021805865532</v>
      </c>
      <c r="C235" s="15">
        <v>0.72719134155494425</v>
      </c>
      <c r="D235" s="15">
        <v>0.72709155753895738</v>
      </c>
    </row>
    <row r="236" spans="1:4" x14ac:dyDescent="0.25">
      <c r="A236" s="2">
        <v>26.119096509240247</v>
      </c>
      <c r="B236" s="15">
        <v>0.72402406161477739</v>
      </c>
      <c r="C236" s="15">
        <v>0.72611631836319313</v>
      </c>
      <c r="D236" s="15">
        <v>0.7259666412624588</v>
      </c>
    </row>
    <row r="237" spans="1:4" x14ac:dyDescent="0.25">
      <c r="A237" s="2">
        <v>26.184804928131417</v>
      </c>
      <c r="B237" s="15">
        <v>0.72327542724418159</v>
      </c>
      <c r="C237" s="15">
        <v>0.72540148540022309</v>
      </c>
      <c r="D237" s="15">
        <v>0.72521877556274961</v>
      </c>
    </row>
    <row r="238" spans="1:4" x14ac:dyDescent="0.25">
      <c r="A238" s="2">
        <v>26.217659137577002</v>
      </c>
      <c r="B238" s="15">
        <v>0.722901749903892</v>
      </c>
      <c r="C238" s="15">
        <v>0.7250446223437006</v>
      </c>
      <c r="D238" s="15">
        <v>0.72484546521978033</v>
      </c>
    </row>
    <row r="239" spans="1:4" x14ac:dyDescent="0.25">
      <c r="A239" s="2">
        <v>26.250513347022586</v>
      </c>
      <c r="B239" s="15">
        <v>0.72252849861841495</v>
      </c>
      <c r="C239" s="15">
        <v>0.72468812764718971</v>
      </c>
      <c r="D239" s="15">
        <v>0.72447256941461025</v>
      </c>
    </row>
    <row r="240" spans="1:4" x14ac:dyDescent="0.25">
      <c r="A240" s="2">
        <v>26.316221765913756</v>
      </c>
      <c r="B240" s="15">
        <v>0.72178327267336018</v>
      </c>
      <c r="C240" s="15">
        <v>0.72397624156111662</v>
      </c>
      <c r="D240" s="15">
        <v>0.72372802000411107</v>
      </c>
    </row>
    <row r="241" spans="1:4" x14ac:dyDescent="0.25">
      <c r="A241" s="2">
        <v>26.447638603696099</v>
      </c>
      <c r="B241" s="15">
        <v>0.72029791639901353</v>
      </c>
      <c r="C241" s="15">
        <v>0.72255687017677672</v>
      </c>
      <c r="D241" s="15">
        <v>0.72224387996729833</v>
      </c>
    </row>
    <row r="242" spans="1:4" x14ac:dyDescent="0.25">
      <c r="A242" s="2">
        <v>26.480492813141684</v>
      </c>
      <c r="B242" s="15">
        <v>0.71992763662468939</v>
      </c>
      <c r="C242" s="15">
        <v>0.72220294156417475</v>
      </c>
      <c r="D242" s="15">
        <v>0.72187387592709606</v>
      </c>
    </row>
    <row r="243" spans="1:4" x14ac:dyDescent="0.25">
      <c r="A243" s="2">
        <v>26.90759753593429</v>
      </c>
      <c r="B243" s="15">
        <v>0.71515233796263877</v>
      </c>
      <c r="C243" s="15">
        <v>0.71763490340990388</v>
      </c>
      <c r="D243" s="15">
        <v>0.71710114761386246</v>
      </c>
    </row>
    <row r="244" spans="1:4" x14ac:dyDescent="0.25">
      <c r="A244" s="2">
        <v>27.104722792607802</v>
      </c>
      <c r="B244" s="15">
        <v>0.71297221090467811</v>
      </c>
      <c r="C244" s="15">
        <v>0.71554709874906364</v>
      </c>
      <c r="D244" s="15">
        <v>0.71492158321129673</v>
      </c>
    </row>
    <row r="245" spans="1:4" x14ac:dyDescent="0.25">
      <c r="A245" s="2">
        <v>27.170431211498972</v>
      </c>
      <c r="B245" s="15">
        <v>0.71224882653066768</v>
      </c>
      <c r="C245" s="15">
        <v>0.71485401867516196</v>
      </c>
      <c r="D245" s="15">
        <v>0.71419830055070554</v>
      </c>
    </row>
    <row r="246" spans="1:4" x14ac:dyDescent="0.25">
      <c r="A246" s="2">
        <v>27.20328542094456</v>
      </c>
      <c r="B246" s="15">
        <v>0.71188775577061103</v>
      </c>
      <c r="C246" s="15">
        <v>0.71450801187791479</v>
      </c>
      <c r="D246" s="15">
        <v>0.7138372646871789</v>
      </c>
    </row>
    <row r="247" spans="1:4" x14ac:dyDescent="0.25">
      <c r="A247" s="2">
        <v>27.466119096509239</v>
      </c>
      <c r="B247" s="15">
        <v>0.70901404608109331</v>
      </c>
      <c r="C247" s="15">
        <v>0.71175269536428054</v>
      </c>
      <c r="D247" s="15">
        <v>0.71096345503439717</v>
      </c>
    </row>
    <row r="248" spans="1:4" x14ac:dyDescent="0.25">
      <c r="A248" s="2">
        <v>27.531827515400412</v>
      </c>
      <c r="B248" s="15">
        <v>0.70829972919577133</v>
      </c>
      <c r="C248" s="15">
        <v>0.71106738787574919</v>
      </c>
      <c r="D248" s="15">
        <v>0.71024900892040865</v>
      </c>
    </row>
    <row r="249" spans="1:4" x14ac:dyDescent="0.25">
      <c r="A249" s="2">
        <v>27.630390143737166</v>
      </c>
      <c r="B249" s="15">
        <v>0.70723132222530638</v>
      </c>
      <c r="C249" s="15">
        <v>0.71004205309397028</v>
      </c>
      <c r="D249" s="15">
        <v>0.70918033087557431</v>
      </c>
    </row>
    <row r="250" spans="1:4" x14ac:dyDescent="0.25">
      <c r="A250" s="2">
        <v>27.663244353182751</v>
      </c>
      <c r="B250" s="15">
        <v>0.70687600298903452</v>
      </c>
      <c r="C250" s="15">
        <v>0.70970097339980198</v>
      </c>
      <c r="D250" s="15">
        <v>0.7088249008016777</v>
      </c>
    </row>
    <row r="251" spans="1:4" x14ac:dyDescent="0.25">
      <c r="A251" s="2">
        <v>28.024640657084188</v>
      </c>
      <c r="B251" s="15">
        <v>0.70299428243248241</v>
      </c>
      <c r="C251" s="15">
        <v>0.70597199916559372</v>
      </c>
      <c r="D251" s="15">
        <v>0.70494129463183552</v>
      </c>
    </row>
    <row r="252" spans="1:4" x14ac:dyDescent="0.25">
      <c r="A252" s="2">
        <v>28.057494866529773</v>
      </c>
      <c r="B252" s="15">
        <v>0.7026438222940351</v>
      </c>
      <c r="C252" s="15">
        <v>0.70563507169916262</v>
      </c>
      <c r="D252" s="15">
        <v>0.70459060322657507</v>
      </c>
    </row>
    <row r="253" spans="1:4" x14ac:dyDescent="0.25">
      <c r="A253" s="2">
        <v>28.090349075975361</v>
      </c>
      <c r="B253" s="15">
        <v>0.70229376406408028</v>
      </c>
      <c r="C253" s="15">
        <v>0.70529848729017575</v>
      </c>
      <c r="D253" s="15">
        <v>0.70424030387640801</v>
      </c>
    </row>
    <row r="254" spans="1:4" x14ac:dyDescent="0.25">
      <c r="A254" s="2">
        <v>28.156057494866531</v>
      </c>
      <c r="B254" s="15">
        <v>0.7015948514533541</v>
      </c>
      <c r="C254" s="15">
        <v>0.70462634582213901</v>
      </c>
      <c r="D254" s="15">
        <v>0.70354087957568079</v>
      </c>
    </row>
    <row r="255" spans="1:4" x14ac:dyDescent="0.25">
      <c r="A255" s="2">
        <v>28.188911704312115</v>
      </c>
      <c r="B255" s="15">
        <v>0.70124599613204741</v>
      </c>
      <c r="C255" s="15">
        <v>0.70429078785197641</v>
      </c>
      <c r="D255" s="15">
        <v>0.70319175373968645</v>
      </c>
    </row>
    <row r="256" spans="1:4" x14ac:dyDescent="0.25">
      <c r="A256" s="2">
        <v>28.2217659137577</v>
      </c>
      <c r="B256" s="15">
        <v>0.70089754083819467</v>
      </c>
      <c r="C256" s="15">
        <v>0.70395557111704721</v>
      </c>
      <c r="D256" s="15">
        <v>0.70284301818794925</v>
      </c>
    </row>
    <row r="257" spans="1:4" x14ac:dyDescent="0.25">
      <c r="A257" s="2">
        <v>28.28747433264887</v>
      </c>
      <c r="B257" s="15">
        <v>0.70020182844162093</v>
      </c>
      <c r="C257" s="15">
        <v>0.70328615953118612</v>
      </c>
      <c r="D257" s="15">
        <v>0.70214671615528701</v>
      </c>
    </row>
    <row r="258" spans="1:4" x14ac:dyDescent="0.25">
      <c r="A258" s="2">
        <v>28.418891170431213</v>
      </c>
      <c r="B258" s="15">
        <v>0.69881518312499102</v>
      </c>
      <c r="C258" s="15">
        <v>0.70195141114724635</v>
      </c>
      <c r="D258" s="15">
        <v>0.70075877584532953</v>
      </c>
    </row>
    <row r="259" spans="1:4" x14ac:dyDescent="0.25">
      <c r="A259" s="2">
        <v>28.451745379876797</v>
      </c>
      <c r="B259" s="15">
        <v>0.69846951474181196</v>
      </c>
      <c r="C259" s="15">
        <v>0.70161857031041663</v>
      </c>
      <c r="D259" s="15">
        <v>0.70041275976259698</v>
      </c>
    </row>
    <row r="260" spans="1:4" x14ac:dyDescent="0.25">
      <c r="A260" s="2">
        <v>28.484599589322382</v>
      </c>
      <c r="B260" s="15">
        <v>0.69812424258116013</v>
      </c>
      <c r="C260" s="15">
        <v>0.70128606706733509</v>
      </c>
      <c r="D260" s="15">
        <v>0.70006713037550461</v>
      </c>
    </row>
    <row r="261" spans="1:4" x14ac:dyDescent="0.25">
      <c r="A261" s="2">
        <v>28.583162217659137</v>
      </c>
      <c r="B261" s="15">
        <v>0.69709079863720502</v>
      </c>
      <c r="C261" s="15">
        <v>0.70029057835335662</v>
      </c>
      <c r="D261" s="15">
        <v>0.69903255785692864</v>
      </c>
    </row>
    <row r="262" spans="1:4" x14ac:dyDescent="0.25">
      <c r="A262" s="2">
        <v>28.780287474332649</v>
      </c>
      <c r="B262" s="15">
        <v>0.69503454381042251</v>
      </c>
      <c r="C262" s="15">
        <v>0.69830865459955871</v>
      </c>
      <c r="D262" s="15">
        <v>0.69697379222431166</v>
      </c>
    </row>
    <row r="263" spans="1:4" x14ac:dyDescent="0.25">
      <c r="A263" s="2">
        <v>28.813141683778234</v>
      </c>
      <c r="B263" s="15">
        <v>0.69469320738875129</v>
      </c>
      <c r="C263" s="15">
        <v>0.69797950230163008</v>
      </c>
      <c r="D263" s="15">
        <v>0.69663200475822695</v>
      </c>
    </row>
    <row r="264" spans="1:4" x14ac:dyDescent="0.25">
      <c r="A264" s="2">
        <v>29.010266940451746</v>
      </c>
      <c r="B264" s="15">
        <v>0.69265338089222961</v>
      </c>
      <c r="C264" s="15">
        <v>0.696011557223291</v>
      </c>
      <c r="D264" s="15">
        <v>0.69458927887770594</v>
      </c>
    </row>
    <row r="265" spans="1:4" x14ac:dyDescent="0.25">
      <c r="A265" s="2">
        <v>29.17453798767967</v>
      </c>
      <c r="B265" s="15">
        <v>0.69096419933435549</v>
      </c>
      <c r="C265" s="15">
        <v>0.69438067890079858</v>
      </c>
      <c r="D265" s="15">
        <v>0.69289743106138835</v>
      </c>
    </row>
    <row r="266" spans="1:4" x14ac:dyDescent="0.25">
      <c r="A266" s="2">
        <v>29.207392197125255</v>
      </c>
      <c r="B266" s="15">
        <v>0.69062752155171603</v>
      </c>
      <c r="C266" s="15">
        <v>0.69405548791272387</v>
      </c>
      <c r="D266" s="15">
        <v>0.6925601930432691</v>
      </c>
    </row>
    <row r="267" spans="1:4" x14ac:dyDescent="0.25">
      <c r="A267" s="2">
        <v>29.240246406570844</v>
      </c>
      <c r="B267" s="15">
        <v>0.69029122879580052</v>
      </c>
      <c r="C267" s="15">
        <v>0.69373062409733699</v>
      </c>
      <c r="D267" s="15">
        <v>0.69222333111498013</v>
      </c>
    </row>
    <row r="268" spans="1:4" x14ac:dyDescent="0.25">
      <c r="A268" s="2">
        <v>29.273100616016428</v>
      </c>
      <c r="B268" s="15">
        <v>0.68995532057294873</v>
      </c>
      <c r="C268" s="15">
        <v>0.6934060870039056</v>
      </c>
      <c r="D268" s="15">
        <v>0.69188684480740292</v>
      </c>
    </row>
    <row r="269" spans="1:4" x14ac:dyDescent="0.25">
      <c r="A269" s="2">
        <v>29.305954825462013</v>
      </c>
      <c r="B269" s="15">
        <v>0.68961979638903248</v>
      </c>
      <c r="C269" s="15">
        <v>0.69308187618193751</v>
      </c>
      <c r="D269" s="15">
        <v>0.69155073365085706</v>
      </c>
    </row>
    <row r="270" spans="1:4" x14ac:dyDescent="0.25">
      <c r="A270" s="2">
        <v>29.338809034907598</v>
      </c>
      <c r="B270" s="15">
        <v>0.68928465574946851</v>
      </c>
      <c r="C270" s="15">
        <v>0.69275799118118564</v>
      </c>
      <c r="D270" s="15">
        <v>0.69121499717511248</v>
      </c>
    </row>
    <row r="271" spans="1:4" x14ac:dyDescent="0.25">
      <c r="A271" s="2">
        <v>30.094455852156056</v>
      </c>
      <c r="B271" s="15">
        <v>0.68168113585215684</v>
      </c>
      <c r="C271" s="15">
        <v>0.68539753128044789</v>
      </c>
      <c r="D271" s="15">
        <v>0.68359538129333719</v>
      </c>
    </row>
    <row r="272" spans="1:4" x14ac:dyDescent="0.25">
      <c r="A272" s="2">
        <v>30.160164271047229</v>
      </c>
      <c r="B272" s="15">
        <v>0.68102933704644431</v>
      </c>
      <c r="C272" s="15">
        <v>0.68476544663871086</v>
      </c>
      <c r="D272" s="15">
        <v>0.68294197119462952</v>
      </c>
    </row>
    <row r="273" spans="1:4" x14ac:dyDescent="0.25">
      <c r="A273" s="2">
        <v>30.652977412731005</v>
      </c>
      <c r="B273" s="15">
        <v>0.6761878146482011</v>
      </c>
      <c r="C273" s="15">
        <v>0.68006463074058765</v>
      </c>
      <c r="D273" s="15">
        <v>0.67808732228893687</v>
      </c>
    </row>
    <row r="274" spans="1:4" x14ac:dyDescent="0.25">
      <c r="A274" s="2">
        <v>30.751540041067763</v>
      </c>
      <c r="B274" s="15">
        <v>0.67522936581754445</v>
      </c>
      <c r="C274" s="15">
        <v>0.67913282072839243</v>
      </c>
      <c r="D274" s="15">
        <v>0.67712603132836724</v>
      </c>
    </row>
    <row r="275" spans="1:4" x14ac:dyDescent="0.25">
      <c r="A275" s="2">
        <v>30.882956878850102</v>
      </c>
      <c r="B275" s="15">
        <v>0.67395649262741697</v>
      </c>
      <c r="C275" s="15">
        <v>0.67789469378995615</v>
      </c>
      <c r="D275" s="15">
        <v>0.67584925830433706</v>
      </c>
    </row>
    <row r="276" spans="1:4" x14ac:dyDescent="0.25">
      <c r="A276" s="2">
        <v>30.948665297741272</v>
      </c>
      <c r="B276" s="15">
        <v>0.67332221491986755</v>
      </c>
      <c r="C276" s="15">
        <v>0.67727745953266116</v>
      </c>
      <c r="D276" s="15">
        <v>0.67521298375482863</v>
      </c>
    </row>
    <row r="277" spans="1:4" x14ac:dyDescent="0.25">
      <c r="A277" s="2">
        <v>31.04722792607803</v>
      </c>
      <c r="B277" s="15">
        <v>0.67237348562219379</v>
      </c>
      <c r="C277" s="15">
        <v>0.67635388491320614</v>
      </c>
      <c r="D277" s="15">
        <v>0.67426120097914144</v>
      </c>
    </row>
    <row r="278" spans="1:4" x14ac:dyDescent="0.25">
      <c r="A278" s="2">
        <v>31.408624229979466</v>
      </c>
      <c r="B278" s="15">
        <v>0.66892219377900131</v>
      </c>
      <c r="C278" s="15">
        <v>0.67299064240494311</v>
      </c>
      <c r="D278" s="15">
        <v>0.6707981232308845</v>
      </c>
    </row>
    <row r="279" spans="1:4" x14ac:dyDescent="0.25">
      <c r="A279" s="2">
        <v>31.507186858316221</v>
      </c>
      <c r="B279" s="15">
        <v>0.66798834031553012</v>
      </c>
      <c r="C279" s="15">
        <v>0.67207967005999869</v>
      </c>
      <c r="D279" s="15">
        <v>0.66986089679242822</v>
      </c>
    </row>
    <row r="280" spans="1:4" x14ac:dyDescent="0.25">
      <c r="A280" s="2">
        <v>31.540041067761805</v>
      </c>
      <c r="B280" s="15">
        <v>0.66767775631447712</v>
      </c>
      <c r="C280" s="15">
        <v>0.67177660601936451</v>
      </c>
      <c r="D280" s="15">
        <v>0.66954917354056531</v>
      </c>
    </row>
    <row r="281" spans="1:4" x14ac:dyDescent="0.25">
      <c r="A281" s="2">
        <v>31.671457905544148</v>
      </c>
      <c r="B281" s="15">
        <v>0.6664389093419143</v>
      </c>
      <c r="C281" s="15">
        <v>0.67056730556798105</v>
      </c>
      <c r="D281" s="15">
        <v>0.66830569541039497</v>
      </c>
    </row>
    <row r="282" spans="1:4" x14ac:dyDescent="0.25">
      <c r="A282" s="2">
        <v>31.770020533880903</v>
      </c>
      <c r="B282" s="15">
        <v>0.66551342353574483</v>
      </c>
      <c r="C282" s="15">
        <v>0.66966342186876249</v>
      </c>
      <c r="D282" s="15">
        <v>0.66737665886515107</v>
      </c>
    </row>
    <row r="283" spans="1:4" x14ac:dyDescent="0.25">
      <c r="A283" s="2">
        <v>31.835728952772072</v>
      </c>
      <c r="B283" s="15">
        <v>0.66489816329336049</v>
      </c>
      <c r="C283" s="15">
        <v>0.66906229861079725</v>
      </c>
      <c r="D283" s="15">
        <v>0.6667589948797662</v>
      </c>
    </row>
    <row r="284" spans="1:4" x14ac:dyDescent="0.25">
      <c r="A284" s="2">
        <v>31.868583162217661</v>
      </c>
      <c r="B284" s="15">
        <v>0.66459105075699676</v>
      </c>
      <c r="C284" s="15">
        <v>0.66876217548099304</v>
      </c>
      <c r="D284" s="15">
        <v>0.66645066954805066</v>
      </c>
    </row>
    <row r="285" spans="1:4" x14ac:dyDescent="0.25">
      <c r="A285" s="2">
        <v>31.93429158110883</v>
      </c>
      <c r="B285" s="15">
        <v>0.66397785834980694</v>
      </c>
      <c r="C285" s="15">
        <v>0.66816280411911766</v>
      </c>
      <c r="D285" s="15">
        <v>0.66583502978691456</v>
      </c>
    </row>
    <row r="286" spans="1:4" x14ac:dyDescent="0.25">
      <c r="A286" s="2">
        <v>31.967145790554415</v>
      </c>
      <c r="B286" s="15">
        <v>0.66367177747797113</v>
      </c>
      <c r="C286" s="15">
        <v>0.66786355504825634</v>
      </c>
      <c r="D286" s="15">
        <v>0.6655277143899927</v>
      </c>
    </row>
    <row r="287" spans="1:4" x14ac:dyDescent="0.25">
      <c r="A287" s="2">
        <v>32</v>
      </c>
      <c r="B287" s="15">
        <v>0.66336603949366979</v>
      </c>
      <c r="C287" s="15">
        <v>0.66756459649240152</v>
      </c>
      <c r="D287" s="15">
        <v>0.66522073467071563</v>
      </c>
    </row>
    <row r="288" spans="1:4" x14ac:dyDescent="0.25">
      <c r="A288" s="2">
        <v>32.229979466119097</v>
      </c>
      <c r="B288" s="15">
        <v>0.66123543248935435</v>
      </c>
      <c r="C288" s="15">
        <v>0.66547998595759172</v>
      </c>
      <c r="D288" s="15">
        <v>0.66308123502113758</v>
      </c>
    </row>
    <row r="289" spans="1:4" x14ac:dyDescent="0.25">
      <c r="A289" s="2">
        <v>32.262833675564679</v>
      </c>
      <c r="B289" s="15">
        <v>0.66093241962765337</v>
      </c>
      <c r="C289" s="15">
        <v>0.66518333650925465</v>
      </c>
      <c r="D289" s="15">
        <v>0.66277692333252802</v>
      </c>
    </row>
    <row r="290" spans="1:4" x14ac:dyDescent="0.25">
      <c r="A290" s="2">
        <v>32.295687885010267</v>
      </c>
      <c r="B290" s="15">
        <v>0.66062974516285311</v>
      </c>
      <c r="C290" s="15">
        <v>0.66488697383026318</v>
      </c>
      <c r="D290" s="15">
        <v>0.66247294297636028</v>
      </c>
    </row>
    <row r="291" spans="1:4" x14ac:dyDescent="0.25">
      <c r="A291" s="2">
        <v>32.394250513347025</v>
      </c>
      <c r="B291" s="15">
        <v>0.6597237471747559</v>
      </c>
      <c r="C291" s="15">
        <v>0.66399960227509369</v>
      </c>
      <c r="D291" s="15">
        <v>0.66156298508401534</v>
      </c>
    </row>
    <row r="292" spans="1:4" x14ac:dyDescent="0.25">
      <c r="A292" s="2">
        <v>32.558521560574945</v>
      </c>
      <c r="B292" s="15">
        <v>0.65822047207486323</v>
      </c>
      <c r="C292" s="15">
        <v>0.66252634655976628</v>
      </c>
      <c r="D292" s="15">
        <v>0.66005297030273824</v>
      </c>
    </row>
    <row r="293" spans="1:4" x14ac:dyDescent="0.25">
      <c r="A293" s="2">
        <v>32.689938398357292</v>
      </c>
      <c r="B293" s="15">
        <v>0.65702386568877558</v>
      </c>
      <c r="C293" s="15">
        <v>0.66135283962095381</v>
      </c>
      <c r="D293" s="15">
        <v>0.65885084740523447</v>
      </c>
    </row>
    <row r="294" spans="1:4" x14ac:dyDescent="0.25">
      <c r="A294" s="2">
        <v>32.919917864476389</v>
      </c>
      <c r="B294" s="15">
        <v>0.65494256564097542</v>
      </c>
      <c r="C294" s="15">
        <v>0.65931002196552924</v>
      </c>
      <c r="D294" s="15">
        <v>0.65675962962518963</v>
      </c>
    </row>
    <row r="295" spans="1:4" x14ac:dyDescent="0.25">
      <c r="A295" s="2">
        <v>33.281314168377826</v>
      </c>
      <c r="B295" s="15">
        <v>0.65170440844342192</v>
      </c>
      <c r="C295" s="15">
        <v>0.65612740780248324</v>
      </c>
      <c r="D295" s="15">
        <v>0.6535052192467683</v>
      </c>
    </row>
    <row r="296" spans="1:4" x14ac:dyDescent="0.25">
      <c r="A296" s="2">
        <v>34.036960985626287</v>
      </c>
      <c r="B296" s="15">
        <v>0.64505929974409526</v>
      </c>
      <c r="C296" s="15">
        <v>0.64957944254518085</v>
      </c>
      <c r="D296" s="15">
        <v>0.64682355814227843</v>
      </c>
    </row>
    <row r="297" spans="1:4" x14ac:dyDescent="0.25">
      <c r="A297" s="2">
        <v>34.266940451745377</v>
      </c>
      <c r="B297" s="15">
        <v>0.64306990734680602</v>
      </c>
      <c r="C297" s="15">
        <v>0.64761464533638402</v>
      </c>
      <c r="D297" s="15">
        <v>0.64482236886005362</v>
      </c>
    </row>
    <row r="298" spans="1:4" x14ac:dyDescent="0.25">
      <c r="A298" s="2">
        <v>34.792607802874741</v>
      </c>
      <c r="B298" s="15">
        <v>0.63857926632216999</v>
      </c>
      <c r="C298" s="15">
        <v>0.64317177117808821</v>
      </c>
      <c r="D298" s="15">
        <v>0.64030361674351144</v>
      </c>
    </row>
    <row r="299" spans="1:4" x14ac:dyDescent="0.25">
      <c r="A299" s="2">
        <v>34.891170431211499</v>
      </c>
      <c r="B299" s="15">
        <v>0.63774591284349469</v>
      </c>
      <c r="C299" s="15">
        <v>0.64234608790053893</v>
      </c>
      <c r="D299" s="15">
        <v>0.63946481731285576</v>
      </c>
    </row>
    <row r="300" spans="1:4" x14ac:dyDescent="0.25">
      <c r="A300" s="2">
        <v>35.383983572895275</v>
      </c>
      <c r="B300" s="15">
        <v>0.63361936897461935</v>
      </c>
      <c r="C300" s="15">
        <v>0.6382519451476697</v>
      </c>
      <c r="D300" s="15">
        <v>0.63531022853089891</v>
      </c>
    </row>
    <row r="301" spans="1:4" x14ac:dyDescent="0.25">
      <c r="A301" s="2">
        <v>35.416837782340863</v>
      </c>
      <c r="B301" s="15">
        <v>0.63334662636288008</v>
      </c>
      <c r="C301" s="15">
        <v>0.63798101473795465</v>
      </c>
      <c r="D301" s="15">
        <v>0.63503556839762354</v>
      </c>
    </row>
    <row r="302" spans="1:4" x14ac:dyDescent="0.25">
      <c r="A302" s="2">
        <v>35.482546201232033</v>
      </c>
      <c r="B302" s="15">
        <v>0.63280201802997738</v>
      </c>
      <c r="C302" s="15">
        <v>0.63743990203205214</v>
      </c>
      <c r="D302" s="15">
        <v>0.63448710722540791</v>
      </c>
    </row>
    <row r="303" spans="1:4" x14ac:dyDescent="0.25">
      <c r="A303" s="2">
        <v>35.745379876796711</v>
      </c>
      <c r="B303" s="15">
        <v>0.63063521007427215</v>
      </c>
      <c r="C303" s="15">
        <v>0.63528537320206535</v>
      </c>
      <c r="D303" s="15">
        <v>0.63230465179985229</v>
      </c>
    </row>
    <row r="304" spans="1:4" x14ac:dyDescent="0.25">
      <c r="A304" s="2">
        <v>35.7782340862423</v>
      </c>
      <c r="B304" s="15">
        <v>0.63036565948165801</v>
      </c>
      <c r="C304" s="15">
        <v>0.63501716740410763</v>
      </c>
      <c r="D304" s="15">
        <v>0.63203311883928459</v>
      </c>
    </row>
    <row r="305" spans="1:4" x14ac:dyDescent="0.25">
      <c r="A305" s="2">
        <v>35.811088295687888</v>
      </c>
      <c r="B305" s="15">
        <v>0.63009639636730619</v>
      </c>
      <c r="C305" s="15">
        <v>0.63474920715067029</v>
      </c>
      <c r="D305" s="15">
        <v>0.63176186750800667</v>
      </c>
    </row>
    <row r="306" spans="1:4" x14ac:dyDescent="0.25">
      <c r="A306" s="2">
        <v>35.843942505133469</v>
      </c>
      <c r="B306" s="15">
        <v>0.62982742028282146</v>
      </c>
      <c r="C306" s="15">
        <v>0.63448149208625115</v>
      </c>
      <c r="D306" s="15">
        <v>0.63149089736503639</v>
      </c>
    </row>
    <row r="307" spans="1:4" x14ac:dyDescent="0.25">
      <c r="A307" s="2">
        <v>35.909650924024639</v>
      </c>
      <c r="B307" s="15">
        <v>0.62929032741275892</v>
      </c>
      <c r="C307" s="15">
        <v>0.63394679610522742</v>
      </c>
      <c r="D307" s="15">
        <v>0.63094979888266023</v>
      </c>
    </row>
    <row r="308" spans="1:4" x14ac:dyDescent="0.25">
      <c r="A308" s="2">
        <v>35.942505133470227</v>
      </c>
      <c r="B308" s="15">
        <v>0.62902220973328582</v>
      </c>
      <c r="C308" s="15">
        <v>0.63367981448039057</v>
      </c>
      <c r="D308" s="15">
        <v>0.63067966966386779</v>
      </c>
    </row>
    <row r="309" spans="1:4" x14ac:dyDescent="0.25">
      <c r="A309" s="2">
        <v>35.975359342915809</v>
      </c>
      <c r="B309" s="15">
        <v>0.6287543772958889</v>
      </c>
      <c r="C309" s="15">
        <v>0.63341307662810553</v>
      </c>
      <c r="D309" s="15">
        <v>0.63040981987461098</v>
      </c>
    </row>
    <row r="310" spans="1:4" x14ac:dyDescent="0.25">
      <c r="A310" s="2">
        <v>36.139630390143736</v>
      </c>
      <c r="B310" s="15">
        <v>0.62741947816825683</v>
      </c>
      <c r="C310" s="15">
        <v>0.63208303162875323</v>
      </c>
      <c r="D310" s="15">
        <v>0.62906474704581794</v>
      </c>
    </row>
    <row r="311" spans="1:4" x14ac:dyDescent="0.25">
      <c r="A311" s="2">
        <v>36.303901437371664</v>
      </c>
      <c r="B311" s="15">
        <v>0.62609164351757451</v>
      </c>
      <c r="C311" s="15">
        <v>0.63075902826875319</v>
      </c>
      <c r="D311" s="15">
        <v>0.62772659441883494</v>
      </c>
    </row>
    <row r="312" spans="1:4" x14ac:dyDescent="0.25">
      <c r="A312" s="2">
        <v>36.402464065708422</v>
      </c>
      <c r="B312" s="15">
        <v>0.62529831073968323</v>
      </c>
      <c r="C312" s="15">
        <v>0.62996750811328972</v>
      </c>
      <c r="D312" s="15">
        <v>0.62692700194824069</v>
      </c>
    </row>
    <row r="313" spans="1:4" x14ac:dyDescent="0.25">
      <c r="A313" s="2">
        <v>36.435318275154003</v>
      </c>
      <c r="B313" s="15">
        <v>0.62503442518173968</v>
      </c>
      <c r="C313" s="15">
        <v>0.62970414629164195</v>
      </c>
      <c r="D313" s="15">
        <v>0.62666101838013832</v>
      </c>
    </row>
    <row r="314" spans="1:4" x14ac:dyDescent="0.25">
      <c r="A314" s="2">
        <v>36.566735112936342</v>
      </c>
      <c r="B314" s="15">
        <v>0.62398166480142014</v>
      </c>
      <c r="C314" s="15">
        <v>0.6286530809595724</v>
      </c>
      <c r="D314" s="15">
        <v>0.62559980889581468</v>
      </c>
    </row>
    <row r="315" spans="1:4" x14ac:dyDescent="0.25">
      <c r="A315" s="2">
        <v>36.599589322381931</v>
      </c>
      <c r="B315" s="15">
        <v>0.62371916799056204</v>
      </c>
      <c r="C315" s="15">
        <v>0.62839090839705591</v>
      </c>
      <c r="D315" s="15">
        <v>0.62533518557362988</v>
      </c>
    </row>
    <row r="316" spans="1:4" x14ac:dyDescent="0.25">
      <c r="A316" s="2">
        <v>36.698151950718689</v>
      </c>
      <c r="B316" s="15">
        <v>0.62293333449007515</v>
      </c>
      <c r="C316" s="15">
        <v>0.62760581028046247</v>
      </c>
      <c r="D316" s="15">
        <v>0.62454293846994935</v>
      </c>
    </row>
    <row r="317" spans="1:4" x14ac:dyDescent="0.25">
      <c r="A317" s="2">
        <v>36.763860369609858</v>
      </c>
      <c r="B317" s="15">
        <v>0.62241082193775821</v>
      </c>
      <c r="C317" s="15">
        <v>0.62708359110166534</v>
      </c>
      <c r="D317" s="15">
        <v>0.62401612184945721</v>
      </c>
    </row>
    <row r="318" spans="1:4" x14ac:dyDescent="0.25">
      <c r="A318" s="2">
        <v>36.79671457905544</v>
      </c>
      <c r="B318" s="15">
        <v>0.62214997730055122</v>
      </c>
      <c r="C318" s="15">
        <v>0.62682283436176134</v>
      </c>
      <c r="D318" s="15">
        <v>0.62375311669554034</v>
      </c>
    </row>
    <row r="319" spans="1:4" x14ac:dyDescent="0.25">
      <c r="A319" s="2">
        <v>36.960985626283367</v>
      </c>
      <c r="B319" s="15">
        <v>0.62084985329791442</v>
      </c>
      <c r="C319" s="15">
        <v>0.62552256561485953</v>
      </c>
      <c r="D319" s="15">
        <v>0.62244210550618928</v>
      </c>
    </row>
    <row r="320" spans="1:4" x14ac:dyDescent="0.25">
      <c r="A320" s="2">
        <v>37.453798767967143</v>
      </c>
      <c r="B320" s="15">
        <v>0.61699002513627665</v>
      </c>
      <c r="C320" s="15">
        <v>0.621656556702195</v>
      </c>
      <c r="D320" s="15">
        <v>0.61854877527711172</v>
      </c>
    </row>
    <row r="321" spans="1:4" x14ac:dyDescent="0.25">
      <c r="A321" s="2">
        <v>37.650924024640659</v>
      </c>
      <c r="B321" s="15">
        <v>0.61546289158684142</v>
      </c>
      <c r="C321" s="15">
        <v>0.62012458687007155</v>
      </c>
      <c r="D321" s="15">
        <v>0.61700789056374405</v>
      </c>
    </row>
    <row r="322" spans="1:4" x14ac:dyDescent="0.25">
      <c r="A322" s="2">
        <v>37.782340862422998</v>
      </c>
      <c r="B322" s="15">
        <v>0.61445006550835679</v>
      </c>
      <c r="C322" s="15">
        <v>0.61910780116584396</v>
      </c>
      <c r="D322" s="15">
        <v>0.61598578657669156</v>
      </c>
    </row>
    <row r="323" spans="1:4" x14ac:dyDescent="0.25">
      <c r="A323" s="2">
        <v>37.848049281314168</v>
      </c>
      <c r="B323" s="15">
        <v>0.61394522142523944</v>
      </c>
      <c r="C323" s="15">
        <v>0.61860075879046572</v>
      </c>
      <c r="D323" s="15">
        <v>0.61547627049967613</v>
      </c>
    </row>
    <row r="324" spans="1:4" x14ac:dyDescent="0.25">
      <c r="A324" s="2">
        <v>38.012320328542096</v>
      </c>
      <c r="B324" s="15">
        <v>0.61268766095860761</v>
      </c>
      <c r="C324" s="15">
        <v>0.61733707109143454</v>
      </c>
      <c r="D324" s="15">
        <v>0.61420693393729697</v>
      </c>
    </row>
    <row r="325" spans="1:4" x14ac:dyDescent="0.25">
      <c r="A325" s="2">
        <v>38.176591375770023</v>
      </c>
      <c r="B325" s="15">
        <v>0.61143655925693563</v>
      </c>
      <c r="C325" s="15">
        <v>0.61607894890616699</v>
      </c>
      <c r="D325" s="15">
        <v>0.61294391921607838</v>
      </c>
    </row>
    <row r="326" spans="1:4" x14ac:dyDescent="0.25">
      <c r="A326" s="2">
        <v>38.209445585215605</v>
      </c>
      <c r="B326" s="15">
        <v>0.61118710949538158</v>
      </c>
      <c r="C326" s="15">
        <v>0.61582798883285716</v>
      </c>
      <c r="D326" s="15">
        <v>0.61269207045962437</v>
      </c>
    </row>
    <row r="327" spans="1:4" x14ac:dyDescent="0.25">
      <c r="A327" s="2">
        <v>38.242299794661193</v>
      </c>
      <c r="B327" s="15">
        <v>0.61093791564894318</v>
      </c>
      <c r="C327" s="15">
        <v>0.61557724947584069</v>
      </c>
      <c r="D327" s="15">
        <v>0.61244047216275554</v>
      </c>
    </row>
    <row r="328" spans="1:4" x14ac:dyDescent="0.25">
      <c r="A328" s="2">
        <v>38.340862422997944</v>
      </c>
      <c r="B328" s="15">
        <v>0.61019186556806893</v>
      </c>
      <c r="C328" s="15">
        <v>0.61482635255161022</v>
      </c>
      <c r="D328" s="15">
        <v>0.6116871760311261</v>
      </c>
    </row>
    <row r="329" spans="1:4" x14ac:dyDescent="0.25">
      <c r="A329" s="2">
        <v>38.406570841889121</v>
      </c>
      <c r="B329" s="15">
        <v>0.60969577104147177</v>
      </c>
      <c r="C329" s="15">
        <v>0.61432685241604124</v>
      </c>
      <c r="D329" s="15">
        <v>0.61118622358740515</v>
      </c>
    </row>
    <row r="330" spans="1:4" x14ac:dyDescent="0.25">
      <c r="A330" s="2">
        <v>38.439425051334702</v>
      </c>
      <c r="B330" s="15">
        <v>0.60944810423321405</v>
      </c>
      <c r="C330" s="15">
        <v>0.61407743075265186</v>
      </c>
      <c r="D330" s="15">
        <v>0.61093611966524619</v>
      </c>
    </row>
    <row r="331" spans="1:4" x14ac:dyDescent="0.25">
      <c r="A331" s="2">
        <v>38.47227926078029</v>
      </c>
      <c r="B331" s="15">
        <v>0.60920069052836345</v>
      </c>
      <c r="C331" s="15">
        <v>0.61382822760906497</v>
      </c>
      <c r="D331" s="15">
        <v>0.6106862634137844</v>
      </c>
    </row>
    <row r="332" spans="1:4" x14ac:dyDescent="0.25">
      <c r="A332" s="2">
        <v>38.570841889117041</v>
      </c>
      <c r="B332" s="15">
        <v>0.60845996404547309</v>
      </c>
      <c r="C332" s="15">
        <v>0.61308192618279367</v>
      </c>
      <c r="D332" s="15">
        <v>0.60993817672542139</v>
      </c>
    </row>
    <row r="333" spans="1:4" x14ac:dyDescent="0.25">
      <c r="A333" s="2">
        <v>38.669404517453799</v>
      </c>
      <c r="B333" s="15">
        <v>0.60772150115971713</v>
      </c>
      <c r="C333" s="15">
        <v>0.61233758024502105</v>
      </c>
      <c r="D333" s="15">
        <v>0.60919230484820519</v>
      </c>
    </row>
    <row r="334" spans="1:4" x14ac:dyDescent="0.25">
      <c r="A334" s="2">
        <v>38.833675564681727</v>
      </c>
      <c r="B334" s="15">
        <v>0.60649573087592701</v>
      </c>
      <c r="C334" s="15">
        <v>0.61110132656410387</v>
      </c>
      <c r="D334" s="15">
        <v>0.60795407804078516</v>
      </c>
    </row>
    <row r="335" spans="1:4" x14ac:dyDescent="0.25">
      <c r="A335" s="2">
        <v>38.866529774127308</v>
      </c>
      <c r="B335" s="15">
        <v>0.60625132345283961</v>
      </c>
      <c r="C335" s="15">
        <v>0.61085472149466835</v>
      </c>
      <c r="D335" s="15">
        <v>0.60770716310677786</v>
      </c>
    </row>
    <row r="336" spans="1:4" x14ac:dyDescent="0.25">
      <c r="A336" s="2">
        <v>38.932238193018478</v>
      </c>
      <c r="B336" s="15">
        <v>0.6057632521026981</v>
      </c>
      <c r="C336" s="15">
        <v>0.61036215457561327</v>
      </c>
      <c r="D336" s="15">
        <v>0.6072140605494537</v>
      </c>
    </row>
    <row r="337" spans="1:4" x14ac:dyDescent="0.25">
      <c r="A337" s="2">
        <v>39.162217659137575</v>
      </c>
      <c r="B337" s="15">
        <v>0.60406276814825455</v>
      </c>
      <c r="C337" s="15">
        <v>0.60864489225309737</v>
      </c>
      <c r="D337" s="15">
        <v>0.60549579768143791</v>
      </c>
    </row>
    <row r="338" spans="1:4" x14ac:dyDescent="0.25">
      <c r="A338" s="2">
        <v>39.195071868583163</v>
      </c>
      <c r="B338" s="15">
        <v>0.60382082282304006</v>
      </c>
      <c r="C338" s="15">
        <v>0.60840041860421967</v>
      </c>
      <c r="D338" s="15">
        <v>0.60525129099494213</v>
      </c>
    </row>
    <row r="339" spans="1:4" x14ac:dyDescent="0.25">
      <c r="A339" s="2">
        <v>39.260780287474333</v>
      </c>
      <c r="B339" s="15">
        <v>0.60333766402493427</v>
      </c>
      <c r="C339" s="15">
        <v>0.60791210545143604</v>
      </c>
      <c r="D339" s="15">
        <v>0.60476299335916694</v>
      </c>
    </row>
    <row r="340" spans="1:4" x14ac:dyDescent="0.25">
      <c r="A340" s="2">
        <v>39.589322381930188</v>
      </c>
      <c r="B340" s="15">
        <v>0.60093640744233345</v>
      </c>
      <c r="C340" s="15">
        <v>0.60548314498399036</v>
      </c>
      <c r="D340" s="15">
        <v>0.60233572081470621</v>
      </c>
    </row>
    <row r="341" spans="1:4" x14ac:dyDescent="0.25">
      <c r="A341" s="2">
        <v>39.655030800821358</v>
      </c>
      <c r="B341" s="15">
        <v>0.60045904227644564</v>
      </c>
      <c r="C341" s="15">
        <v>0.60499985734114337</v>
      </c>
      <c r="D341" s="15">
        <v>0.60185308820771477</v>
      </c>
    </row>
    <row r="342" spans="1:4" x14ac:dyDescent="0.25">
      <c r="A342" s="2">
        <v>39.687885010266939</v>
      </c>
      <c r="B342" s="15">
        <v>0.6002207180014455</v>
      </c>
      <c r="C342" s="15">
        <v>0.6047585246604924</v>
      </c>
      <c r="D342" s="15">
        <v>0.60161212219247251</v>
      </c>
    </row>
    <row r="343" spans="1:4" x14ac:dyDescent="0.25">
      <c r="A343" s="2">
        <v>39.819301848049278</v>
      </c>
      <c r="B343" s="15">
        <v>0.59926980084815606</v>
      </c>
      <c r="C343" s="15">
        <v>0.60379526138286388</v>
      </c>
      <c r="D343" s="15">
        <v>0.60065058465095678</v>
      </c>
    </row>
    <row r="344" spans="1:4" x14ac:dyDescent="0.25">
      <c r="A344" s="2">
        <v>40.016427104722794</v>
      </c>
      <c r="B344" s="15">
        <v>0.59785052381986947</v>
      </c>
      <c r="C344" s="15">
        <v>0.60235653679506163</v>
      </c>
      <c r="D344" s="15">
        <v>0.59921521692204394</v>
      </c>
    </row>
    <row r="345" spans="1:4" x14ac:dyDescent="0.25">
      <c r="A345" s="2">
        <v>40.049281314168375</v>
      </c>
      <c r="B345" s="15">
        <v>0.59761480105446119</v>
      </c>
      <c r="C345" s="15">
        <v>0.60211746552040224</v>
      </c>
      <c r="D345" s="15">
        <v>0.59897679371047174</v>
      </c>
    </row>
    <row r="346" spans="1:4" x14ac:dyDescent="0.25">
      <c r="A346" s="2">
        <v>40.147843942505133</v>
      </c>
      <c r="B346" s="15">
        <v>0.59690903691123565</v>
      </c>
      <c r="C346" s="15">
        <v>0.6014014736383223</v>
      </c>
      <c r="D346" s="15">
        <v>0.59826289626077866</v>
      </c>
    </row>
    <row r="347" spans="1:4" x14ac:dyDescent="0.25">
      <c r="A347" s="2">
        <v>40.246406570841891</v>
      </c>
      <c r="B347" s="15">
        <v>0.59620537126908968</v>
      </c>
      <c r="C347" s="15">
        <v>0.6006873086595701</v>
      </c>
      <c r="D347" s="15">
        <v>0.59755104938445525</v>
      </c>
    </row>
    <row r="348" spans="1:4" x14ac:dyDescent="0.25">
      <c r="A348" s="2">
        <v>40.410677618069812</v>
      </c>
      <c r="B348" s="15">
        <v>0.59503723168049216</v>
      </c>
      <c r="C348" s="15">
        <v>0.59950107260178553</v>
      </c>
      <c r="D348" s="15">
        <v>0.59636916797706152</v>
      </c>
    </row>
    <row r="349" spans="1:4" x14ac:dyDescent="0.25">
      <c r="A349" s="2">
        <v>40.4435318275154</v>
      </c>
      <c r="B349" s="15">
        <v>0.59480429595571271</v>
      </c>
      <c r="C349" s="15">
        <v>0.59926442867701746</v>
      </c>
      <c r="D349" s="15">
        <v>0.59613346793289446</v>
      </c>
    </row>
    <row r="350" spans="1:4" x14ac:dyDescent="0.25">
      <c r="A350" s="2">
        <v>40.476386036960989</v>
      </c>
      <c r="B350" s="15">
        <v>0.59457159011526384</v>
      </c>
      <c r="C350" s="15">
        <v>0.59902798518975664</v>
      </c>
      <c r="D350" s="15">
        <v>0.59589799245657238</v>
      </c>
    </row>
    <row r="351" spans="1:4" x14ac:dyDescent="0.25">
      <c r="A351" s="2">
        <v>40.50924024640657</v>
      </c>
      <c r="B351" s="15">
        <v>0.59433911379750826</v>
      </c>
      <c r="C351" s="15">
        <v>0.59879174185892947</v>
      </c>
      <c r="D351" s="15">
        <v>0.59566274118727625</v>
      </c>
    </row>
    <row r="352" spans="1:4" x14ac:dyDescent="0.25">
      <c r="A352" s="2">
        <v>40.739219712525667</v>
      </c>
      <c r="B352" s="15">
        <v>0.59271817595806964</v>
      </c>
      <c r="C352" s="15">
        <v>0.59714361941396676</v>
      </c>
      <c r="D352" s="15">
        <v>0.5940222299107637</v>
      </c>
    </row>
    <row r="353" spans="1:4" x14ac:dyDescent="0.25">
      <c r="A353" s="2">
        <v>40.837782340862425</v>
      </c>
      <c r="B353" s="15">
        <v>0.59202689523999807</v>
      </c>
      <c r="C353" s="15">
        <v>0.59644025566143344</v>
      </c>
      <c r="D353" s="15">
        <v>0.59332248091107775</v>
      </c>
    </row>
    <row r="354" spans="1:4" x14ac:dyDescent="0.25">
      <c r="A354" s="2">
        <v>40.936344969199176</v>
      </c>
      <c r="B354" s="15">
        <v>0.59133764478624651</v>
      </c>
      <c r="C354" s="15">
        <v>0.59573866577775214</v>
      </c>
      <c r="D354" s="15">
        <v>0.59262471439766207</v>
      </c>
    </row>
    <row r="355" spans="1:4" x14ac:dyDescent="0.25">
      <c r="A355" s="2">
        <v>41.067761806981522</v>
      </c>
      <c r="B355" s="15">
        <v>0.59042178586617344</v>
      </c>
      <c r="C355" s="15">
        <v>0.59480595912906598</v>
      </c>
      <c r="D355" s="15">
        <v>0.59169742642980139</v>
      </c>
    </row>
    <row r="356" spans="1:4" x14ac:dyDescent="0.25">
      <c r="A356" s="2">
        <v>41.166324435318273</v>
      </c>
      <c r="B356" s="15">
        <v>0.58973723562983726</v>
      </c>
      <c r="C356" s="15">
        <v>0.59410847947679102</v>
      </c>
      <c r="D356" s="15">
        <v>0.59100424869311807</v>
      </c>
    </row>
    <row r="357" spans="1:4" x14ac:dyDescent="0.25">
      <c r="A357" s="2">
        <v>41.52772073921971</v>
      </c>
      <c r="B357" s="15">
        <v>0.58724424604314673</v>
      </c>
      <c r="C357" s="15">
        <v>0.59156596477277379</v>
      </c>
      <c r="D357" s="15">
        <v>0.58847921645300949</v>
      </c>
    </row>
    <row r="358" spans="1:4" x14ac:dyDescent="0.25">
      <c r="A358" s="2">
        <v>41.954825462012323</v>
      </c>
      <c r="B358" s="15">
        <v>0.58433200082015291</v>
      </c>
      <c r="C358" s="15">
        <v>0.58859100820326726</v>
      </c>
      <c r="D358" s="15">
        <v>0.58552827503935545</v>
      </c>
    </row>
    <row r="359" spans="1:4" x14ac:dyDescent="0.25">
      <c r="A359" s="2">
        <v>42.020533880903493</v>
      </c>
      <c r="B359" s="15">
        <v>0.58388718961913177</v>
      </c>
      <c r="C359" s="15">
        <v>0.58813615688354082</v>
      </c>
      <c r="D359" s="15">
        <v>0.58507743097582388</v>
      </c>
    </row>
    <row r="360" spans="1:4" x14ac:dyDescent="0.25">
      <c r="A360" s="2">
        <v>42.053388090349074</v>
      </c>
      <c r="B360" s="15">
        <v>0.58366510398477622</v>
      </c>
      <c r="C360" s="15">
        <v>0.58790901256786043</v>
      </c>
      <c r="D360" s="15">
        <v>0.5848523209471026</v>
      </c>
    </row>
    <row r="361" spans="1:4" x14ac:dyDescent="0.25">
      <c r="A361" s="2">
        <v>42.151950718685832</v>
      </c>
      <c r="B361" s="15">
        <v>0.58300012294979153</v>
      </c>
      <c r="C361" s="15">
        <v>0.58722870189347121</v>
      </c>
      <c r="D361" s="15">
        <v>0.58417823487095255</v>
      </c>
    </row>
    <row r="362" spans="1:4" x14ac:dyDescent="0.25">
      <c r="A362" s="2">
        <v>42.579055441478438</v>
      </c>
      <c r="B362" s="15">
        <v>0.58014045884944954</v>
      </c>
      <c r="C362" s="15">
        <v>0.58429999049677872</v>
      </c>
      <c r="D362" s="15">
        <v>0.58127856304743231</v>
      </c>
    </row>
    <row r="363" spans="1:4" x14ac:dyDescent="0.25">
      <c r="A363" s="2">
        <v>42.907597535934293</v>
      </c>
      <c r="B363" s="15">
        <v>0.57796463076074089</v>
      </c>
      <c r="C363" s="15">
        <v>0.5820682258651666</v>
      </c>
      <c r="D363" s="15">
        <v>0.57907134808478378</v>
      </c>
    </row>
    <row r="364" spans="1:4" x14ac:dyDescent="0.25">
      <c r="A364" s="2">
        <v>43.26899383983573</v>
      </c>
      <c r="B364" s="15">
        <v>0.57559481690369807</v>
      </c>
      <c r="C364" s="15">
        <v>0.57963414007208769</v>
      </c>
      <c r="D364" s="15">
        <v>0.57666639312123857</v>
      </c>
    </row>
    <row r="365" spans="1:4" x14ac:dyDescent="0.25">
      <c r="A365" s="2">
        <v>43.466119096509239</v>
      </c>
      <c r="B365" s="15">
        <v>0.57431246577578643</v>
      </c>
      <c r="C365" s="15">
        <v>0.57831555316227123</v>
      </c>
      <c r="D365" s="15">
        <v>0.57536460181615334</v>
      </c>
    </row>
    <row r="366" spans="1:4" x14ac:dyDescent="0.25">
      <c r="A366" s="2">
        <v>43.663244353182755</v>
      </c>
      <c r="B366" s="15">
        <v>0.57303728147121913</v>
      </c>
      <c r="C366" s="15">
        <v>0.57700332039768998</v>
      </c>
      <c r="D366" s="15">
        <v>0.57406978478016701</v>
      </c>
    </row>
    <row r="367" spans="1:4" x14ac:dyDescent="0.25">
      <c r="A367" s="2">
        <v>43.728952772073924</v>
      </c>
      <c r="B367" s="15">
        <v>0.57261380118003935</v>
      </c>
      <c r="C367" s="15">
        <v>0.57656731257846017</v>
      </c>
      <c r="D367" s="15">
        <v>0.57363971740521458</v>
      </c>
    </row>
    <row r="368" spans="1:4" x14ac:dyDescent="0.25">
      <c r="A368" s="2">
        <v>43.926078028747433</v>
      </c>
      <c r="B368" s="15">
        <v>0.57134806959100082</v>
      </c>
      <c r="C368" s="15">
        <v>0.57526347186868865</v>
      </c>
      <c r="D368" s="15">
        <v>0.57235409588565911</v>
      </c>
    </row>
    <row r="369" spans="1:4" x14ac:dyDescent="0.25">
      <c r="A369" s="2">
        <v>44.024640657084191</v>
      </c>
      <c r="B369" s="15">
        <v>0.57071783779118512</v>
      </c>
      <c r="C369" s="15">
        <v>0.57461389265745877</v>
      </c>
      <c r="D369" s="15">
        <v>0.57171384666491254</v>
      </c>
    </row>
    <row r="370" spans="1:4" x14ac:dyDescent="0.25">
      <c r="A370" s="2">
        <v>44.057494866529773</v>
      </c>
      <c r="B370" s="15">
        <v>0.57050814873955757</v>
      </c>
      <c r="C370" s="15">
        <v>0.57439771152864472</v>
      </c>
      <c r="D370" s="15">
        <v>0.57150080772858858</v>
      </c>
    </row>
    <row r="371" spans="1:4" x14ac:dyDescent="0.25">
      <c r="A371" s="2">
        <v>44.090349075975361</v>
      </c>
      <c r="B371" s="15">
        <v>0.57029865329625906</v>
      </c>
      <c r="C371" s="15">
        <v>0.57418170264885782</v>
      </c>
      <c r="D371" s="15">
        <v>0.57128795702578128</v>
      </c>
    </row>
    <row r="372" spans="1:4" x14ac:dyDescent="0.25">
      <c r="A372" s="2">
        <v>44.123203285420942</v>
      </c>
      <c r="B372" s="15">
        <v>0.57008935116259529</v>
      </c>
      <c r="C372" s="15">
        <v>0.57396586578564079</v>
      </c>
      <c r="D372" s="15">
        <v>0.57107529425620229</v>
      </c>
    </row>
    <row r="373" spans="1:4" x14ac:dyDescent="0.25">
      <c r="A373" s="2">
        <v>44.320328542094458</v>
      </c>
      <c r="B373" s="15">
        <v>0.5688375812030767</v>
      </c>
      <c r="C373" s="15">
        <v>0.57267444398722989</v>
      </c>
      <c r="D373" s="15">
        <v>0.56980324748569566</v>
      </c>
    </row>
    <row r="374" spans="1:4" x14ac:dyDescent="0.25">
      <c r="A374" s="2">
        <v>44.353182751540039</v>
      </c>
      <c r="B374" s="15">
        <v>0.56862962391806382</v>
      </c>
      <c r="C374" s="15">
        <v>0.57245980476486236</v>
      </c>
      <c r="D374" s="15">
        <v>0.56959189188415105</v>
      </c>
    </row>
    <row r="375" spans="1:4" x14ac:dyDescent="0.25">
      <c r="A375" s="2">
        <v>44.386036960985628</v>
      </c>
      <c r="B375" s="15">
        <v>0.56842185757224484</v>
      </c>
      <c r="C375" s="15">
        <v>0.57224533571381531</v>
      </c>
      <c r="D375" s="15">
        <v>0.56938072183215294</v>
      </c>
    </row>
    <row r="376" spans="1:4" x14ac:dyDescent="0.25">
      <c r="A376" s="2">
        <v>44.418891170431209</v>
      </c>
      <c r="B376" s="15">
        <v>0.56821428187169298</v>
      </c>
      <c r="C376" s="15">
        <v>0.57203103660522348</v>
      </c>
      <c r="D376" s="15">
        <v>0.56916973703405804</v>
      </c>
    </row>
    <row r="377" spans="1:4" x14ac:dyDescent="0.25">
      <c r="A377" s="2">
        <v>44.517453798767967</v>
      </c>
      <c r="B377" s="15">
        <v>0.56759269571024651</v>
      </c>
      <c r="C377" s="15">
        <v>0.57138915665145862</v>
      </c>
      <c r="D377" s="15">
        <v>0.56853789121445597</v>
      </c>
    </row>
    <row r="378" spans="1:4" x14ac:dyDescent="0.25">
      <c r="A378" s="2">
        <v>44.550308008213555</v>
      </c>
      <c r="B378" s="15">
        <v>0.56738587966199283</v>
      </c>
      <c r="C378" s="15">
        <v>0.5711755350319383</v>
      </c>
      <c r="D378" s="15">
        <v>0.56832764448579332</v>
      </c>
    </row>
    <row r="379" spans="1:4" x14ac:dyDescent="0.25">
      <c r="A379" s="2">
        <v>44.583162217659137</v>
      </c>
      <c r="B379" s="15">
        <v>0.56717925279724124</v>
      </c>
      <c r="C379" s="15">
        <v>0.57096208221646871</v>
      </c>
      <c r="D379" s="15">
        <v>0.56811758154049985</v>
      </c>
    </row>
    <row r="380" spans="1:4" x14ac:dyDescent="0.25">
      <c r="A380" s="2">
        <v>44.616016427104725</v>
      </c>
      <c r="B380" s="15">
        <v>0.56697281482520689</v>
      </c>
      <c r="C380" s="15">
        <v>0.57074879797854683</v>
      </c>
      <c r="D380" s="15">
        <v>0.56790770208599839</v>
      </c>
    </row>
    <row r="381" spans="1:4" x14ac:dyDescent="0.25">
      <c r="A381" s="2">
        <v>44.780287474332646</v>
      </c>
      <c r="B381" s="15">
        <v>0.56594344821478948</v>
      </c>
      <c r="C381" s="15">
        <v>0.56968489755196161</v>
      </c>
      <c r="D381" s="15">
        <v>0.56686104697079587</v>
      </c>
    </row>
    <row r="382" spans="1:4" x14ac:dyDescent="0.25">
      <c r="A382" s="2">
        <v>44.813141683778234</v>
      </c>
      <c r="B382" s="15">
        <v>0.56573813752171997</v>
      </c>
      <c r="C382" s="15">
        <v>0.56947262004466292</v>
      </c>
      <c r="D382" s="15">
        <v>0.56665226234539656</v>
      </c>
    </row>
    <row r="383" spans="1:4" x14ac:dyDescent="0.25">
      <c r="A383" s="2">
        <v>44.878850102669404</v>
      </c>
      <c r="B383" s="15">
        <v>0.56532807646426675</v>
      </c>
      <c r="C383" s="15">
        <v>0.56904856581554619</v>
      </c>
      <c r="D383" s="15">
        <v>0.56623523717697755</v>
      </c>
    </row>
    <row r="384" spans="1:4" x14ac:dyDescent="0.25">
      <c r="A384" s="2">
        <v>45.043121149897331</v>
      </c>
      <c r="B384" s="15">
        <v>0.564306179064199</v>
      </c>
      <c r="C384" s="15">
        <v>0.56799134109349647</v>
      </c>
      <c r="D384" s="15">
        <v>0.56519583464050016</v>
      </c>
    </row>
    <row r="385" spans="1:4" x14ac:dyDescent="0.25">
      <c r="A385" s="2">
        <v>45.568788501026695</v>
      </c>
      <c r="B385" s="15">
        <v>0.56106699347200817</v>
      </c>
      <c r="C385" s="15">
        <v>0.56463588212232552</v>
      </c>
      <c r="D385" s="15">
        <v>0.56189971942855488</v>
      </c>
    </row>
    <row r="386" spans="1:4" x14ac:dyDescent="0.25">
      <c r="A386" s="2">
        <v>45.601642710472277</v>
      </c>
      <c r="B386" s="15">
        <v>0.56086608962289219</v>
      </c>
      <c r="C386" s="15">
        <v>0.56442755180399007</v>
      </c>
      <c r="D386" s="15">
        <v>0.56169521114882914</v>
      </c>
    </row>
    <row r="387" spans="1:4" x14ac:dyDescent="0.25">
      <c r="A387" s="2">
        <v>46.02874743326489</v>
      </c>
      <c r="B387" s="15">
        <v>0.5582706322552704</v>
      </c>
      <c r="C387" s="15">
        <v>0.561733898971019</v>
      </c>
      <c r="D387" s="15">
        <v>0.55905239826088982</v>
      </c>
    </row>
    <row r="388" spans="1:4" x14ac:dyDescent="0.25">
      <c r="A388" s="2">
        <v>46.652977412731005</v>
      </c>
      <c r="B388" s="15">
        <v>0.55453079902557023</v>
      </c>
      <c r="C388" s="15">
        <v>0.55784522950011106</v>
      </c>
      <c r="D388" s="15">
        <v>0.55524168230060078</v>
      </c>
    </row>
    <row r="389" spans="1:4" x14ac:dyDescent="0.25">
      <c r="A389" s="2">
        <v>46.882956878850102</v>
      </c>
      <c r="B389" s="15">
        <v>0.55316867584266394</v>
      </c>
      <c r="C389" s="15">
        <v>0.5564267476492919</v>
      </c>
      <c r="D389" s="15">
        <v>0.55385294156505605</v>
      </c>
    </row>
    <row r="390" spans="1:4" x14ac:dyDescent="0.25">
      <c r="A390" s="2">
        <v>47.04722792607803</v>
      </c>
      <c r="B390" s="15">
        <v>0.55220082948930815</v>
      </c>
      <c r="C390" s="15">
        <v>0.55541816004640188</v>
      </c>
      <c r="D390" s="15">
        <v>0.55286591616032044</v>
      </c>
    </row>
    <row r="391" spans="1:4" x14ac:dyDescent="0.25">
      <c r="A391" s="2">
        <v>47.112936344969199</v>
      </c>
      <c r="B391" s="15">
        <v>0.55181487231868298</v>
      </c>
      <c r="C391" s="15">
        <v>0.55501579500142695</v>
      </c>
      <c r="D391" s="15">
        <v>0.55247224843686726</v>
      </c>
    </row>
    <row r="392" spans="1:4" x14ac:dyDescent="0.25">
      <c r="A392" s="2">
        <v>47.145790554414788</v>
      </c>
      <c r="B392" s="15">
        <v>0.55162214586947</v>
      </c>
      <c r="C392" s="15">
        <v>0.55481484096836797</v>
      </c>
      <c r="D392" s="15">
        <v>0.55227565835884707</v>
      </c>
    </row>
    <row r="393" spans="1:4" x14ac:dyDescent="0.25">
      <c r="A393" s="2">
        <v>47.342915811088297</v>
      </c>
      <c r="B393" s="15">
        <v>0.55046930119832505</v>
      </c>
      <c r="C393" s="15">
        <v>0.55361230316836618</v>
      </c>
      <c r="D393" s="15">
        <v>0.55109951482647013</v>
      </c>
    </row>
    <row r="394" spans="1:4" x14ac:dyDescent="0.25">
      <c r="A394" s="2">
        <v>47.408624229979466</v>
      </c>
      <c r="B394" s="15">
        <v>0.55008635229729674</v>
      </c>
      <c r="C394" s="15">
        <v>0.55321266637912136</v>
      </c>
      <c r="D394" s="15">
        <v>0.55070875497393956</v>
      </c>
    </row>
    <row r="395" spans="1:4" x14ac:dyDescent="0.25">
      <c r="A395" s="2">
        <v>47.605749486652975</v>
      </c>
      <c r="B395" s="15">
        <v>0.54894147566050278</v>
      </c>
      <c r="C395" s="15">
        <v>0.55201736154888925</v>
      </c>
      <c r="D395" s="15">
        <v>0.549540311210577</v>
      </c>
    </row>
    <row r="396" spans="1:4" x14ac:dyDescent="0.25">
      <c r="A396" s="2">
        <v>47.93429158110883</v>
      </c>
      <c r="B396" s="15">
        <v>0.54704646320487171</v>
      </c>
      <c r="C396" s="15">
        <v>0.55003711241330988</v>
      </c>
      <c r="D396" s="15">
        <v>0.54760557143011712</v>
      </c>
    </row>
    <row r="397" spans="1:4" x14ac:dyDescent="0.25">
      <c r="A397" s="2">
        <v>47.967145790554412</v>
      </c>
      <c r="B397" s="15">
        <v>0.5468578560202586</v>
      </c>
      <c r="C397" s="15">
        <v>0.54983990140170413</v>
      </c>
      <c r="D397" s="15">
        <v>0.54741296058041111</v>
      </c>
    </row>
    <row r="398" spans="1:4" x14ac:dyDescent="0.25">
      <c r="A398" s="2">
        <v>48.06570841889117</v>
      </c>
      <c r="B398" s="15">
        <v>0.54629300302724326</v>
      </c>
      <c r="C398" s="15">
        <v>0.54924915093166704</v>
      </c>
      <c r="D398" s="15">
        <v>0.54683606277602559</v>
      </c>
    </row>
    <row r="399" spans="1:4" x14ac:dyDescent="0.25">
      <c r="A399" s="2">
        <v>48.262833675564679</v>
      </c>
      <c r="B399" s="15">
        <v>0.54516763397470869</v>
      </c>
      <c r="C399" s="15">
        <v>0.54807160455214288</v>
      </c>
      <c r="D399" s="15">
        <v>0.54568645169730068</v>
      </c>
    </row>
    <row r="400" spans="1:4" x14ac:dyDescent="0.25">
      <c r="A400" s="2">
        <v>48.361396303901437</v>
      </c>
      <c r="B400" s="15">
        <v>0.54460710503745136</v>
      </c>
      <c r="C400" s="15">
        <v>0.54748479851036458</v>
      </c>
      <c r="D400" s="15">
        <v>0.54511372540608949</v>
      </c>
    </row>
    <row r="401" spans="1:4" x14ac:dyDescent="0.25">
      <c r="A401" s="2">
        <v>48.459958932238195</v>
      </c>
      <c r="B401" s="15">
        <v>0.54404800463279912</v>
      </c>
      <c r="C401" s="15">
        <v>0.54689929718874808</v>
      </c>
      <c r="D401" s="15">
        <v>0.54454237666045602</v>
      </c>
    </row>
    <row r="402" spans="1:4" x14ac:dyDescent="0.25">
      <c r="A402" s="2">
        <v>48.657084188911703</v>
      </c>
      <c r="B402" s="15">
        <v>0.54293406404983713</v>
      </c>
      <c r="C402" s="15">
        <v>0.54573218872421292</v>
      </c>
      <c r="D402" s="15">
        <v>0.54340378615389884</v>
      </c>
    </row>
    <row r="403" spans="1:4" x14ac:dyDescent="0.25">
      <c r="A403" s="2">
        <v>48.722792607802873</v>
      </c>
      <c r="B403" s="15">
        <v>0.54256400596423116</v>
      </c>
      <c r="C403" s="15">
        <v>0.54534430100516118</v>
      </c>
      <c r="D403" s="15">
        <v>0.54302546594574019</v>
      </c>
    </row>
    <row r="404" spans="1:4" x14ac:dyDescent="0.25">
      <c r="A404" s="2">
        <v>48.821355236139631</v>
      </c>
      <c r="B404" s="15">
        <v>0.54201008943424211</v>
      </c>
      <c r="C404" s="15">
        <v>0.54476354105740254</v>
      </c>
      <c r="D404" s="15">
        <v>0.54245911352131604</v>
      </c>
    </row>
    <row r="405" spans="1:4" x14ac:dyDescent="0.25">
      <c r="A405" s="2">
        <v>48.95277207392197</v>
      </c>
      <c r="B405" s="15">
        <v>0.54127370950257747</v>
      </c>
      <c r="C405" s="15">
        <v>0.54399118720797057</v>
      </c>
      <c r="D405" s="15">
        <v>0.54170607256060432</v>
      </c>
    </row>
    <row r="406" spans="1:4" x14ac:dyDescent="0.25">
      <c r="A406" s="2">
        <v>49.051334702258728</v>
      </c>
      <c r="B406" s="15">
        <v>0.54072304811615235</v>
      </c>
      <c r="C406" s="15">
        <v>0.54341341005558264</v>
      </c>
      <c r="D406" s="15">
        <v>0.54114285543321594</v>
      </c>
    </row>
    <row r="407" spans="1:4" x14ac:dyDescent="0.25">
      <c r="A407" s="2">
        <v>49.248459958932237</v>
      </c>
      <c r="B407" s="15">
        <v>0.53962587360620662</v>
      </c>
      <c r="C407" s="15">
        <v>0.54226166163604517</v>
      </c>
      <c r="D407" s="15">
        <v>0.54002041492728459</v>
      </c>
    </row>
    <row r="408" spans="1:4" x14ac:dyDescent="0.25">
      <c r="A408" s="2">
        <v>49.347022587268995</v>
      </c>
      <c r="B408" s="15">
        <v>0.53907934828951254</v>
      </c>
      <c r="C408" s="15">
        <v>0.5416876807402633</v>
      </c>
      <c r="D408" s="15">
        <v>0.53946117921335035</v>
      </c>
    </row>
    <row r="409" spans="1:4" x14ac:dyDescent="0.25">
      <c r="A409" s="2">
        <v>49.445585215605746</v>
      </c>
      <c r="B409" s="15">
        <v>0.53853418952486898</v>
      </c>
      <c r="C409" s="15">
        <v>0.54111495567535961</v>
      </c>
      <c r="D409" s="15">
        <v>0.5389032583570309</v>
      </c>
    </row>
    <row r="410" spans="1:4" x14ac:dyDescent="0.25">
      <c r="A410" s="2">
        <v>49.741273100616013</v>
      </c>
      <c r="B410" s="15">
        <v>0.53690685256786974</v>
      </c>
      <c r="C410" s="15">
        <v>0.53940426805040498</v>
      </c>
      <c r="D410" s="15">
        <v>0.53723732424540571</v>
      </c>
    </row>
    <row r="411" spans="1:4" x14ac:dyDescent="0.25">
      <c r="A411" s="2">
        <v>49.97125256673511</v>
      </c>
      <c r="B411" s="15">
        <v>0.53564950884114726</v>
      </c>
      <c r="C411" s="15">
        <v>0.5380814364097436</v>
      </c>
      <c r="D411" s="15">
        <v>0.53594963717855981</v>
      </c>
    </row>
    <row r="412" spans="1:4" x14ac:dyDescent="0.25">
      <c r="A412" s="2">
        <v>50.102669404517457</v>
      </c>
      <c r="B412" s="15">
        <v>0.53493428017616451</v>
      </c>
      <c r="C412" s="15">
        <v>0.53732853359177191</v>
      </c>
      <c r="D412" s="15">
        <v>0.53521694205148385</v>
      </c>
    </row>
    <row r="413" spans="1:4" x14ac:dyDescent="0.25">
      <c r="A413" s="2">
        <v>50.168377823408626</v>
      </c>
      <c r="B413" s="15">
        <v>0.53457754755015641</v>
      </c>
      <c r="C413" s="15">
        <v>0.53695289619230435</v>
      </c>
      <c r="D413" s="15">
        <v>0.53485144137737239</v>
      </c>
    </row>
    <row r="414" spans="1:4" x14ac:dyDescent="0.25">
      <c r="A414" s="2">
        <v>50.201232032854207</v>
      </c>
      <c r="B414" s="15">
        <v>0.53439940091444127</v>
      </c>
      <c r="C414" s="15">
        <v>0.5367652804009504</v>
      </c>
      <c r="D414" s="15">
        <v>0.53466890200409622</v>
      </c>
    </row>
    <row r="415" spans="1:4" x14ac:dyDescent="0.25">
      <c r="A415" s="2">
        <v>51.154004106776178</v>
      </c>
      <c r="B415" s="15">
        <v>0.52929587755763474</v>
      </c>
      <c r="C415" s="15">
        <v>0.53138249019124761</v>
      </c>
      <c r="D415" s="15">
        <v>0.52943545011382109</v>
      </c>
    </row>
    <row r="416" spans="1:4" x14ac:dyDescent="0.25">
      <c r="A416" s="2">
        <v>51.252566735112936</v>
      </c>
      <c r="B416" s="15">
        <v>0.52877473923219898</v>
      </c>
      <c r="C416" s="15">
        <v>0.53083197031536877</v>
      </c>
      <c r="D416" s="15">
        <v>0.52890058933787321</v>
      </c>
    </row>
    <row r="417" spans="1:4" x14ac:dyDescent="0.25">
      <c r="A417" s="2">
        <v>51.581108829568791</v>
      </c>
      <c r="B417" s="15">
        <v>0.52704665154851837</v>
      </c>
      <c r="C417" s="15">
        <v>0.52900531581695498</v>
      </c>
      <c r="D417" s="15">
        <v>0.52712637648769201</v>
      </c>
    </row>
    <row r="418" spans="1:4" x14ac:dyDescent="0.25">
      <c r="A418" s="2">
        <v>51.843942505133469</v>
      </c>
      <c r="B418" s="15">
        <v>0.52567409484925787</v>
      </c>
      <c r="C418" s="15">
        <v>0.52755322999149556</v>
      </c>
      <c r="D418" s="15">
        <v>0.52571649336884407</v>
      </c>
    </row>
    <row r="419" spans="1:4" x14ac:dyDescent="0.25">
      <c r="A419" s="2">
        <v>51.975359342915809</v>
      </c>
      <c r="B419" s="15">
        <v>0.52499108639738623</v>
      </c>
      <c r="C419" s="15">
        <v>0.52683023873660217</v>
      </c>
      <c r="D419" s="15">
        <v>0.52501467915887257</v>
      </c>
    </row>
    <row r="420" spans="1:4" x14ac:dyDescent="0.25">
      <c r="A420" s="2">
        <v>52.139630390143736</v>
      </c>
      <c r="B420" s="15">
        <v>0.52414036661189112</v>
      </c>
      <c r="C420" s="15">
        <v>0.52592934082612086</v>
      </c>
      <c r="D420" s="15">
        <v>0.52414031821076901</v>
      </c>
    </row>
    <row r="421" spans="1:4" x14ac:dyDescent="0.25">
      <c r="A421" s="2">
        <v>52.205338809034906</v>
      </c>
      <c r="B421" s="15">
        <v>0.5238010197782792</v>
      </c>
      <c r="C421" s="15">
        <v>0.52556986162899411</v>
      </c>
      <c r="D421" s="15">
        <v>0.52379147316882635</v>
      </c>
    </row>
    <row r="422" spans="1:4" x14ac:dyDescent="0.25">
      <c r="A422" s="2">
        <v>52.501026694045173</v>
      </c>
      <c r="B422" s="15">
        <v>0.52228056346020801</v>
      </c>
      <c r="C422" s="15">
        <v>0.52395838758480773</v>
      </c>
      <c r="D422" s="15">
        <v>0.5222279790607377</v>
      </c>
    </row>
    <row r="423" spans="1:4" x14ac:dyDescent="0.25">
      <c r="A423" s="2">
        <v>52.566735112936342</v>
      </c>
      <c r="B423" s="15">
        <v>0.52194414291270375</v>
      </c>
      <c r="C423" s="15">
        <v>0.52360164887655813</v>
      </c>
      <c r="D423" s="15">
        <v>0.52188192869493999</v>
      </c>
    </row>
    <row r="424" spans="1:4" x14ac:dyDescent="0.25">
      <c r="A424" s="2">
        <v>52.599589322381931</v>
      </c>
      <c r="B424" s="15">
        <v>0.52177613041570858</v>
      </c>
      <c r="C424" s="15">
        <v>0.5234234649782874</v>
      </c>
      <c r="D424" s="15">
        <v>0.52170909229217932</v>
      </c>
    </row>
    <row r="425" spans="1:4" x14ac:dyDescent="0.25">
      <c r="A425" s="2">
        <v>52.6652977412731</v>
      </c>
      <c r="B425" s="15">
        <v>0.52144050004122411</v>
      </c>
      <c r="C425" s="15">
        <v>0.52306746734492104</v>
      </c>
      <c r="D425" s="15">
        <v>0.52136379610045291</v>
      </c>
    </row>
    <row r="426" spans="1:4" x14ac:dyDescent="0.25">
      <c r="A426" s="2">
        <v>52.698151950718689</v>
      </c>
      <c r="B426" s="15">
        <v>0.52127288179114195</v>
      </c>
      <c r="C426" s="15">
        <v>0.52288965331115245</v>
      </c>
      <c r="D426" s="15">
        <v>0.52119133593391487</v>
      </c>
    </row>
    <row r="427" spans="1:4" x14ac:dyDescent="0.25">
      <c r="A427" s="2">
        <v>53.125256673511295</v>
      </c>
      <c r="B427" s="15">
        <v>0.51910570233437403</v>
      </c>
      <c r="C427" s="15">
        <v>0.52058920906283845</v>
      </c>
      <c r="D427" s="15">
        <v>0.5189606638865345</v>
      </c>
    </row>
    <row r="428" spans="1:4" x14ac:dyDescent="0.25">
      <c r="A428" s="2">
        <v>53.355236139630392</v>
      </c>
      <c r="B428" s="15">
        <v>0.51794779127338886</v>
      </c>
      <c r="C428" s="15">
        <v>0.51935900417158731</v>
      </c>
      <c r="D428" s="15">
        <v>0.51776814201467281</v>
      </c>
    </row>
    <row r="429" spans="1:4" x14ac:dyDescent="0.25">
      <c r="A429" s="2">
        <v>53.388090349075974</v>
      </c>
      <c r="B429" s="15">
        <v>0.51778288643327375</v>
      </c>
      <c r="C429" s="15">
        <v>0.51918374201710338</v>
      </c>
      <c r="D429" s="15">
        <v>0.51759826856236502</v>
      </c>
    </row>
    <row r="430" spans="1:4" x14ac:dyDescent="0.25">
      <c r="A430" s="2">
        <v>53.453798767967143</v>
      </c>
      <c r="B430" s="15">
        <v>0.51745345822933597</v>
      </c>
      <c r="C430" s="15">
        <v>0.51883357731710977</v>
      </c>
      <c r="D430" s="15">
        <v>0.51725888495192351</v>
      </c>
    </row>
    <row r="431" spans="1:4" x14ac:dyDescent="0.25">
      <c r="A431" s="2">
        <v>53.519507186858313</v>
      </c>
      <c r="B431" s="15">
        <v>0.51712453747154874</v>
      </c>
      <c r="C431" s="15">
        <v>0.51848389113907944</v>
      </c>
      <c r="D431" s="15">
        <v>0.5169199845287934</v>
      </c>
    </row>
    <row r="432" spans="1:4" x14ac:dyDescent="0.25">
      <c r="A432" s="2">
        <v>53.618069815195071</v>
      </c>
      <c r="B432" s="15">
        <v>0.51663210468671283</v>
      </c>
      <c r="C432" s="15">
        <v>0.51796025659766731</v>
      </c>
      <c r="D432" s="15">
        <v>0.51641253671871978</v>
      </c>
    </row>
    <row r="433" spans="1:4" x14ac:dyDescent="0.25">
      <c r="A433" s="2">
        <v>53.782340862422998</v>
      </c>
      <c r="B433" s="15">
        <v>0.5158139005341279</v>
      </c>
      <c r="C433" s="15">
        <v>0.51708990880825911</v>
      </c>
      <c r="D433" s="15">
        <v>0.51556918595931889</v>
      </c>
    </row>
    <row r="434" spans="1:4" x14ac:dyDescent="0.25">
      <c r="A434" s="2">
        <v>53.913757700205338</v>
      </c>
      <c r="B434" s="15">
        <v>0.51516159000627704</v>
      </c>
      <c r="C434" s="15">
        <v>0.51639575918899383</v>
      </c>
      <c r="D434" s="15">
        <v>0.5148966485672346</v>
      </c>
    </row>
    <row r="435" spans="1:4" x14ac:dyDescent="0.25">
      <c r="A435" s="2">
        <v>53.946611909650926</v>
      </c>
      <c r="B435" s="15">
        <v>0.51499882380729045</v>
      </c>
      <c r="C435" s="15">
        <v>0.51622251625168747</v>
      </c>
      <c r="D435" s="15">
        <v>0.51472881041329277</v>
      </c>
    </row>
    <row r="436" spans="1:4" x14ac:dyDescent="0.25">
      <c r="A436" s="2">
        <v>54.045174537987677</v>
      </c>
      <c r="B436" s="15">
        <v>0.51451126987191009</v>
      </c>
      <c r="C436" s="15">
        <v>0.5157034919213952</v>
      </c>
      <c r="D436" s="15">
        <v>0.51422600400223917</v>
      </c>
    </row>
    <row r="437" spans="1:4" x14ac:dyDescent="0.25">
      <c r="A437" s="2">
        <v>54.308008213552363</v>
      </c>
      <c r="B437" s="15">
        <v>0.51321655656073373</v>
      </c>
      <c r="C437" s="15">
        <v>0.5143245687548843</v>
      </c>
      <c r="D437" s="15">
        <v>0.51289034853437054</v>
      </c>
    </row>
    <row r="438" spans="1:4" x14ac:dyDescent="0.25">
      <c r="A438" s="2">
        <v>54.373716632443532</v>
      </c>
      <c r="B438" s="15">
        <v>0.51289410501903565</v>
      </c>
      <c r="C438" s="15">
        <v>0.5139810005405876</v>
      </c>
      <c r="D438" s="15">
        <v>0.51255760024250752</v>
      </c>
    </row>
    <row r="439" spans="1:4" x14ac:dyDescent="0.25">
      <c r="A439" s="2">
        <v>54.735112936344969</v>
      </c>
      <c r="B439" s="15">
        <v>0.51112930824877689</v>
      </c>
      <c r="C439" s="15">
        <v>0.51209961922963576</v>
      </c>
      <c r="D439" s="15">
        <v>0.51073573254583715</v>
      </c>
    </row>
    <row r="440" spans="1:4" x14ac:dyDescent="0.25">
      <c r="A440" s="2">
        <v>55.030800821355236</v>
      </c>
      <c r="B440" s="15">
        <v>0.50969620758697587</v>
      </c>
      <c r="C440" s="15">
        <v>0.51057059482820399</v>
      </c>
      <c r="D440" s="15">
        <v>0.50925538367036993</v>
      </c>
    </row>
    <row r="441" spans="1:4" x14ac:dyDescent="0.25">
      <c r="A441" s="2">
        <v>55.162217659137575</v>
      </c>
      <c r="B441" s="15">
        <v>0.50906236650770786</v>
      </c>
      <c r="C441" s="15">
        <v>0.50989397254173385</v>
      </c>
      <c r="D441" s="15">
        <v>0.50860038293178844</v>
      </c>
    </row>
    <row r="442" spans="1:4" x14ac:dyDescent="0.25">
      <c r="A442" s="2">
        <v>55.195071868583163</v>
      </c>
      <c r="B442" s="15">
        <v>0.50890420169156103</v>
      </c>
      <c r="C442" s="15">
        <v>0.50972509851145076</v>
      </c>
      <c r="D442" s="15">
        <v>0.50843691274711178</v>
      </c>
    </row>
    <row r="443" spans="1:4" x14ac:dyDescent="0.25">
      <c r="A443" s="2">
        <v>55.326488706365502</v>
      </c>
      <c r="B443" s="15">
        <v>0.5082727193778056</v>
      </c>
      <c r="C443" s="15">
        <v>0.50905072460756129</v>
      </c>
      <c r="D443" s="15">
        <v>0.50778414707950981</v>
      </c>
    </row>
    <row r="444" spans="1:4" x14ac:dyDescent="0.25">
      <c r="A444" s="2">
        <v>55.359342915811091</v>
      </c>
      <c r="B444" s="15">
        <v>0.50811514223003484</v>
      </c>
      <c r="C444" s="15">
        <v>0.50888241103053145</v>
      </c>
      <c r="D444" s="15">
        <v>0.50762123361258771</v>
      </c>
    </row>
    <row r="445" spans="1:4" x14ac:dyDescent="0.25">
      <c r="A445" s="2">
        <v>55.589322381930188</v>
      </c>
      <c r="B445" s="15">
        <v>0.50701537064558089</v>
      </c>
      <c r="C445" s="15">
        <v>0.50770733625579845</v>
      </c>
      <c r="D445" s="15">
        <v>0.50648393417119997</v>
      </c>
    </row>
    <row r="446" spans="1:4" x14ac:dyDescent="0.25">
      <c r="A446" s="2">
        <v>55.622176591375769</v>
      </c>
      <c r="B446" s="15">
        <v>0.50685872542601196</v>
      </c>
      <c r="C446" s="15">
        <v>0.50753991262638443</v>
      </c>
      <c r="D446" s="15">
        <v>0.50632190300051938</v>
      </c>
    </row>
    <row r="447" spans="1:4" x14ac:dyDescent="0.25">
      <c r="A447" s="2">
        <v>55.885010266940455</v>
      </c>
      <c r="B447" s="15">
        <v>0.50560971832657153</v>
      </c>
      <c r="C447" s="15">
        <v>0.50620449661604494</v>
      </c>
      <c r="D447" s="15">
        <v>0.50502958443132906</v>
      </c>
    </row>
    <row r="448" spans="1:4" x14ac:dyDescent="0.25">
      <c r="A448" s="2">
        <v>55.917864476386036</v>
      </c>
      <c r="B448" s="15">
        <v>0.50545410941383806</v>
      </c>
      <c r="C448" s="15">
        <v>0.50603806432359666</v>
      </c>
      <c r="D448" s="15">
        <v>0.50486853357114558</v>
      </c>
    </row>
    <row r="449" spans="1:4" x14ac:dyDescent="0.25">
      <c r="A449" s="2">
        <v>55.950718685831625</v>
      </c>
      <c r="B449" s="15">
        <v>0.50529861486304406</v>
      </c>
      <c r="C449" s="15">
        <v>0.50587174154181769</v>
      </c>
      <c r="D449" s="15">
        <v>0.50470759084076033</v>
      </c>
    </row>
    <row r="450" spans="1:4" x14ac:dyDescent="0.25">
      <c r="A450" s="2">
        <v>56.082135523613964</v>
      </c>
      <c r="B450" s="15">
        <v>0.50467777717067619</v>
      </c>
      <c r="C450" s="15">
        <v>0.50520754298786286</v>
      </c>
      <c r="D450" s="15">
        <v>0.50406489806776344</v>
      </c>
    </row>
    <row r="451" spans="1:4" x14ac:dyDescent="0.25">
      <c r="A451" s="2">
        <v>56.312114989733061</v>
      </c>
      <c r="B451" s="15">
        <v>0.50359567837675068</v>
      </c>
      <c r="C451" s="15">
        <v>0.50404938251798903</v>
      </c>
      <c r="D451" s="15">
        <v>0.50294431247620863</v>
      </c>
    </row>
    <row r="452" spans="1:4" x14ac:dyDescent="0.25">
      <c r="A452" s="2">
        <v>56.410677618069812</v>
      </c>
      <c r="B452" s="15">
        <v>0.50313361249856992</v>
      </c>
      <c r="C452" s="15">
        <v>0.50355465056068249</v>
      </c>
      <c r="D452" s="15">
        <v>0.50246565845097668</v>
      </c>
    </row>
    <row r="453" spans="1:4" x14ac:dyDescent="0.25">
      <c r="A453" s="2">
        <v>56.50924024640657</v>
      </c>
      <c r="B453" s="15">
        <v>0.50267255512678843</v>
      </c>
      <c r="C453" s="15">
        <v>0.5030608872688378</v>
      </c>
      <c r="D453" s="15">
        <v>0.50198795657173101</v>
      </c>
    </row>
    <row r="454" spans="1:4" x14ac:dyDescent="0.25">
      <c r="A454" s="2">
        <v>56.542094455852158</v>
      </c>
      <c r="B454" s="15">
        <v>0.50251909274207596</v>
      </c>
      <c r="C454" s="15">
        <v>0.50289651418648418</v>
      </c>
      <c r="D454" s="15">
        <v>0.50182893348416835</v>
      </c>
    </row>
    <row r="455" spans="1:4" x14ac:dyDescent="0.25">
      <c r="A455" s="2">
        <v>56.57494866529774</v>
      </c>
      <c r="B455" s="15">
        <v>0.50236574180881755</v>
      </c>
      <c r="C455" s="15">
        <v>0.50273224823936979</v>
      </c>
      <c r="D455" s="15">
        <v>0.50167001557796032</v>
      </c>
    </row>
    <row r="456" spans="1:4" x14ac:dyDescent="0.25">
      <c r="A456" s="2">
        <v>56.804928131416837</v>
      </c>
      <c r="B456" s="15">
        <v>0.50129539330879436</v>
      </c>
      <c r="C456" s="15">
        <v>0.50158537608551501</v>
      </c>
      <c r="D456" s="15">
        <v>0.50056052254192351</v>
      </c>
    </row>
    <row r="457" spans="1:4" x14ac:dyDescent="0.25">
      <c r="A457" s="2">
        <v>56.837782340862425</v>
      </c>
      <c r="B457" s="15">
        <v>0.50114292859169152</v>
      </c>
      <c r="C457" s="15">
        <v>0.50142196280725837</v>
      </c>
      <c r="D457" s="15">
        <v>0.50040244062156869</v>
      </c>
    </row>
    <row r="458" spans="1:4" x14ac:dyDescent="0.25">
      <c r="A458" s="2">
        <v>57.002053388090346</v>
      </c>
      <c r="B458" s="15">
        <v>0.50038225364570599</v>
      </c>
      <c r="C458" s="15">
        <v>0.50060648451632594</v>
      </c>
      <c r="D458" s="15">
        <v>0.49961358531066125</v>
      </c>
    </row>
    <row r="459" spans="1:4" x14ac:dyDescent="0.25">
      <c r="A459" s="2">
        <v>57.264887063655031</v>
      </c>
      <c r="B459" s="15">
        <v>0.4991708533077886</v>
      </c>
      <c r="C459" s="15">
        <v>0.4993071954058399</v>
      </c>
      <c r="D459" s="15">
        <v>0.49835676885916191</v>
      </c>
    </row>
    <row r="460" spans="1:4" x14ac:dyDescent="0.25">
      <c r="A460" s="2">
        <v>57.52772073921971</v>
      </c>
      <c r="B460" s="15">
        <v>0.4979663779283981</v>
      </c>
      <c r="C460" s="15">
        <v>0.49801459262865067</v>
      </c>
      <c r="D460" s="15">
        <v>0.49710647342787134</v>
      </c>
    </row>
    <row r="461" spans="1:4" x14ac:dyDescent="0.25">
      <c r="A461" s="2">
        <v>57.593429158110879</v>
      </c>
      <c r="B461" s="15">
        <v>0.49766633245227626</v>
      </c>
      <c r="C461" s="15">
        <v>0.49769247956699436</v>
      </c>
      <c r="D461" s="15">
        <v>0.49679490971491358</v>
      </c>
    </row>
    <row r="462" spans="1:4" x14ac:dyDescent="0.25">
      <c r="A462" s="2">
        <v>57.691991786447637</v>
      </c>
      <c r="B462" s="15">
        <v>0.49721706461899462</v>
      </c>
      <c r="C462" s="15">
        <v>0.49721008438118586</v>
      </c>
      <c r="D462" s="15">
        <v>0.49632831705069524</v>
      </c>
    </row>
    <row r="463" spans="1:4" x14ac:dyDescent="0.25">
      <c r="A463" s="2">
        <v>57.823408624229977</v>
      </c>
      <c r="B463" s="15">
        <v>0.49661952892662597</v>
      </c>
      <c r="C463" s="15">
        <v>0.49656833145839596</v>
      </c>
      <c r="D463" s="15">
        <v>0.49570759288881971</v>
      </c>
    </row>
    <row r="464" spans="1:4" x14ac:dyDescent="0.25">
      <c r="A464" s="2">
        <v>57.921971252566735</v>
      </c>
      <c r="B464" s="15">
        <v>0.49617248828153432</v>
      </c>
      <c r="C464" s="15">
        <v>0.49608809319521385</v>
      </c>
      <c r="D464" s="15">
        <v>0.49524309430964547</v>
      </c>
    </row>
    <row r="465" spans="1:4" x14ac:dyDescent="0.25">
      <c r="A465" s="2">
        <v>57.987679671457904</v>
      </c>
      <c r="B465" s="15">
        <v>0.49587498818558551</v>
      </c>
      <c r="C465" s="15">
        <v>0.49576844520442553</v>
      </c>
      <c r="D465" s="15">
        <v>0.49493392385950519</v>
      </c>
    </row>
    <row r="466" spans="1:4" x14ac:dyDescent="0.25">
      <c r="A466" s="2">
        <v>58.053388090349074</v>
      </c>
      <c r="B466" s="15">
        <v>0.49557790838616694</v>
      </c>
      <c r="C466" s="15">
        <v>0.49544920482050714</v>
      </c>
      <c r="D466" s="15">
        <v>0.49462514830483056</v>
      </c>
    </row>
    <row r="467" spans="1:4" x14ac:dyDescent="0.25">
      <c r="A467" s="2">
        <v>58.18480492813142</v>
      </c>
      <c r="B467" s="15">
        <v>0.49498500522717964</v>
      </c>
      <c r="C467" s="15">
        <v>0.49481194320617128</v>
      </c>
      <c r="D467" s="15">
        <v>0.49400877737817961</v>
      </c>
    </row>
    <row r="468" spans="1:4" x14ac:dyDescent="0.25">
      <c r="A468" s="2">
        <v>58.513347022587268</v>
      </c>
      <c r="B468" s="15">
        <v>0.49351002505446795</v>
      </c>
      <c r="C468" s="15">
        <v>0.49322585841645505</v>
      </c>
      <c r="D468" s="15">
        <v>0.49247468233332459</v>
      </c>
    </row>
    <row r="469" spans="1:4" x14ac:dyDescent="0.25">
      <c r="A469" s="2">
        <v>58.677618069815196</v>
      </c>
      <c r="B469" s="15">
        <v>0.49277640128059264</v>
      </c>
      <c r="C469" s="15">
        <v>0.49243657631288196</v>
      </c>
      <c r="D469" s="15">
        <v>0.49171126210108562</v>
      </c>
    </row>
    <row r="470" spans="1:4" x14ac:dyDescent="0.25">
      <c r="A470" s="2">
        <v>58.776180698151954</v>
      </c>
      <c r="B470" s="15">
        <v>0.49233745448705168</v>
      </c>
      <c r="C470" s="15">
        <v>0.49196420228737825</v>
      </c>
      <c r="D470" s="15">
        <v>0.49125436083050278</v>
      </c>
    </row>
    <row r="471" spans="1:4" x14ac:dyDescent="0.25">
      <c r="A471" s="2">
        <v>58.841889117043124</v>
      </c>
      <c r="B471" s="15">
        <v>0.49204533250033233</v>
      </c>
      <c r="C471" s="15">
        <v>0.49164978243519586</v>
      </c>
      <c r="D471" s="15">
        <v>0.49095023724881626</v>
      </c>
    </row>
    <row r="472" spans="1:4" x14ac:dyDescent="0.25">
      <c r="A472" s="2">
        <v>59.3347022587269</v>
      </c>
      <c r="B472" s="15">
        <v>0.48986728956313541</v>
      </c>
      <c r="C472" s="15">
        <v>0.48930419228616495</v>
      </c>
      <c r="D472" s="15">
        <v>0.4886813664884529</v>
      </c>
    </row>
    <row r="473" spans="1:4" x14ac:dyDescent="0.25">
      <c r="A473" s="2">
        <v>59.367556468172488</v>
      </c>
      <c r="B473" s="15">
        <v>0.48972288803744263</v>
      </c>
      <c r="C473" s="15">
        <v>0.48914860237415825</v>
      </c>
      <c r="D473" s="15">
        <v>0.48853085851144512</v>
      </c>
    </row>
    <row r="474" spans="1:4" x14ac:dyDescent="0.25">
      <c r="A474" s="2">
        <v>59.597535934291578</v>
      </c>
      <c r="B474" s="15">
        <v>0.48871485409491516</v>
      </c>
      <c r="C474" s="15">
        <v>0.48806218948019731</v>
      </c>
      <c r="D474" s="15">
        <v>0.48747989967574218</v>
      </c>
    </row>
    <row r="475" spans="1:4" x14ac:dyDescent="0.25">
      <c r="A475" s="2">
        <v>59.728952772073924</v>
      </c>
      <c r="B475" s="15">
        <v>0.48814100510028169</v>
      </c>
      <c r="C475" s="15">
        <v>0.487443507091323</v>
      </c>
      <c r="D475" s="15">
        <v>0.48688138082642773</v>
      </c>
    </row>
    <row r="476" spans="1:4" x14ac:dyDescent="0.25">
      <c r="A476" s="2">
        <v>59.794661190965094</v>
      </c>
      <c r="B476" s="15">
        <v>0.48785466920583853</v>
      </c>
      <c r="C476" s="15">
        <v>0.48713474267258738</v>
      </c>
      <c r="D476" s="15">
        <v>0.48658267141989731</v>
      </c>
    </row>
    <row r="477" spans="1:4" x14ac:dyDescent="0.25">
      <c r="A477" s="2">
        <v>59.827515400410675</v>
      </c>
      <c r="B477" s="15">
        <v>0.4877116479644778</v>
      </c>
      <c r="C477" s="15">
        <v>0.48698050428706563</v>
      </c>
      <c r="D477" s="15">
        <v>0.48643345377149533</v>
      </c>
    </row>
    <row r="478" spans="1:4" x14ac:dyDescent="0.25">
      <c r="A478" s="2">
        <v>59.991786447638603</v>
      </c>
      <c r="B478" s="15">
        <v>0.48699800375845231</v>
      </c>
      <c r="C478" s="15">
        <v>0.48621074638795103</v>
      </c>
      <c r="D478" s="15">
        <v>0.48568873096601634</v>
      </c>
    </row>
    <row r="479" spans="1:4" x14ac:dyDescent="0.25">
      <c r="A479" s="2">
        <v>60.2217659137577</v>
      </c>
      <c r="B479" s="15">
        <v>0.48600297260713682</v>
      </c>
      <c r="C479" s="15">
        <v>0.48513708156374358</v>
      </c>
      <c r="D479" s="15">
        <v>0.48464991915288069</v>
      </c>
    </row>
    <row r="480" spans="1:4" x14ac:dyDescent="0.25">
      <c r="A480" s="2">
        <v>60.254620123203289</v>
      </c>
      <c r="B480" s="15">
        <v>0.48586121082451456</v>
      </c>
      <c r="C480" s="15">
        <v>0.4849840796642384</v>
      </c>
      <c r="D480" s="15">
        <v>0.4845018771936756</v>
      </c>
    </row>
    <row r="481" spans="1:4" x14ac:dyDescent="0.25">
      <c r="A481" s="2">
        <v>60.386036960985628</v>
      </c>
      <c r="B481" s="15">
        <v>0.48529512254710189</v>
      </c>
      <c r="C481" s="15">
        <v>0.48437301490416618</v>
      </c>
      <c r="D481" s="15">
        <v>0.48391060366768957</v>
      </c>
    </row>
    <row r="482" spans="1:4" x14ac:dyDescent="0.25">
      <c r="A482" s="2">
        <v>60.451745379876797</v>
      </c>
      <c r="B482" s="15">
        <v>0.48501265199511262</v>
      </c>
      <c r="C482" s="15">
        <v>0.48406804678697379</v>
      </c>
      <c r="D482" s="15">
        <v>0.4836155017483631</v>
      </c>
    </row>
    <row r="483" spans="1:4" x14ac:dyDescent="0.25">
      <c r="A483" s="2">
        <v>60.484599589322379</v>
      </c>
      <c r="B483" s="15">
        <v>0.48487155968599366</v>
      </c>
      <c r="C483" s="15">
        <v>0.4839157034352084</v>
      </c>
      <c r="D483" s="15">
        <v>0.48346808406542979</v>
      </c>
    </row>
    <row r="484" spans="1:4" x14ac:dyDescent="0.25">
      <c r="A484" s="2">
        <v>60.517453798767967</v>
      </c>
      <c r="B484" s="15">
        <v>0.4847305625249515</v>
      </c>
      <c r="C484" s="15">
        <v>0.48376345375169916</v>
      </c>
      <c r="D484" s="15">
        <v>0.48332075506882433</v>
      </c>
    </row>
    <row r="485" spans="1:4" x14ac:dyDescent="0.25">
      <c r="A485" s="2">
        <v>60.648870636550306</v>
      </c>
      <c r="B485" s="15">
        <v>0.48416752292233467</v>
      </c>
      <c r="C485" s="15">
        <v>0.48315538966199023</v>
      </c>
      <c r="D485" s="15">
        <v>0.48273232348190187</v>
      </c>
    </row>
    <row r="486" spans="1:4" x14ac:dyDescent="0.25">
      <c r="A486" s="2">
        <v>60.681724845995895</v>
      </c>
      <c r="B486" s="15">
        <v>0.48402699967408996</v>
      </c>
      <c r="C486" s="15">
        <v>0.4830036067924498</v>
      </c>
      <c r="D486" s="15">
        <v>0.48258543607098364</v>
      </c>
    </row>
    <row r="487" spans="1:4" x14ac:dyDescent="0.25">
      <c r="A487" s="2">
        <v>60.845995893223822</v>
      </c>
      <c r="B487" s="15">
        <v>0.48332579729611641</v>
      </c>
      <c r="C487" s="15">
        <v>0.48224608630140087</v>
      </c>
      <c r="D487" s="15">
        <v>0.48185231582006888</v>
      </c>
    </row>
    <row r="488" spans="1:4" x14ac:dyDescent="0.25">
      <c r="A488" s="2">
        <v>60.878850102669404</v>
      </c>
      <c r="B488" s="15">
        <v>0.48318583874998311</v>
      </c>
      <c r="C488" s="15">
        <v>0.48209486026899673</v>
      </c>
      <c r="D488" s="15">
        <v>0.48170595427915114</v>
      </c>
    </row>
    <row r="489" spans="1:4" x14ac:dyDescent="0.25">
      <c r="A489" s="2">
        <v>60.911704312114992</v>
      </c>
      <c r="B489" s="15">
        <v>0.48304597390023418</v>
      </c>
      <c r="C489" s="15">
        <v>0.48194372669073582</v>
      </c>
      <c r="D489" s="15">
        <v>0.48155967995848842</v>
      </c>
    </row>
    <row r="490" spans="1:4" x14ac:dyDescent="0.25">
      <c r="A490" s="2">
        <v>60.944558521560573</v>
      </c>
      <c r="B490" s="15">
        <v>0.48290620262723688</v>
      </c>
      <c r="C490" s="15">
        <v>0.48179268546644183</v>
      </c>
      <c r="D490" s="15">
        <v>0.4814134927372889</v>
      </c>
    </row>
    <row r="491" spans="1:4" x14ac:dyDescent="0.25">
      <c r="A491" s="2">
        <v>60.977412731006162</v>
      </c>
      <c r="B491" s="15">
        <v>0.48276652481156063</v>
      </c>
      <c r="C491" s="15">
        <v>0.4816417364960901</v>
      </c>
      <c r="D491" s="15">
        <v>0.48126739249497064</v>
      </c>
    </row>
    <row r="492" spans="1:4" x14ac:dyDescent="0.25">
      <c r="A492" s="2">
        <v>61.043121149897331</v>
      </c>
      <c r="B492" s="15">
        <v>0.48248744907547664</v>
      </c>
      <c r="C492" s="15">
        <v>0.48134011491788065</v>
      </c>
      <c r="D492" s="15">
        <v>0.48097545246570189</v>
      </c>
    </row>
    <row r="493" spans="1:4" x14ac:dyDescent="0.25">
      <c r="A493" s="2">
        <v>61.141683778234089</v>
      </c>
      <c r="B493" s="15">
        <v>0.48206953342723774</v>
      </c>
      <c r="C493" s="15">
        <v>0.48088837196327361</v>
      </c>
      <c r="D493" s="15">
        <v>0.48053819176093415</v>
      </c>
    </row>
    <row r="494" spans="1:4" x14ac:dyDescent="0.25">
      <c r="A494" s="2">
        <v>61.17453798767967</v>
      </c>
      <c r="B494" s="15">
        <v>0.48193041385887131</v>
      </c>
      <c r="C494" s="15">
        <v>0.48073797442457822</v>
      </c>
      <c r="D494" s="15">
        <v>0.48039261087143309</v>
      </c>
    </row>
    <row r="495" spans="1:4" x14ac:dyDescent="0.25">
      <c r="A495" s="2">
        <v>61.207392197125259</v>
      </c>
      <c r="B495" s="15">
        <v>0.48179138691751028</v>
      </c>
      <c r="C495" s="15">
        <v>0.48058766844390333</v>
      </c>
      <c r="D495" s="15">
        <v>0.48024711612260373</v>
      </c>
    </row>
    <row r="496" spans="1:4" x14ac:dyDescent="0.25">
      <c r="A496" s="2">
        <v>61.30595482546201</v>
      </c>
      <c r="B496" s="15">
        <v>0.48137486067837365</v>
      </c>
      <c r="C496" s="15">
        <v>0.48013729886260637</v>
      </c>
      <c r="D496" s="15">
        <v>0.4798111475320701</v>
      </c>
    </row>
    <row r="497" spans="1:4" x14ac:dyDescent="0.25">
      <c r="A497" s="2">
        <v>61.371663244353179</v>
      </c>
      <c r="B497" s="15">
        <v>0.48109763749949391</v>
      </c>
      <c r="C497" s="15">
        <v>0.47983750845757189</v>
      </c>
      <c r="D497" s="15">
        <v>0.47952093033387411</v>
      </c>
    </row>
    <row r="498" spans="1:4" x14ac:dyDescent="0.25">
      <c r="A498" s="2">
        <v>61.404517453798768</v>
      </c>
      <c r="B498" s="15">
        <v>0.48095916385319315</v>
      </c>
      <c r="C498" s="15">
        <v>0.47968774975515438</v>
      </c>
      <c r="D498" s="15">
        <v>0.47937594993916466</v>
      </c>
    </row>
    <row r="499" spans="1:4" x14ac:dyDescent="0.25">
      <c r="A499" s="2">
        <v>61.700205338809035</v>
      </c>
      <c r="B499" s="15">
        <v>0.47971701840314251</v>
      </c>
      <c r="C499" s="15">
        <v>0.4783439988575362</v>
      </c>
      <c r="D499" s="15">
        <v>0.47807495140103584</v>
      </c>
    </row>
    <row r="500" spans="1:4" x14ac:dyDescent="0.25">
      <c r="A500" s="2">
        <v>61.897330595482543</v>
      </c>
      <c r="B500" s="15">
        <v>0.47889301111237187</v>
      </c>
      <c r="C500" s="15">
        <v>0.47745221907040869</v>
      </c>
      <c r="D500" s="15">
        <v>0.47721141611924806</v>
      </c>
    </row>
    <row r="501" spans="1:4" x14ac:dyDescent="0.25">
      <c r="A501" s="2">
        <v>62.324435318275157</v>
      </c>
      <c r="B501" s="15">
        <v>0.47711875450350683</v>
      </c>
      <c r="C501" s="15">
        <v>0.47553104531579771</v>
      </c>
      <c r="D501" s="15">
        <v>0.47535071137553747</v>
      </c>
    </row>
    <row r="502" spans="1:4" x14ac:dyDescent="0.25">
      <c r="A502" s="2">
        <v>62.554414784394254</v>
      </c>
      <c r="B502" s="15">
        <v>0.47616960469638203</v>
      </c>
      <c r="C502" s="15">
        <v>0.47450275346112036</v>
      </c>
      <c r="D502" s="15">
        <v>0.47435455621325084</v>
      </c>
    </row>
    <row r="503" spans="1:4" x14ac:dyDescent="0.25">
      <c r="A503" s="2">
        <v>62.587268993839835</v>
      </c>
      <c r="B503" s="15">
        <v>0.47603436413759748</v>
      </c>
      <c r="C503" s="15">
        <v>0.47435620550432955</v>
      </c>
      <c r="D503" s="15">
        <v>0.47421257450119675</v>
      </c>
    </row>
    <row r="504" spans="1:4" x14ac:dyDescent="0.25">
      <c r="A504" s="2">
        <v>63.014373716632441</v>
      </c>
      <c r="B504" s="15">
        <v>0.47428418132569011</v>
      </c>
      <c r="C504" s="15">
        <v>0.47245900562613208</v>
      </c>
      <c r="D504" s="15">
        <v>0.47237416233210128</v>
      </c>
    </row>
    <row r="505" spans="1:4" x14ac:dyDescent="0.25">
      <c r="A505" s="2">
        <v>63.145790554414788</v>
      </c>
      <c r="B505" s="15">
        <v>0.47374860970383625</v>
      </c>
      <c r="C505" s="15">
        <v>0.47187819356498317</v>
      </c>
      <c r="D505" s="15">
        <v>0.47181122098279898</v>
      </c>
    </row>
    <row r="506" spans="1:4" x14ac:dyDescent="0.25">
      <c r="A506" s="2">
        <v>63.277207392197127</v>
      </c>
      <c r="B506" s="15">
        <v>0.47321441249679791</v>
      </c>
      <c r="C506" s="15">
        <v>0.47129875567092183</v>
      </c>
      <c r="D506" s="15">
        <v>0.47124954938259689</v>
      </c>
    </row>
    <row r="507" spans="1:4" x14ac:dyDescent="0.25">
      <c r="A507" s="2">
        <v>63.507186858316224</v>
      </c>
      <c r="B507" s="15">
        <v>0.4722828541583694</v>
      </c>
      <c r="C507" s="15">
        <v>0.47028802862251151</v>
      </c>
      <c r="D507" s="15">
        <v>0.47026965886548272</v>
      </c>
    </row>
    <row r="508" spans="1:4" x14ac:dyDescent="0.25">
      <c r="A508" s="2">
        <v>63.671457905544145</v>
      </c>
      <c r="B508" s="15">
        <v>0.47161999964363099</v>
      </c>
      <c r="C508" s="15">
        <v>0.46956862950322775</v>
      </c>
      <c r="D508" s="15">
        <v>0.46957208489913482</v>
      </c>
    </row>
    <row r="509" spans="1:4" x14ac:dyDescent="0.25">
      <c r="A509" s="2">
        <v>64.262833675564679</v>
      </c>
      <c r="B509" s="15">
        <v>0.46925106445516029</v>
      </c>
      <c r="C509" s="15">
        <v>0.46699619660933511</v>
      </c>
      <c r="D509" s="15">
        <v>0.46707680274084273</v>
      </c>
    </row>
    <row r="510" spans="1:4" x14ac:dyDescent="0.25">
      <c r="A510" s="2">
        <v>64.361396303901444</v>
      </c>
      <c r="B510" s="15">
        <v>0.46885885286677564</v>
      </c>
      <c r="C510" s="15">
        <v>0.46657008242912579</v>
      </c>
      <c r="D510" s="15">
        <v>0.46666332667178673</v>
      </c>
    </row>
    <row r="511" spans="1:4" x14ac:dyDescent="0.25">
      <c r="A511" s="2">
        <v>64.558521560574945</v>
      </c>
      <c r="B511" s="15">
        <v>0.46807664312304964</v>
      </c>
      <c r="C511" s="15">
        <v>0.46572008282918853</v>
      </c>
      <c r="D511" s="15">
        <v>0.4658384107045877</v>
      </c>
    </row>
    <row r="512" spans="1:4" x14ac:dyDescent="0.25">
      <c r="A512" s="2">
        <v>64.887063655030801</v>
      </c>
      <c r="B512" s="15">
        <v>0.4667794681957142</v>
      </c>
      <c r="C512" s="15">
        <v>0.46430997751961089</v>
      </c>
      <c r="D512" s="15">
        <v>0.46446953327076718</v>
      </c>
    </row>
    <row r="513" spans="1:4" x14ac:dyDescent="0.25">
      <c r="A513" s="2">
        <v>64.919917864476389</v>
      </c>
      <c r="B513" s="15">
        <v>0.46665019505543975</v>
      </c>
      <c r="C513" s="15">
        <v>0.464169415407643</v>
      </c>
      <c r="D513" s="15">
        <v>0.46433305373974282</v>
      </c>
    </row>
    <row r="514" spans="1:4" x14ac:dyDescent="0.25">
      <c r="A514" s="2">
        <v>64.952772073921977</v>
      </c>
      <c r="B514" s="15">
        <v>0.46652100231529869</v>
      </c>
      <c r="C514" s="15">
        <v>0.46402893449127258</v>
      </c>
      <c r="D514" s="15">
        <v>0.46419664803620725</v>
      </c>
    </row>
    <row r="515" spans="1:4" x14ac:dyDescent="0.25">
      <c r="A515" s="2">
        <v>65.01848049281314</v>
      </c>
      <c r="B515" s="15">
        <v>0.46626285764645742</v>
      </c>
      <c r="C515" s="15">
        <v>0.46374821591190729</v>
      </c>
      <c r="D515" s="15">
        <v>0.46392405772100359</v>
      </c>
    </row>
    <row r="516" spans="1:4" x14ac:dyDescent="0.25">
      <c r="A516" s="2">
        <v>65.084188911704317</v>
      </c>
      <c r="B516" s="15">
        <v>0.46600503341287125</v>
      </c>
      <c r="C516" s="15">
        <v>0.46346782111589724</v>
      </c>
      <c r="D516" s="15">
        <v>0.46365176154562604</v>
      </c>
    </row>
    <row r="517" spans="1:4" x14ac:dyDescent="0.25">
      <c r="A517" s="2">
        <v>65.182751540041068</v>
      </c>
      <c r="B517" s="15">
        <v>0.465618896186692</v>
      </c>
      <c r="C517" s="15">
        <v>0.46304783456440102</v>
      </c>
      <c r="D517" s="15">
        <v>0.46324386709603727</v>
      </c>
    </row>
    <row r="518" spans="1:4" x14ac:dyDescent="0.25">
      <c r="A518" s="2">
        <v>65.347022587268995</v>
      </c>
      <c r="B518" s="15">
        <v>0.46497692539406749</v>
      </c>
      <c r="C518" s="15">
        <v>0.46234946652075293</v>
      </c>
      <c r="D518" s="15">
        <v>0.46256550274443564</v>
      </c>
    </row>
    <row r="519" spans="1:4" x14ac:dyDescent="0.25">
      <c r="A519" s="2">
        <v>65.379876796714584</v>
      </c>
      <c r="B519" s="15">
        <v>0.46484876906128442</v>
      </c>
      <c r="C519" s="15">
        <v>0.46221003360320689</v>
      </c>
      <c r="D519" s="15">
        <v>0.46243004796867421</v>
      </c>
    </row>
    <row r="520" spans="1:4" x14ac:dyDescent="0.25">
      <c r="A520" s="2">
        <v>65.938398357289529</v>
      </c>
      <c r="B520" s="15">
        <v>0.46268212937503178</v>
      </c>
      <c r="C520" s="15">
        <v>0.4598518536955194</v>
      </c>
      <c r="D520" s="15">
        <v>0.46013832809041427</v>
      </c>
    </row>
    <row r="521" spans="1:4" x14ac:dyDescent="0.25">
      <c r="A521" s="2">
        <v>66.004106776180691</v>
      </c>
      <c r="B521" s="15">
        <v>0.46242871113713191</v>
      </c>
      <c r="C521" s="15">
        <v>0.4595759230498484</v>
      </c>
      <c r="D521" s="15">
        <v>0.45987006949012299</v>
      </c>
    </row>
    <row r="522" spans="1:4" x14ac:dyDescent="0.25">
      <c r="A522" s="2">
        <v>66.03696098562628</v>
      </c>
      <c r="B522" s="15">
        <v>0.46230211797383608</v>
      </c>
      <c r="C522" s="15">
        <v>0.45943807552723626</v>
      </c>
      <c r="D522" s="15">
        <v>0.45973604627110942</v>
      </c>
    </row>
    <row r="523" spans="1:4" x14ac:dyDescent="0.25">
      <c r="A523" s="2">
        <v>66.069815195071868</v>
      </c>
      <c r="B523" s="15">
        <v>0.46217560199140473</v>
      </c>
      <c r="C523" s="15">
        <v>0.45930030643208852</v>
      </c>
      <c r="D523" s="15">
        <v>0.45960209364965404</v>
      </c>
    </row>
    <row r="524" spans="1:4" x14ac:dyDescent="0.25">
      <c r="A524" s="2">
        <v>66.168377823408619</v>
      </c>
      <c r="B524" s="15">
        <v>0.46179651621014017</v>
      </c>
      <c r="C524" s="15">
        <v>0.458887468918312</v>
      </c>
      <c r="D524" s="15">
        <v>0.45920065844939001</v>
      </c>
    </row>
    <row r="525" spans="1:4" x14ac:dyDescent="0.25">
      <c r="A525" s="2">
        <v>66.201232032854207</v>
      </c>
      <c r="B525" s="15">
        <v>0.46167030803276177</v>
      </c>
      <c r="C525" s="15">
        <v>0.45875001274047178</v>
      </c>
      <c r="D525" s="15">
        <v>0.45906698729770185</v>
      </c>
    </row>
    <row r="526" spans="1:4" x14ac:dyDescent="0.25">
      <c r="A526" s="2">
        <v>66.266940451745384</v>
      </c>
      <c r="B526" s="15">
        <v>0.46141812175400065</v>
      </c>
      <c r="C526" s="15">
        <v>0.4584753344012702</v>
      </c>
      <c r="D526" s="15">
        <v>0.45879985531721396</v>
      </c>
    </row>
    <row r="527" spans="1:4" x14ac:dyDescent="0.25">
      <c r="A527" s="2">
        <v>66.299794661190958</v>
      </c>
      <c r="B527" s="15">
        <v>0.46129214347028391</v>
      </c>
      <c r="C527" s="15">
        <v>0.45833811208242281</v>
      </c>
      <c r="D527" s="15">
        <v>0.45866639430572004</v>
      </c>
    </row>
    <row r="528" spans="1:4" x14ac:dyDescent="0.25">
      <c r="A528" s="2">
        <v>66.496919917864474</v>
      </c>
      <c r="B528" s="15">
        <v>0.46053787602714047</v>
      </c>
      <c r="C528" s="15">
        <v>0.4575164091369015</v>
      </c>
      <c r="D528" s="15">
        <v>0.45786709220867428</v>
      </c>
    </row>
    <row r="529" spans="1:4" x14ac:dyDescent="0.25">
      <c r="A529" s="2">
        <v>66.595482546201225</v>
      </c>
      <c r="B529" s="15">
        <v>0.46016176826344579</v>
      </c>
      <c r="C529" s="15">
        <v>0.45710660262777614</v>
      </c>
      <c r="D529" s="15">
        <v>0.45746837821239789</v>
      </c>
    </row>
    <row r="530" spans="1:4" x14ac:dyDescent="0.25">
      <c r="A530" s="2">
        <v>66.69404517453799</v>
      </c>
      <c r="B530" s="15">
        <v>0.4597863412361648</v>
      </c>
      <c r="C530" s="15">
        <v>0.45669748996176307</v>
      </c>
      <c r="D530" s="15">
        <v>0.45707028567742608</v>
      </c>
    </row>
    <row r="531" spans="1:4" x14ac:dyDescent="0.25">
      <c r="A531" s="2">
        <v>66.82546201232033</v>
      </c>
      <c r="B531" s="15">
        <v>0.45928682662283088</v>
      </c>
      <c r="C531" s="15">
        <v>0.45615308211061834</v>
      </c>
      <c r="D531" s="15">
        <v>0.45654045817643713</v>
      </c>
    </row>
    <row r="532" spans="1:4" x14ac:dyDescent="0.25">
      <c r="A532" s="2">
        <v>66.989733059548257</v>
      </c>
      <c r="B532" s="15">
        <v>0.45866412051296807</v>
      </c>
      <c r="C532" s="15">
        <v>0.45547429418499819</v>
      </c>
      <c r="D532" s="15">
        <v>0.45587971275342343</v>
      </c>
    </row>
    <row r="533" spans="1:4" x14ac:dyDescent="0.25">
      <c r="A533" s="2">
        <v>67.285420944558524</v>
      </c>
      <c r="B533" s="15">
        <v>0.45754794029195395</v>
      </c>
      <c r="C533" s="15">
        <v>0.45425726835546065</v>
      </c>
      <c r="D533" s="15">
        <v>0.45469464677732563</v>
      </c>
    </row>
    <row r="534" spans="1:4" x14ac:dyDescent="0.25">
      <c r="A534" s="2">
        <v>67.318275154004112</v>
      </c>
      <c r="B534" s="15">
        <v>0.45742429036826576</v>
      </c>
      <c r="C534" s="15">
        <v>0.45412242172018602</v>
      </c>
      <c r="D534" s="15">
        <v>0.45456330994427735</v>
      </c>
    </row>
    <row r="535" spans="1:4" x14ac:dyDescent="0.25">
      <c r="A535" s="2">
        <v>67.383983572895275</v>
      </c>
      <c r="B535" s="15">
        <v>0.4571772115407684</v>
      </c>
      <c r="C535" s="15">
        <v>0.45385295461957276</v>
      </c>
      <c r="D535" s="15">
        <v>0.45430083753604195</v>
      </c>
    </row>
    <row r="536" spans="1:4" x14ac:dyDescent="0.25">
      <c r="A536" s="2">
        <v>67.416837782340863</v>
      </c>
      <c r="B536" s="15">
        <v>0.45705378246442857</v>
      </c>
      <c r="C536" s="15">
        <v>0.45371833400423012</v>
      </c>
      <c r="D536" s="15">
        <v>0.45416970178834765</v>
      </c>
    </row>
    <row r="537" spans="1:4" x14ac:dyDescent="0.25">
      <c r="A537" s="2">
        <v>67.548254620123203</v>
      </c>
      <c r="B537" s="15">
        <v>0.45656079973544139</v>
      </c>
      <c r="C537" s="15">
        <v>0.45318060269754024</v>
      </c>
      <c r="D537" s="15">
        <v>0.45364582650125573</v>
      </c>
    </row>
    <row r="538" spans="1:4" x14ac:dyDescent="0.25">
      <c r="A538" s="2">
        <v>67.581108829568791</v>
      </c>
      <c r="B538" s="15">
        <v>0.45643773701874274</v>
      </c>
      <c r="C538" s="15">
        <v>0.45304635728665521</v>
      </c>
      <c r="D538" s="15">
        <v>0.45351502417702938</v>
      </c>
    </row>
    <row r="539" spans="1:4" x14ac:dyDescent="0.25">
      <c r="A539" s="2">
        <v>67.646817248459953</v>
      </c>
      <c r="B539" s="15">
        <v>0.45619183054597312</v>
      </c>
      <c r="C539" s="15">
        <v>0.45277809084327436</v>
      </c>
      <c r="D539" s="15">
        <v>0.4532536187279208</v>
      </c>
    </row>
    <row r="540" spans="1:4" x14ac:dyDescent="0.25">
      <c r="A540" s="2">
        <v>67.843942505133469</v>
      </c>
      <c r="B540" s="15">
        <v>0.45545585669370253</v>
      </c>
      <c r="C540" s="15">
        <v>0.45197508121059404</v>
      </c>
      <c r="D540" s="15">
        <v>0.45247098986091405</v>
      </c>
    </row>
    <row r="541" spans="1:4" x14ac:dyDescent="0.25">
      <c r="A541" s="2">
        <v>68.763860369609858</v>
      </c>
      <c r="B541" s="15">
        <v>0.45205545415321341</v>
      </c>
      <c r="C541" s="15">
        <v>0.44826278125408214</v>
      </c>
      <c r="D541" s="15">
        <v>0.44884972920269056</v>
      </c>
    </row>
    <row r="542" spans="1:4" x14ac:dyDescent="0.25">
      <c r="A542" s="2">
        <v>69.848049281314175</v>
      </c>
      <c r="B542" s="15">
        <v>0.44811819908959938</v>
      </c>
      <c r="C542" s="15">
        <v>0.44396014047737498</v>
      </c>
      <c r="D542" s="15">
        <v>0.44464555338611278</v>
      </c>
    </row>
    <row r="543" spans="1:4" x14ac:dyDescent="0.25">
      <c r="A543" s="2">
        <v>69.913757700205338</v>
      </c>
      <c r="B543" s="15">
        <v>0.44788196609686459</v>
      </c>
      <c r="C543" s="15">
        <v>0.44370184674696633</v>
      </c>
      <c r="D543" s="15">
        <v>0.44439291326598679</v>
      </c>
    </row>
    <row r="544" spans="1:4" x14ac:dyDescent="0.25">
      <c r="A544" s="2">
        <v>70.045174537987677</v>
      </c>
      <c r="B544" s="15">
        <v>0.44741030699803891</v>
      </c>
      <c r="C544" s="15">
        <v>0.44318609635022266</v>
      </c>
      <c r="D544" s="15">
        <v>0.44388836107715157</v>
      </c>
    </row>
    <row r="545" spans="1:4" x14ac:dyDescent="0.25">
      <c r="A545" s="2">
        <v>70.242299794661193</v>
      </c>
      <c r="B545" s="15">
        <v>0.44670482647128457</v>
      </c>
      <c r="C545" s="15">
        <v>0.44241455538186547</v>
      </c>
      <c r="D545" s="15">
        <v>0.44313334388069137</v>
      </c>
    </row>
    <row r="546" spans="1:4" x14ac:dyDescent="0.25">
      <c r="A546" s="2">
        <v>70.439425051334709</v>
      </c>
      <c r="B546" s="15">
        <v>0.44600174124096692</v>
      </c>
      <c r="C546" s="15">
        <v>0.44164550319177776</v>
      </c>
      <c r="D546" s="15">
        <v>0.44238048562883303</v>
      </c>
    </row>
    <row r="547" spans="1:4" x14ac:dyDescent="0.25">
      <c r="A547" s="2">
        <v>70.570841889117048</v>
      </c>
      <c r="B547" s="15">
        <v>0.44553434050988466</v>
      </c>
      <c r="C547" s="15">
        <v>0.44113417733852667</v>
      </c>
      <c r="D547" s="15">
        <v>0.44187977162940545</v>
      </c>
    </row>
    <row r="548" spans="1:4" x14ac:dyDescent="0.25">
      <c r="A548" s="2">
        <v>70.735112936344976</v>
      </c>
      <c r="B548" s="15">
        <v>0.44495156936537794</v>
      </c>
      <c r="C548" s="15">
        <v>0.44049656019997474</v>
      </c>
      <c r="D548" s="15">
        <v>0.44125521129717449</v>
      </c>
    </row>
    <row r="549" spans="1:4" x14ac:dyDescent="0.25">
      <c r="A549" s="2">
        <v>70.833675564681727</v>
      </c>
      <c r="B549" s="15">
        <v>0.44460269235950023</v>
      </c>
      <c r="C549" s="15">
        <v>0.44011480821589566</v>
      </c>
      <c r="D549" s="15">
        <v>0.44088118208345783</v>
      </c>
    </row>
    <row r="550" spans="1:4" x14ac:dyDescent="0.25">
      <c r="A550" s="2">
        <v>70.997946611909654</v>
      </c>
      <c r="B550" s="15">
        <v>0.44402253382071466</v>
      </c>
      <c r="C550" s="15">
        <v>0.43947991312373635</v>
      </c>
      <c r="D550" s="15">
        <v>0.44025897208840759</v>
      </c>
    </row>
    <row r="551" spans="1:4" x14ac:dyDescent="0.25">
      <c r="A551" s="2">
        <v>71.293634496919921</v>
      </c>
      <c r="B551" s="15">
        <v>0.44298232748178112</v>
      </c>
      <c r="C551" s="15">
        <v>0.43834135736942503</v>
      </c>
      <c r="D551" s="15">
        <v>0.43914266034290178</v>
      </c>
    </row>
    <row r="552" spans="1:4" x14ac:dyDescent="0.25">
      <c r="A552" s="2">
        <v>71.359342915811084</v>
      </c>
      <c r="B552" s="15">
        <v>0.44275187851229086</v>
      </c>
      <c r="C552" s="15">
        <v>0.4380890842385734</v>
      </c>
      <c r="D552" s="15">
        <v>0.43889522702322603</v>
      </c>
    </row>
    <row r="553" spans="1:4" x14ac:dyDescent="0.25">
      <c r="A553" s="2">
        <v>71.457905544147849</v>
      </c>
      <c r="B553" s="15">
        <v>0.44240668528448363</v>
      </c>
      <c r="C553" s="15">
        <v>0.43771117636014933</v>
      </c>
      <c r="D553" s="15">
        <v>0.4385245081758819</v>
      </c>
    </row>
    <row r="554" spans="1:4" x14ac:dyDescent="0.25">
      <c r="A554" s="2">
        <v>71.523613963039011</v>
      </c>
      <c r="B554" s="15">
        <v>0.44217687578966286</v>
      </c>
      <c r="C554" s="15">
        <v>0.43745957158301207</v>
      </c>
      <c r="D554" s="15">
        <v>0.43827764887952358</v>
      </c>
    </row>
    <row r="555" spans="1:4" x14ac:dyDescent="0.25">
      <c r="A555" s="2">
        <v>72.016427104722794</v>
      </c>
      <c r="B555" s="15">
        <v>0.4404613875762084</v>
      </c>
      <c r="C555" s="15">
        <v>0.43558099459245891</v>
      </c>
      <c r="D555" s="15">
        <v>0.43643345332808831</v>
      </c>
    </row>
    <row r="556" spans="1:4" x14ac:dyDescent="0.25">
      <c r="A556" s="2">
        <v>72.114989733059545</v>
      </c>
      <c r="B556" s="15">
        <v>0.4401199890852</v>
      </c>
      <c r="C556" s="15">
        <v>0.43520705928299197</v>
      </c>
      <c r="D556" s="15">
        <v>0.43606613692239715</v>
      </c>
    </row>
    <row r="557" spans="1:4" x14ac:dyDescent="0.25">
      <c r="A557" s="2">
        <v>72.4435318275154</v>
      </c>
      <c r="B557" s="15">
        <v>0.4389860428830214</v>
      </c>
      <c r="C557" s="15">
        <v>0.43396485630122439</v>
      </c>
      <c r="D557" s="15">
        <v>0.43484537334406947</v>
      </c>
    </row>
    <row r="558" spans="1:4" x14ac:dyDescent="0.25">
      <c r="A558" s="2">
        <v>72.837782340862418</v>
      </c>
      <c r="B558" s="15">
        <v>0.43763345495685374</v>
      </c>
      <c r="C558" s="15">
        <v>0.43248277272069191</v>
      </c>
      <c r="D558" s="15">
        <v>0.43338774372874095</v>
      </c>
    </row>
    <row r="559" spans="1:4" x14ac:dyDescent="0.25">
      <c r="A559" s="2">
        <v>73.166324435318273</v>
      </c>
      <c r="B559" s="15">
        <v>0.43651300944421745</v>
      </c>
      <c r="C559" s="15">
        <v>0.43125476597050605</v>
      </c>
      <c r="D559" s="15">
        <v>0.43217904708908134</v>
      </c>
    </row>
    <row r="560" spans="1:4" x14ac:dyDescent="0.25">
      <c r="A560" s="2">
        <v>73.363449691991789</v>
      </c>
      <c r="B560" s="15">
        <v>0.43584364107387746</v>
      </c>
      <c r="C560" s="15">
        <v>0.43052101736242943</v>
      </c>
      <c r="D560" s="15">
        <v>0.4314564158309836</v>
      </c>
    </row>
    <row r="561" spans="1:4" x14ac:dyDescent="0.25">
      <c r="A561" s="2">
        <v>73.396303901437378</v>
      </c>
      <c r="B561" s="15">
        <v>0.43573228976640938</v>
      </c>
      <c r="C561" s="15">
        <v>0.43039894755634367</v>
      </c>
      <c r="D561" s="15">
        <v>0.43133616462819496</v>
      </c>
    </row>
    <row r="562" spans="1:4" x14ac:dyDescent="0.25">
      <c r="A562" s="2">
        <v>73.494866529774129</v>
      </c>
      <c r="B562" s="15">
        <v>0.43539859469999015</v>
      </c>
      <c r="C562" s="15">
        <v>0.43003311690680524</v>
      </c>
      <c r="D562" s="15">
        <v>0.43097573089901153</v>
      </c>
    </row>
    <row r="563" spans="1:4" x14ac:dyDescent="0.25">
      <c r="A563" s="2">
        <v>73.560574948665291</v>
      </c>
      <c r="B563" s="15">
        <v>0.43517642972491327</v>
      </c>
      <c r="C563" s="15">
        <v>0.42978954486703436</v>
      </c>
      <c r="D563" s="15">
        <v>0.43073570767755442</v>
      </c>
    </row>
    <row r="564" spans="1:4" x14ac:dyDescent="0.25">
      <c r="A564" s="2">
        <v>74.611909650924019</v>
      </c>
      <c r="B564" s="15">
        <v>0.43165383035175997</v>
      </c>
      <c r="C564" s="15">
        <v>0.42592628603183669</v>
      </c>
      <c r="D564" s="15">
        <v>0.42692385013063106</v>
      </c>
    </row>
    <row r="565" spans="1:4" x14ac:dyDescent="0.25">
      <c r="A565" s="2">
        <v>75.104722792607802</v>
      </c>
      <c r="B565" s="15">
        <v>0.43002301485322619</v>
      </c>
      <c r="C565" s="15">
        <v>0.4241370213755089</v>
      </c>
      <c r="D565" s="15">
        <v>0.42515516596350256</v>
      </c>
    </row>
    <row r="566" spans="1:4" x14ac:dyDescent="0.25">
      <c r="A566" s="2">
        <v>75.433264887063658</v>
      </c>
      <c r="B566" s="15">
        <v>0.42894289503294841</v>
      </c>
      <c r="C566" s="15">
        <v>0.42295172000981685</v>
      </c>
      <c r="D566" s="15">
        <v>0.42398232821095805</v>
      </c>
    </row>
    <row r="567" spans="1:4" x14ac:dyDescent="0.25">
      <c r="A567" s="2">
        <v>75.466119096509246</v>
      </c>
      <c r="B567" s="15">
        <v>0.42883519219472438</v>
      </c>
      <c r="C567" s="15">
        <v>0.42283351912474298</v>
      </c>
      <c r="D567" s="15">
        <v>0.42386531819387852</v>
      </c>
    </row>
    <row r="568" spans="1:4" x14ac:dyDescent="0.25">
      <c r="A568" s="2">
        <v>76.221765913757707</v>
      </c>
      <c r="B568" s="15">
        <v>0.42637335742103949</v>
      </c>
      <c r="C568" s="15">
        <v>0.42013125426518738</v>
      </c>
      <c r="D568" s="15">
        <v>0.42118764640955814</v>
      </c>
    </row>
    <row r="569" spans="1:4" x14ac:dyDescent="0.25">
      <c r="A569" s="2">
        <v>77.30595482546201</v>
      </c>
      <c r="B569" s="15">
        <v>0.42289148234492685</v>
      </c>
      <c r="C569" s="15">
        <v>0.41630793014724399</v>
      </c>
      <c r="D569" s="15">
        <v>0.41739018275463557</v>
      </c>
    </row>
    <row r="570" spans="1:4" x14ac:dyDescent="0.25">
      <c r="A570" s="2">
        <v>77.864476386036955</v>
      </c>
      <c r="B570" s="15">
        <v>0.42112036152350246</v>
      </c>
      <c r="C570" s="15">
        <v>0.41436257495870288</v>
      </c>
      <c r="D570" s="15">
        <v>0.41545378200678307</v>
      </c>
    </row>
    <row r="571" spans="1:4" x14ac:dyDescent="0.25">
      <c r="A571" s="2">
        <v>77.930184804928132</v>
      </c>
      <c r="B571" s="15">
        <v>0.42091298571401065</v>
      </c>
      <c r="C571" s="15">
        <v>0.41413477674211985</v>
      </c>
      <c r="D571" s="15">
        <v>0.41522684108751712</v>
      </c>
    </row>
    <row r="572" spans="1:4" x14ac:dyDescent="0.25">
      <c r="A572" s="2">
        <v>78.19301848049281</v>
      </c>
      <c r="B572" s="15">
        <v>0.42008555051734797</v>
      </c>
      <c r="C572" s="15">
        <v>0.4132258128230184</v>
      </c>
      <c r="D572" s="15">
        <v>0.41432089248757975</v>
      </c>
    </row>
    <row r="573" spans="1:4" x14ac:dyDescent="0.25">
      <c r="A573" s="2">
        <v>78.455852156057489</v>
      </c>
      <c r="B573" s="15">
        <v>0.41926140417529079</v>
      </c>
      <c r="C573" s="15">
        <v>0.4123203966766974</v>
      </c>
      <c r="D573" s="15">
        <v>0.41341782858351322</v>
      </c>
    </row>
    <row r="574" spans="1:4" x14ac:dyDescent="0.25">
      <c r="A574" s="2">
        <v>78.882956878850109</v>
      </c>
      <c r="B574" s="15">
        <v>0.41792911288883683</v>
      </c>
      <c r="C574" s="15">
        <v>0.41085659907850025</v>
      </c>
      <c r="D574" s="15">
        <v>0.41195643630745105</v>
      </c>
    </row>
    <row r="575" spans="1:4" x14ac:dyDescent="0.25">
      <c r="A575" s="2">
        <v>80.098562628336751</v>
      </c>
      <c r="B575" s="15">
        <v>0.41418338068048555</v>
      </c>
      <c r="C575" s="15">
        <v>0.40674041719101139</v>
      </c>
      <c r="D575" s="15">
        <v>0.40783746404893101</v>
      </c>
    </row>
    <row r="576" spans="1:4" x14ac:dyDescent="0.25">
      <c r="A576" s="2">
        <v>80.459958932238195</v>
      </c>
      <c r="B576" s="15">
        <v>0.41308269943929021</v>
      </c>
      <c r="C576" s="15">
        <v>0.40553071489799886</v>
      </c>
      <c r="D576" s="15">
        <v>0.40662417349366342</v>
      </c>
    </row>
    <row r="577" spans="1:4" x14ac:dyDescent="0.25">
      <c r="A577" s="2">
        <v>80.689938398357285</v>
      </c>
      <c r="B577" s="15">
        <v>0.41238529256188872</v>
      </c>
      <c r="C577" s="15">
        <v>0.40476419998531576</v>
      </c>
      <c r="D577" s="15">
        <v>0.40585471532552703</v>
      </c>
    </row>
    <row r="578" spans="1:4" x14ac:dyDescent="0.25">
      <c r="A578" s="2">
        <v>81.051334702258728</v>
      </c>
      <c r="B578" s="15">
        <v>0.411294081599478</v>
      </c>
      <c r="C578" s="15">
        <v>0.40356481480362383</v>
      </c>
      <c r="D578" s="15">
        <v>0.40464967038203675</v>
      </c>
    </row>
    <row r="579" spans="1:4" x14ac:dyDescent="0.25">
      <c r="A579" s="2">
        <v>81.182751540041068</v>
      </c>
      <c r="B579" s="15">
        <v>0.41089869832740844</v>
      </c>
      <c r="C579" s="15">
        <v>0.40313022347068783</v>
      </c>
      <c r="D579" s="15">
        <v>0.40421270998239861</v>
      </c>
    </row>
    <row r="580" spans="1:4" x14ac:dyDescent="0.25">
      <c r="A580" s="2">
        <v>83.416837782340863</v>
      </c>
      <c r="B580" s="15">
        <v>0.40429086142795218</v>
      </c>
      <c r="C580" s="15">
        <v>0.395866097691421</v>
      </c>
      <c r="D580" s="15">
        <v>0.3968838207201516</v>
      </c>
    </row>
    <row r="581" spans="1:4" x14ac:dyDescent="0.25">
      <c r="A581" s="2">
        <v>83.811088295687881</v>
      </c>
      <c r="B581" s="15">
        <v>0.40314662558116915</v>
      </c>
      <c r="C581" s="15">
        <v>0.39460801735709006</v>
      </c>
      <c r="D581" s="15">
        <v>0.3956096807731439</v>
      </c>
    </row>
    <row r="582" spans="1:4" x14ac:dyDescent="0.25">
      <c r="A582" s="2">
        <v>83.975359342915809</v>
      </c>
      <c r="B582" s="15">
        <v>0.4026717572102006</v>
      </c>
      <c r="C582" s="15">
        <v>0.39408588497746555</v>
      </c>
      <c r="D582" s="15">
        <v>0.39508046181219236</v>
      </c>
    </row>
    <row r="583" spans="1:4" x14ac:dyDescent="0.25">
      <c r="A583" s="2">
        <v>84.205338809034913</v>
      </c>
      <c r="B583" s="15">
        <v>0.40200880527447252</v>
      </c>
      <c r="C583" s="15">
        <v>0.39335693170308916</v>
      </c>
      <c r="D583" s="15">
        <v>0.39434120095515768</v>
      </c>
    </row>
    <row r="584" spans="1:4" x14ac:dyDescent="0.25">
      <c r="A584" s="2">
        <v>85.815195071868587</v>
      </c>
      <c r="B584" s="15">
        <v>0.39742817065839614</v>
      </c>
      <c r="C584" s="15">
        <v>0.38831971089569739</v>
      </c>
      <c r="D584" s="15">
        <v>0.38921953576594792</v>
      </c>
    </row>
    <row r="585" spans="1:4" x14ac:dyDescent="0.25">
      <c r="A585" s="2">
        <v>87.359342915811084</v>
      </c>
      <c r="B585" s="15">
        <v>0.39313089240985039</v>
      </c>
      <c r="C585" s="15">
        <v>0.38359320139167807</v>
      </c>
      <c r="D585" s="15">
        <v>0.3843927065053811</v>
      </c>
    </row>
  </sheetData>
  <mergeCells count="2">
    <mergeCell ref="B8:D8"/>
    <mergeCell ref="B7:D7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9FA35-71FB-4545-A500-3E7C26C22EB1}">
  <sheetPr codeName="Sheet4"/>
  <dimension ref="A1:FQ103"/>
  <sheetViews>
    <sheetView topLeftCell="DI1" workbookViewId="0">
      <selection activeCell="DL35" sqref="DL35"/>
    </sheetView>
  </sheetViews>
  <sheetFormatPr defaultRowHeight="15" x14ac:dyDescent="0.25"/>
  <cols>
    <col min="1" max="1" width="20.140625" customWidth="1"/>
    <col min="2" max="3" width="12.7109375" customWidth="1"/>
    <col min="4" max="4" width="11.140625" customWidth="1"/>
    <col min="5" max="5" width="12.7109375" customWidth="1"/>
    <col min="6" max="6" width="14.28515625" customWidth="1"/>
    <col min="7" max="7" width="14.7109375" customWidth="1"/>
    <col min="8" max="8" width="12.7109375" customWidth="1"/>
    <col min="9" max="9" width="11.7109375" customWidth="1"/>
    <col min="10" max="10" width="16.28515625" customWidth="1"/>
    <col min="11" max="11" width="12.7109375" customWidth="1"/>
    <col min="12" max="12" width="16.140625" customWidth="1"/>
    <col min="13" max="19" width="10.7109375" style="1" customWidth="1"/>
    <col min="20" max="20" width="11.42578125" style="1" customWidth="1"/>
    <col min="21" max="21" width="15.5703125" style="1" customWidth="1"/>
    <col min="22" max="23" width="10.7109375" style="1" customWidth="1"/>
    <col min="24" max="28" width="12.7109375" customWidth="1"/>
    <col min="29" max="29" width="11.7109375" customWidth="1"/>
    <col min="30" max="30" width="14.28515625" customWidth="1"/>
    <col min="31" max="31" width="11.85546875" customWidth="1"/>
    <col min="33" max="33" width="14.7109375" customWidth="1"/>
    <col min="34" max="38" width="12.7109375" customWidth="1"/>
    <col min="39" max="39" width="11.7109375" customWidth="1"/>
    <col min="40" max="40" width="14.28515625" customWidth="1"/>
    <col min="41" max="41" width="11.85546875" customWidth="1"/>
    <col min="43" max="43" width="14.7109375" customWidth="1"/>
    <col min="44" max="49" width="12.7109375" customWidth="1"/>
    <col min="50" max="50" width="11.7109375" customWidth="1"/>
    <col min="51" max="51" width="14.28515625" customWidth="1"/>
    <col min="52" max="52" width="11.85546875" customWidth="1"/>
    <col min="54" max="54" width="14.7109375" customWidth="1"/>
    <col min="55" max="60" width="12.7109375" customWidth="1"/>
    <col min="61" max="61" width="11.7109375" customWidth="1"/>
    <col min="62" max="62" width="14.28515625" customWidth="1"/>
    <col min="63" max="63" width="11.85546875" customWidth="1"/>
    <col min="65" max="65" width="14.140625" customWidth="1"/>
    <col min="66" max="66" width="15.5703125" customWidth="1"/>
    <col min="67" max="69" width="11.140625" customWidth="1"/>
    <col min="72" max="72" width="12" bestFit="1" customWidth="1"/>
    <col min="135" max="136" width="12.140625" customWidth="1"/>
    <col min="141" max="141" width="10.140625" customWidth="1"/>
  </cols>
  <sheetData>
    <row r="1" spans="1:173" x14ac:dyDescent="0.25">
      <c r="A1" s="3" t="s">
        <v>3</v>
      </c>
      <c r="B1" s="19" t="s">
        <v>724</v>
      </c>
      <c r="C1" s="19" t="s">
        <v>725</v>
      </c>
      <c r="D1" s="19" t="s">
        <v>726</v>
      </c>
      <c r="E1" s="19" t="s">
        <v>727</v>
      </c>
      <c r="G1" s="3" t="s">
        <v>3</v>
      </c>
      <c r="H1" s="19" t="s">
        <v>724</v>
      </c>
      <c r="I1" s="19" t="s">
        <v>725</v>
      </c>
      <c r="J1" s="19" t="s">
        <v>726</v>
      </c>
      <c r="K1" s="19" t="s">
        <v>727</v>
      </c>
    </row>
    <row r="2" spans="1:173" x14ac:dyDescent="0.25">
      <c r="A2" t="s">
        <v>728</v>
      </c>
      <c r="B2" s="2">
        <v>1.17977863845946E-2</v>
      </c>
      <c r="C2" s="2"/>
      <c r="D2" s="2"/>
      <c r="E2" s="2"/>
      <c r="G2" s="14" t="s">
        <v>728</v>
      </c>
      <c r="H2" s="14" t="s">
        <v>737</v>
      </c>
      <c r="I2" s="14" t="s">
        <v>738</v>
      </c>
      <c r="J2" s="14"/>
      <c r="K2" s="14"/>
    </row>
    <row r="3" spans="1:173" x14ac:dyDescent="0.25">
      <c r="A3" t="s">
        <v>729</v>
      </c>
      <c r="B3" s="2">
        <v>1.2715194355245301</v>
      </c>
      <c r="C3" s="2">
        <v>74.245668065312998</v>
      </c>
      <c r="D3" s="2"/>
      <c r="E3" s="2"/>
      <c r="G3" s="14" t="s">
        <v>729</v>
      </c>
      <c r="H3" s="14" t="s">
        <v>739</v>
      </c>
      <c r="I3" s="14" t="s">
        <v>738</v>
      </c>
      <c r="J3" s="14"/>
      <c r="K3" s="14"/>
    </row>
    <row r="4" spans="1:173" x14ac:dyDescent="0.25">
      <c r="A4" t="s">
        <v>730</v>
      </c>
      <c r="B4" s="2">
        <v>1.27151943789814</v>
      </c>
      <c r="C4" s="2">
        <v>4.1822049596364503E-3</v>
      </c>
      <c r="D4" s="2"/>
      <c r="E4" s="2"/>
      <c r="G4" s="14" t="s">
        <v>730</v>
      </c>
      <c r="H4" s="14" t="s">
        <v>739</v>
      </c>
      <c r="I4" s="14" t="s">
        <v>738</v>
      </c>
      <c r="J4" s="14"/>
      <c r="K4" s="14"/>
    </row>
    <row r="5" spans="1:173" x14ac:dyDescent="0.25">
      <c r="A5" t="s">
        <v>731</v>
      </c>
      <c r="B5" s="2">
        <v>5.1421894700887701E-3</v>
      </c>
      <c r="C5" s="2">
        <v>1.03560894673995E-2</v>
      </c>
      <c r="D5" s="2"/>
      <c r="E5" s="2"/>
      <c r="G5" s="14" t="s">
        <v>731</v>
      </c>
      <c r="H5" s="14" t="s">
        <v>737</v>
      </c>
      <c r="I5" s="14" t="s">
        <v>738</v>
      </c>
      <c r="J5" s="14"/>
      <c r="K5" s="14"/>
    </row>
    <row r="6" spans="1:173" x14ac:dyDescent="0.25">
      <c r="A6" t="s">
        <v>732</v>
      </c>
      <c r="B6" s="2">
        <v>1.46887625670272</v>
      </c>
      <c r="C6" s="2">
        <v>2.0962628684099802E-2</v>
      </c>
      <c r="D6" s="2"/>
      <c r="E6" s="2"/>
      <c r="G6" s="14" t="s">
        <v>732</v>
      </c>
      <c r="H6" s="14" t="s">
        <v>737</v>
      </c>
      <c r="I6" s="14" t="s">
        <v>739</v>
      </c>
      <c r="J6" s="14"/>
      <c r="K6" s="14"/>
    </row>
    <row r="7" spans="1:173" x14ac:dyDescent="0.25">
      <c r="A7" t="s">
        <v>733</v>
      </c>
      <c r="B7" s="2">
        <v>1.5324799956844799</v>
      </c>
      <c r="C7" s="2">
        <v>53.992883326082797</v>
      </c>
      <c r="D7" s="2"/>
      <c r="E7" s="2"/>
      <c r="G7" s="14" t="s">
        <v>733</v>
      </c>
      <c r="H7" s="14" t="s">
        <v>738</v>
      </c>
      <c r="I7" s="14" t="s">
        <v>739</v>
      </c>
      <c r="J7" s="14"/>
      <c r="K7" s="14"/>
    </row>
    <row r="8" spans="1:173" x14ac:dyDescent="0.25">
      <c r="A8" t="s">
        <v>734</v>
      </c>
      <c r="B8" s="2">
        <v>4.0067850779733503</v>
      </c>
      <c r="C8" s="2">
        <v>1.11381455316321</v>
      </c>
      <c r="D8" s="2"/>
      <c r="E8" s="2"/>
      <c r="G8" s="14" t="s">
        <v>734</v>
      </c>
      <c r="H8" s="14" t="s">
        <v>740</v>
      </c>
      <c r="I8" s="14" t="s">
        <v>741</v>
      </c>
      <c r="J8" s="14"/>
      <c r="K8" s="14"/>
    </row>
    <row r="9" spans="1:173" x14ac:dyDescent="0.25">
      <c r="A9" t="s">
        <v>735</v>
      </c>
      <c r="B9" s="2">
        <v>3.6628094491524301</v>
      </c>
      <c r="C9" s="2">
        <v>1.2482106325698701</v>
      </c>
      <c r="D9" s="2">
        <v>-0.83935977391917305</v>
      </c>
      <c r="E9" s="2"/>
      <c r="G9" s="14" t="s">
        <v>735</v>
      </c>
      <c r="H9" s="14" t="s">
        <v>742</v>
      </c>
      <c r="I9" s="14" t="s">
        <v>743</v>
      </c>
      <c r="J9" s="14" t="s">
        <v>744</v>
      </c>
      <c r="K9" s="14"/>
    </row>
    <row r="10" spans="1:173" x14ac:dyDescent="0.25">
      <c r="A10" t="s">
        <v>736</v>
      </c>
      <c r="B10" s="2">
        <v>3.5481897421262398</v>
      </c>
      <c r="C10" s="2">
        <v>1.1733776030611001</v>
      </c>
      <c r="D10" s="2">
        <v>-1.08048966759607</v>
      </c>
      <c r="E10" s="2">
        <v>0.33090154761061102</v>
      </c>
      <c r="G10" s="14" t="s">
        <v>736</v>
      </c>
      <c r="H10" s="14" t="s">
        <v>742</v>
      </c>
      <c r="I10" s="14" t="s">
        <v>743</v>
      </c>
      <c r="J10" s="14" t="s">
        <v>744</v>
      </c>
      <c r="K10" s="14" t="s">
        <v>745</v>
      </c>
      <c r="O10" s="21"/>
    </row>
    <row r="11" spans="1:173" x14ac:dyDescent="0.25">
      <c r="A11" t="s">
        <v>748</v>
      </c>
      <c r="B11" s="2">
        <v>0.19003051421067901</v>
      </c>
      <c r="C11" s="2">
        <v>2.7051483812998799E-6</v>
      </c>
      <c r="D11" s="2">
        <v>24.819075093453201</v>
      </c>
      <c r="E11" s="2"/>
      <c r="G11" t="s">
        <v>738</v>
      </c>
      <c r="H11" t="s">
        <v>739</v>
      </c>
      <c r="I11" t="s">
        <v>751</v>
      </c>
      <c r="J11" s="14"/>
      <c r="K11" s="14"/>
      <c r="L11" s="14"/>
    </row>
    <row r="12" spans="1:173" x14ac:dyDescent="0.25">
      <c r="A12" t="s">
        <v>749</v>
      </c>
      <c r="B12" s="2">
        <v>3.5482391878089601</v>
      </c>
      <c r="C12" s="2">
        <v>0.86714033225700105</v>
      </c>
      <c r="D12" s="2">
        <v>5.4227581328681103</v>
      </c>
      <c r="E12" s="2">
        <v>0.60753582190753197</v>
      </c>
      <c r="G12" t="s">
        <v>742</v>
      </c>
      <c r="H12" t="s">
        <v>743</v>
      </c>
      <c r="I12" t="s">
        <v>752</v>
      </c>
      <c r="J12" t="s">
        <v>753</v>
      </c>
      <c r="K12" s="14"/>
      <c r="L12" s="14"/>
    </row>
    <row r="13" spans="1:173" x14ac:dyDescent="0.25">
      <c r="B13" s="2"/>
      <c r="C13" s="2"/>
      <c r="D13" s="2"/>
      <c r="E13" s="2"/>
      <c r="K13" s="14"/>
      <c r="L13" s="14"/>
    </row>
    <row r="14" spans="1:173" x14ac:dyDescent="0.25">
      <c r="B14" s="2" t="s">
        <v>12</v>
      </c>
      <c r="C14" s="2"/>
      <c r="D14" s="2"/>
      <c r="E14" s="2"/>
      <c r="G14" s="14"/>
      <c r="M14" s="2" t="s">
        <v>12</v>
      </c>
      <c r="X14" s="2" t="s">
        <v>12</v>
      </c>
      <c r="AJ14" t="s">
        <v>23</v>
      </c>
      <c r="AU14" t="s">
        <v>23</v>
      </c>
      <c r="BF14" t="s">
        <v>23</v>
      </c>
      <c r="BR14" t="s">
        <v>19</v>
      </c>
      <c r="CD14" t="s">
        <v>19</v>
      </c>
      <c r="CO14" t="s">
        <v>19</v>
      </c>
      <c r="DB14" t="s">
        <v>771</v>
      </c>
      <c r="DM14" t="s">
        <v>771</v>
      </c>
      <c r="DX14" t="s">
        <v>771</v>
      </c>
      <c r="EK14" t="s">
        <v>11</v>
      </c>
      <c r="EV14" t="s">
        <v>11</v>
      </c>
      <c r="FG14" t="s">
        <v>11</v>
      </c>
    </row>
    <row r="15" spans="1:173" x14ac:dyDescent="0.25">
      <c r="A15" s="9"/>
      <c r="B15" s="103" t="s">
        <v>12</v>
      </c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5"/>
      <c r="AJ15" s="103" t="s">
        <v>23</v>
      </c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5"/>
      <c r="BR15" s="9"/>
      <c r="BS15" s="103" t="s">
        <v>19</v>
      </c>
      <c r="BT15" s="104"/>
      <c r="BU15" s="104"/>
      <c r="BV15" s="104"/>
      <c r="BW15" s="104"/>
      <c r="BX15" s="104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4"/>
      <c r="CJ15" s="104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4"/>
      <c r="CV15" s="104"/>
      <c r="CW15" s="104"/>
      <c r="CX15" s="104"/>
      <c r="CY15" s="105"/>
      <c r="DA15" s="9"/>
      <c r="DB15" s="103" t="s">
        <v>771</v>
      </c>
      <c r="DC15" s="104"/>
      <c r="DD15" s="104"/>
      <c r="DE15" s="104"/>
      <c r="DF15" s="104"/>
      <c r="DG15" s="104"/>
      <c r="DH15" s="104"/>
      <c r="DI15" s="104"/>
      <c r="DJ15" s="104"/>
      <c r="DK15" s="104"/>
      <c r="DL15" s="104"/>
      <c r="DM15" s="104"/>
      <c r="DN15" s="104"/>
      <c r="DO15" s="104"/>
      <c r="DP15" s="104"/>
      <c r="DQ15" s="104"/>
      <c r="DR15" s="104"/>
      <c r="DS15" s="104"/>
      <c r="DT15" s="104"/>
      <c r="DU15" s="104"/>
      <c r="DV15" s="104"/>
      <c r="DW15" s="104"/>
      <c r="DX15" s="104"/>
      <c r="DY15" s="104"/>
      <c r="DZ15" s="104"/>
      <c r="EA15" s="104"/>
      <c r="EB15" s="104"/>
      <c r="EC15" s="104"/>
      <c r="ED15" s="104"/>
      <c r="EE15" s="104"/>
      <c r="EF15" s="104"/>
      <c r="EG15" s="104"/>
      <c r="EH15" s="105"/>
      <c r="EJ15" s="9"/>
      <c r="EK15" s="103" t="s">
        <v>11</v>
      </c>
      <c r="EL15" s="104"/>
      <c r="EM15" s="104"/>
      <c r="EN15" s="104"/>
      <c r="EO15" s="104"/>
      <c r="EP15" s="104"/>
      <c r="EQ15" s="104"/>
      <c r="ER15" s="104"/>
      <c r="ES15" s="104"/>
      <c r="ET15" s="104"/>
      <c r="EU15" s="104"/>
      <c r="EV15" s="104"/>
      <c r="EW15" s="104"/>
      <c r="EX15" s="104"/>
      <c r="EY15" s="104"/>
      <c r="EZ15" s="104"/>
      <c r="FA15" s="104"/>
      <c r="FB15" s="104"/>
      <c r="FC15" s="104"/>
      <c r="FD15" s="104"/>
      <c r="FE15" s="104"/>
      <c r="FF15" s="104"/>
      <c r="FG15" s="104"/>
      <c r="FH15" s="104"/>
      <c r="FI15" s="104"/>
      <c r="FJ15" s="104"/>
      <c r="FK15" s="104"/>
      <c r="FL15" s="104"/>
      <c r="FM15" s="104"/>
      <c r="FN15" s="104"/>
      <c r="FO15" s="104"/>
      <c r="FP15" s="104"/>
      <c r="FQ15" s="105"/>
    </row>
    <row r="16" spans="1:173" x14ac:dyDescent="0.25">
      <c r="A16" s="10"/>
      <c r="B16" s="103" t="s">
        <v>20</v>
      </c>
      <c r="C16" s="104"/>
      <c r="D16" s="104"/>
      <c r="E16" s="104"/>
      <c r="F16" s="104"/>
      <c r="G16" s="104"/>
      <c r="H16" s="104"/>
      <c r="I16" s="104"/>
      <c r="J16" s="104"/>
      <c r="K16" s="104"/>
      <c r="L16" s="105"/>
      <c r="M16" s="103" t="s">
        <v>746</v>
      </c>
      <c r="N16" s="104"/>
      <c r="O16" s="104"/>
      <c r="P16" s="104"/>
      <c r="Q16" s="104"/>
      <c r="R16" s="104"/>
      <c r="S16" s="104"/>
      <c r="T16" s="104"/>
      <c r="U16" s="104"/>
      <c r="V16" s="104"/>
      <c r="W16" s="105"/>
      <c r="X16" s="103" t="s">
        <v>747</v>
      </c>
      <c r="Y16" s="104"/>
      <c r="Z16" s="104"/>
      <c r="AA16" s="104"/>
      <c r="AB16" s="104"/>
      <c r="AC16" s="104"/>
      <c r="AD16" s="104"/>
      <c r="AE16" s="104"/>
      <c r="AF16" s="104"/>
      <c r="AG16" s="104"/>
      <c r="AH16" s="105"/>
      <c r="AJ16" s="103" t="s">
        <v>20</v>
      </c>
      <c r="AK16" s="104"/>
      <c r="AL16" s="104"/>
      <c r="AM16" s="104"/>
      <c r="AN16" s="104"/>
      <c r="AO16" s="104"/>
      <c r="AP16" s="104"/>
      <c r="AQ16" s="104"/>
      <c r="AR16" s="104"/>
      <c r="AS16" s="104"/>
      <c r="AT16" s="105"/>
      <c r="AU16" s="103" t="s">
        <v>746</v>
      </c>
      <c r="AV16" s="104"/>
      <c r="AW16" s="104"/>
      <c r="AX16" s="104"/>
      <c r="AY16" s="104"/>
      <c r="AZ16" s="104"/>
      <c r="BA16" s="104"/>
      <c r="BB16" s="104"/>
      <c r="BC16" s="104"/>
      <c r="BD16" s="104"/>
      <c r="BE16" s="105"/>
      <c r="BF16" s="103" t="s">
        <v>747</v>
      </c>
      <c r="BG16" s="104"/>
      <c r="BH16" s="104"/>
      <c r="BI16" s="104"/>
      <c r="BJ16" s="104"/>
      <c r="BK16" s="104"/>
      <c r="BL16" s="104"/>
      <c r="BM16" s="104"/>
      <c r="BN16" s="104"/>
      <c r="BO16" s="104"/>
      <c r="BP16" s="105"/>
      <c r="BR16" s="10"/>
      <c r="BS16" s="103" t="s">
        <v>20</v>
      </c>
      <c r="BT16" s="104"/>
      <c r="BU16" s="104"/>
      <c r="BV16" s="104"/>
      <c r="BW16" s="104"/>
      <c r="BX16" s="104"/>
      <c r="BY16" s="104"/>
      <c r="BZ16" s="104"/>
      <c r="CA16" s="104"/>
      <c r="CB16" s="104"/>
      <c r="CC16" s="105"/>
      <c r="CD16" s="103" t="s">
        <v>746</v>
      </c>
      <c r="CE16" s="104"/>
      <c r="CF16" s="104"/>
      <c r="CG16" s="104"/>
      <c r="CH16" s="104"/>
      <c r="CI16" s="104"/>
      <c r="CJ16" s="104"/>
      <c r="CK16" s="104"/>
      <c r="CL16" s="104"/>
      <c r="CM16" s="104"/>
      <c r="CN16" s="105"/>
      <c r="CO16" s="103" t="s">
        <v>747</v>
      </c>
      <c r="CP16" s="104"/>
      <c r="CQ16" s="104"/>
      <c r="CR16" s="104"/>
      <c r="CS16" s="104"/>
      <c r="CT16" s="104"/>
      <c r="CU16" s="104"/>
      <c r="CV16" s="104"/>
      <c r="CW16" s="104"/>
      <c r="CX16" s="104"/>
      <c r="CY16" s="105"/>
      <c r="DA16" s="10"/>
      <c r="DB16" s="103" t="s">
        <v>20</v>
      </c>
      <c r="DC16" s="104"/>
      <c r="DD16" s="104"/>
      <c r="DE16" s="104"/>
      <c r="DF16" s="104"/>
      <c r="DG16" s="104"/>
      <c r="DH16" s="104"/>
      <c r="DI16" s="104"/>
      <c r="DJ16" s="104"/>
      <c r="DK16" s="104"/>
      <c r="DL16" s="105"/>
      <c r="DM16" s="103" t="s">
        <v>746</v>
      </c>
      <c r="DN16" s="104"/>
      <c r="DO16" s="104"/>
      <c r="DP16" s="104"/>
      <c r="DQ16" s="104"/>
      <c r="DR16" s="104"/>
      <c r="DS16" s="104"/>
      <c r="DT16" s="104"/>
      <c r="DU16" s="104"/>
      <c r="DV16" s="104"/>
      <c r="DW16" s="105"/>
      <c r="DX16" s="103" t="s">
        <v>747</v>
      </c>
      <c r="DY16" s="104"/>
      <c r="DZ16" s="104"/>
      <c r="EA16" s="104"/>
      <c r="EB16" s="104"/>
      <c r="EC16" s="104"/>
      <c r="ED16" s="104"/>
      <c r="EE16" s="104"/>
      <c r="EF16" s="104"/>
      <c r="EG16" s="104"/>
      <c r="EH16" s="105"/>
      <c r="EJ16" s="10"/>
      <c r="EK16" s="103" t="s">
        <v>20</v>
      </c>
      <c r="EL16" s="104"/>
      <c r="EM16" s="104"/>
      <c r="EN16" s="104"/>
      <c r="EO16" s="104"/>
      <c r="EP16" s="104"/>
      <c r="EQ16" s="104"/>
      <c r="ER16" s="104"/>
      <c r="ES16" s="104"/>
      <c r="ET16" s="104"/>
      <c r="EU16" s="105"/>
      <c r="EV16" s="103" t="s">
        <v>746</v>
      </c>
      <c r="EW16" s="104"/>
      <c r="EX16" s="104"/>
      <c r="EY16" s="104"/>
      <c r="EZ16" s="104"/>
      <c r="FA16" s="104"/>
      <c r="FB16" s="104"/>
      <c r="FC16" s="104"/>
      <c r="FD16" s="104"/>
      <c r="FE16" s="104"/>
      <c r="FF16" s="105"/>
      <c r="FG16" s="103" t="s">
        <v>747</v>
      </c>
      <c r="FH16" s="104"/>
      <c r="FI16" s="104"/>
      <c r="FJ16" s="104"/>
      <c r="FK16" s="104"/>
      <c r="FL16" s="104"/>
      <c r="FM16" s="104"/>
      <c r="FN16" s="104"/>
      <c r="FO16" s="104"/>
      <c r="FP16" s="104"/>
      <c r="FQ16" s="105"/>
    </row>
    <row r="17" spans="1:173" x14ac:dyDescent="0.25">
      <c r="A17" s="22" t="s">
        <v>10</v>
      </c>
      <c r="B17" s="7" t="s">
        <v>728</v>
      </c>
      <c r="C17" s="7" t="s">
        <v>729</v>
      </c>
      <c r="D17" s="7" t="s">
        <v>730</v>
      </c>
      <c r="E17" s="7" t="s">
        <v>731</v>
      </c>
      <c r="F17" s="7" t="s">
        <v>732</v>
      </c>
      <c r="G17" s="7" t="s">
        <v>733</v>
      </c>
      <c r="H17" s="7" t="s">
        <v>734</v>
      </c>
      <c r="I17" s="7" t="s">
        <v>735</v>
      </c>
      <c r="J17" s="7" t="s">
        <v>748</v>
      </c>
      <c r="K17" s="7" t="s">
        <v>736</v>
      </c>
      <c r="L17" s="20" t="s">
        <v>749</v>
      </c>
      <c r="M17" s="7" t="s">
        <v>728</v>
      </c>
      <c r="N17" s="7" t="s">
        <v>729</v>
      </c>
      <c r="O17" s="7" t="s">
        <v>730</v>
      </c>
      <c r="P17" s="7" t="s">
        <v>731</v>
      </c>
      <c r="Q17" s="7" t="s">
        <v>732</v>
      </c>
      <c r="R17" s="7" t="s">
        <v>733</v>
      </c>
      <c r="S17" s="7" t="s">
        <v>734</v>
      </c>
      <c r="T17" s="7" t="s">
        <v>735</v>
      </c>
      <c r="U17" s="7" t="s">
        <v>748</v>
      </c>
      <c r="V17" s="7" t="s">
        <v>736</v>
      </c>
      <c r="W17" s="7" t="s">
        <v>749</v>
      </c>
      <c r="X17" s="7" t="s">
        <v>728</v>
      </c>
      <c r="Y17" s="7" t="s">
        <v>729</v>
      </c>
      <c r="Z17" s="7" t="s">
        <v>730</v>
      </c>
      <c r="AA17" s="7" t="s">
        <v>731</v>
      </c>
      <c r="AB17" s="7" t="s">
        <v>732</v>
      </c>
      <c r="AC17" s="7" t="s">
        <v>733</v>
      </c>
      <c r="AD17" s="7" t="s">
        <v>734</v>
      </c>
      <c r="AE17" s="7" t="s">
        <v>735</v>
      </c>
      <c r="AF17" s="7" t="s">
        <v>748</v>
      </c>
      <c r="AG17" s="7" t="s">
        <v>736</v>
      </c>
      <c r="AH17" s="7" t="s">
        <v>749</v>
      </c>
      <c r="AJ17" s="7" t="s">
        <v>728</v>
      </c>
      <c r="AK17" s="7" t="s">
        <v>729</v>
      </c>
      <c r="AL17" s="7" t="s">
        <v>730</v>
      </c>
      <c r="AM17" s="7" t="s">
        <v>731</v>
      </c>
      <c r="AN17" s="7" t="s">
        <v>732</v>
      </c>
      <c r="AO17" s="7" t="s">
        <v>733</v>
      </c>
      <c r="AP17" s="7" t="s">
        <v>734</v>
      </c>
      <c r="AQ17" s="7" t="s">
        <v>735</v>
      </c>
      <c r="AR17" s="7" t="s">
        <v>748</v>
      </c>
      <c r="AS17" s="7" t="s">
        <v>736</v>
      </c>
      <c r="AT17" s="20" t="s">
        <v>749</v>
      </c>
      <c r="AU17" s="7" t="s">
        <v>728</v>
      </c>
      <c r="AV17" s="7" t="s">
        <v>729</v>
      </c>
      <c r="AW17" s="7" t="s">
        <v>730</v>
      </c>
      <c r="AX17" s="7" t="s">
        <v>731</v>
      </c>
      <c r="AY17" s="7" t="s">
        <v>732</v>
      </c>
      <c r="AZ17" s="7" t="s">
        <v>733</v>
      </c>
      <c r="BA17" s="7" t="s">
        <v>734</v>
      </c>
      <c r="BB17" s="7" t="s">
        <v>735</v>
      </c>
      <c r="BC17" s="7" t="s">
        <v>748</v>
      </c>
      <c r="BD17" s="7" t="s">
        <v>736</v>
      </c>
      <c r="BE17" s="7" t="s">
        <v>749</v>
      </c>
      <c r="BF17" s="7" t="s">
        <v>728</v>
      </c>
      <c r="BG17" s="7" t="s">
        <v>729</v>
      </c>
      <c r="BH17" s="7" t="s">
        <v>730</v>
      </c>
      <c r="BI17" s="7" t="s">
        <v>731</v>
      </c>
      <c r="BJ17" s="7" t="s">
        <v>732</v>
      </c>
      <c r="BK17" s="7" t="s">
        <v>733</v>
      </c>
      <c r="BL17" s="7" t="s">
        <v>734</v>
      </c>
      <c r="BM17" s="7" t="s">
        <v>735</v>
      </c>
      <c r="BN17" s="7" t="s">
        <v>748</v>
      </c>
      <c r="BO17" s="7" t="s">
        <v>736</v>
      </c>
      <c r="BP17" s="7" t="s">
        <v>749</v>
      </c>
      <c r="BR17" s="22" t="s">
        <v>10</v>
      </c>
      <c r="BS17" s="7" t="s">
        <v>728</v>
      </c>
      <c r="BT17" s="7" t="s">
        <v>729</v>
      </c>
      <c r="BU17" s="7" t="s">
        <v>730</v>
      </c>
      <c r="BV17" s="7" t="s">
        <v>731</v>
      </c>
      <c r="BW17" s="7" t="s">
        <v>732</v>
      </c>
      <c r="BX17" s="7" t="s">
        <v>733</v>
      </c>
      <c r="BY17" s="7" t="s">
        <v>734</v>
      </c>
      <c r="BZ17" s="7" t="s">
        <v>735</v>
      </c>
      <c r="CA17" s="7" t="s">
        <v>748</v>
      </c>
      <c r="CB17" s="7" t="s">
        <v>736</v>
      </c>
      <c r="CC17" s="20" t="s">
        <v>749</v>
      </c>
      <c r="CD17" s="7" t="s">
        <v>728</v>
      </c>
      <c r="CE17" s="7" t="s">
        <v>729</v>
      </c>
      <c r="CF17" s="7" t="s">
        <v>730</v>
      </c>
      <c r="CG17" s="7" t="s">
        <v>731</v>
      </c>
      <c r="CH17" s="7" t="s">
        <v>732</v>
      </c>
      <c r="CI17" s="7" t="s">
        <v>733</v>
      </c>
      <c r="CJ17" s="7" t="s">
        <v>734</v>
      </c>
      <c r="CK17" s="7" t="s">
        <v>735</v>
      </c>
      <c r="CL17" s="7" t="s">
        <v>748</v>
      </c>
      <c r="CM17" s="7" t="s">
        <v>736</v>
      </c>
      <c r="CN17" s="7" t="s">
        <v>749</v>
      </c>
      <c r="CO17" s="7" t="s">
        <v>728</v>
      </c>
      <c r="CP17" s="7" t="s">
        <v>729</v>
      </c>
      <c r="CQ17" s="7" t="s">
        <v>730</v>
      </c>
      <c r="CR17" s="7" t="s">
        <v>731</v>
      </c>
      <c r="CS17" s="7" t="s">
        <v>732</v>
      </c>
      <c r="CT17" s="7" t="s">
        <v>733</v>
      </c>
      <c r="CU17" s="7" t="s">
        <v>734</v>
      </c>
      <c r="CV17" s="7" t="s">
        <v>735</v>
      </c>
      <c r="CW17" s="7" t="s">
        <v>748</v>
      </c>
      <c r="CX17" s="7" t="s">
        <v>736</v>
      </c>
      <c r="CY17" s="7" t="s">
        <v>749</v>
      </c>
      <c r="DA17" s="22" t="s">
        <v>10</v>
      </c>
      <c r="DB17" s="7" t="s">
        <v>728</v>
      </c>
      <c r="DC17" s="7" t="s">
        <v>729</v>
      </c>
      <c r="DD17" s="7" t="s">
        <v>730</v>
      </c>
      <c r="DE17" s="7" t="s">
        <v>731</v>
      </c>
      <c r="DF17" s="7" t="s">
        <v>732</v>
      </c>
      <c r="DG17" s="7" t="s">
        <v>733</v>
      </c>
      <c r="DH17" s="7" t="s">
        <v>734</v>
      </c>
      <c r="DI17" s="7" t="s">
        <v>735</v>
      </c>
      <c r="DJ17" s="7" t="s">
        <v>748</v>
      </c>
      <c r="DK17" s="7" t="s">
        <v>736</v>
      </c>
      <c r="DL17" s="20" t="s">
        <v>749</v>
      </c>
      <c r="DM17" s="7" t="s">
        <v>728</v>
      </c>
      <c r="DN17" s="7" t="s">
        <v>729</v>
      </c>
      <c r="DO17" s="7" t="s">
        <v>730</v>
      </c>
      <c r="DP17" s="7" t="s">
        <v>731</v>
      </c>
      <c r="DQ17" s="7" t="s">
        <v>732</v>
      </c>
      <c r="DR17" s="7" t="s">
        <v>733</v>
      </c>
      <c r="DS17" s="7" t="s">
        <v>734</v>
      </c>
      <c r="DT17" s="7" t="s">
        <v>735</v>
      </c>
      <c r="DU17" s="7" t="s">
        <v>748</v>
      </c>
      <c r="DV17" s="7" t="s">
        <v>736</v>
      </c>
      <c r="DW17" s="7" t="s">
        <v>749</v>
      </c>
      <c r="DX17" s="7" t="s">
        <v>728</v>
      </c>
      <c r="DY17" s="7" t="s">
        <v>729</v>
      </c>
      <c r="DZ17" s="7" t="s">
        <v>730</v>
      </c>
      <c r="EA17" s="7" t="s">
        <v>731</v>
      </c>
      <c r="EB17" s="7" t="s">
        <v>732</v>
      </c>
      <c r="EC17" s="7" t="s">
        <v>733</v>
      </c>
      <c r="ED17" s="7" t="s">
        <v>734</v>
      </c>
      <c r="EE17" s="7" t="s">
        <v>735</v>
      </c>
      <c r="EF17" s="7" t="s">
        <v>748</v>
      </c>
      <c r="EG17" s="7" t="s">
        <v>736</v>
      </c>
      <c r="EH17" s="7" t="s">
        <v>749</v>
      </c>
      <c r="EJ17" s="22" t="s">
        <v>754</v>
      </c>
      <c r="EK17" s="7" t="s">
        <v>728</v>
      </c>
      <c r="EL17" s="7" t="s">
        <v>729</v>
      </c>
      <c r="EM17" s="7" t="s">
        <v>730</v>
      </c>
      <c r="EN17" s="7" t="s">
        <v>731</v>
      </c>
      <c r="EO17" s="7" t="s">
        <v>732</v>
      </c>
      <c r="EP17" s="7" t="s">
        <v>733</v>
      </c>
      <c r="EQ17" s="7" t="s">
        <v>734</v>
      </c>
      <c r="ER17" s="7" t="s">
        <v>735</v>
      </c>
      <c r="ES17" s="7" t="s">
        <v>748</v>
      </c>
      <c r="ET17" s="7" t="s">
        <v>736</v>
      </c>
      <c r="EU17" s="20" t="s">
        <v>749</v>
      </c>
      <c r="EV17" s="7" t="s">
        <v>728</v>
      </c>
      <c r="EW17" s="7" t="s">
        <v>729</v>
      </c>
      <c r="EX17" s="7" t="s">
        <v>730</v>
      </c>
      <c r="EY17" s="7" t="s">
        <v>731</v>
      </c>
      <c r="EZ17" s="7" t="s">
        <v>732</v>
      </c>
      <c r="FA17" s="7" t="s">
        <v>733</v>
      </c>
      <c r="FB17" s="7" t="s">
        <v>734</v>
      </c>
      <c r="FC17" s="7" t="s">
        <v>735</v>
      </c>
      <c r="FD17" s="7" t="s">
        <v>748</v>
      </c>
      <c r="FE17" s="7" t="s">
        <v>736</v>
      </c>
      <c r="FF17" s="7" t="s">
        <v>749</v>
      </c>
      <c r="FG17" s="7" t="s">
        <v>728</v>
      </c>
      <c r="FH17" s="7" t="s">
        <v>729</v>
      </c>
      <c r="FI17" s="7" t="s">
        <v>730</v>
      </c>
      <c r="FJ17" s="7" t="s">
        <v>731</v>
      </c>
      <c r="FK17" s="7" t="s">
        <v>732</v>
      </c>
      <c r="FL17" s="7" t="s">
        <v>733</v>
      </c>
      <c r="FM17" s="7" t="s">
        <v>734</v>
      </c>
      <c r="FN17" s="7" t="s">
        <v>735</v>
      </c>
      <c r="FO17" s="7" t="s">
        <v>748</v>
      </c>
      <c r="FP17" s="7" t="s">
        <v>736</v>
      </c>
      <c r="FQ17" s="7" t="s">
        <v>749</v>
      </c>
    </row>
    <row r="18" spans="1:173" x14ac:dyDescent="0.25">
      <c r="A18" s="1">
        <v>0</v>
      </c>
      <c r="B18" s="23" cm="1">
        <f t="array" ref="B18:B58">sexp(A18:A58,B2)</f>
        <v>1</v>
      </c>
      <c r="C18" s="8" cm="1">
        <f t="array" ref="C18:C58">Sweibull(A18:A58,B3,C3)</f>
        <v>1</v>
      </c>
      <c r="D18" s="8" cm="1">
        <f t="array" ref="D18:D58">SweibullPH(A18:A58,B4,C4)</f>
        <v>1</v>
      </c>
      <c r="E18" s="8" cm="1">
        <f t="array" ref="E18:E58">Sgompertz(A18:A58,B5,C5)</f>
        <v>1</v>
      </c>
      <c r="F18" s="8" cm="1">
        <f t="array" ref="F18:F58">sgamma(A18:A58,B6,C6)</f>
        <v>1</v>
      </c>
      <c r="G18" s="8" cm="1">
        <f t="array" ref="G18:G58">Sllogis(A18:A58,B7,C7)</f>
        <v>1</v>
      </c>
      <c r="H18" s="8" cm="1">
        <f t="array" ref="H18:H58">Slnorm(A18:A58,B8,C8)</f>
        <v>1</v>
      </c>
      <c r="I18" s="8" cm="1">
        <f t="array" ref="I18:I58">Sgengamma(A18:A58,B9,C9,D9)</f>
        <v>1</v>
      </c>
      <c r="J18" s="8" cm="1">
        <f t="array" ref="J18:J58">Sgengamma_orig(A18:A58,B11,C11,D11)</f>
        <v>1</v>
      </c>
      <c r="K18" s="28" cm="1">
        <f t="array" ref="K18:K58">Sgenf(A18:A58,B10,C10,D10,E10)</f>
        <v>1</v>
      </c>
      <c r="L18" s="8" cm="1">
        <f t="array" ref="L18:L58">Sgenf_orig(A18:A58,B12,C12,D12,E12)</f>
        <v>1</v>
      </c>
      <c r="M18" s="29">
        <v>1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30">
        <v>1</v>
      </c>
      <c r="T18" s="30">
        <v>1</v>
      </c>
      <c r="U18" s="30">
        <v>1</v>
      </c>
      <c r="V18" s="30">
        <v>1</v>
      </c>
      <c r="W18" s="31">
        <v>1</v>
      </c>
      <c r="X18" t="b">
        <f>ROUND(B18,6)=ROUND(M18,6)</f>
        <v>1</v>
      </c>
      <c r="Y18" t="b">
        <f t="shared" ref="Y18:AF18" si="0">ROUND(C18,6)=ROUND(N18,6)</f>
        <v>1</v>
      </c>
      <c r="Z18" t="b">
        <f t="shared" si="0"/>
        <v>1</v>
      </c>
      <c r="AA18" t="b">
        <f t="shared" si="0"/>
        <v>1</v>
      </c>
      <c r="AB18" t="b">
        <f t="shared" si="0"/>
        <v>1</v>
      </c>
      <c r="AC18" t="b">
        <f t="shared" si="0"/>
        <v>1</v>
      </c>
      <c r="AD18" t="b">
        <f t="shared" si="0"/>
        <v>1</v>
      </c>
      <c r="AE18" t="b">
        <f t="shared" si="0"/>
        <v>1</v>
      </c>
      <c r="AF18" t="b">
        <f t="shared" si="0"/>
        <v>1</v>
      </c>
      <c r="AG18" t="b">
        <f t="shared" ref="AG18:AG58" si="1">ROUND(K18,6)=ROUND(V18,6)</f>
        <v>1</v>
      </c>
      <c r="AH18" t="b">
        <f t="shared" ref="AH18:AH58" si="2">ROUND(L18,6)=ROUND(W18,6)</f>
        <v>1</v>
      </c>
      <c r="AJ18" s="23" cm="1">
        <f t="array" ref="AJ18:AJ58">chexp(A18:A58,B2)</f>
        <v>0</v>
      </c>
      <c r="AK18" s="8" cm="1">
        <f t="array" ref="AK18:AK58">chweibull(A18:A58,B3,C3)</f>
        <v>0</v>
      </c>
      <c r="AL18" s="8" cm="1">
        <f t="array" ref="AL18:AL58">chweibullPH(A18:A58,B4,C4)</f>
        <v>0</v>
      </c>
      <c r="AM18" s="8" cm="1">
        <f t="array" ref="AM18:AM58">chgompertz(A18:A58,B5,C5)</f>
        <v>0</v>
      </c>
      <c r="AN18" s="8" cm="1">
        <f t="array" ref="AN18:AN58">chgamma(A18:A58,B6,C6)</f>
        <v>0</v>
      </c>
      <c r="AO18" s="8" cm="1">
        <f t="array" ref="AO18:AO58">chllogis(A18:A58,B7,C7)</f>
        <v>0</v>
      </c>
      <c r="AP18" s="8" cm="1">
        <f t="array" ref="AP18:AP58">chlnorm(A18:A58,B8,C8)</f>
        <v>0</v>
      </c>
      <c r="AQ18" s="8" cm="1">
        <f t="array" ref="AQ18:AQ58">chgengamma(A18:A58,B9,C9,D9)</f>
        <v>0</v>
      </c>
      <c r="AR18" s="8" cm="1">
        <f t="array" ref="AR18:AR58">chgengamma_orig(A18:A58,B11,C11,D11)</f>
        <v>0</v>
      </c>
      <c r="AS18" s="28" cm="1">
        <f t="array" ref="AS18:AS58">chgenf(A18:A58,B10,C10,D10,E10)</f>
        <v>0</v>
      </c>
      <c r="AT18" s="8" cm="1">
        <f t="array" ref="AT18:AT58">chgenf_orig(A18:A58,B12,C12,D12,E12)</f>
        <v>0</v>
      </c>
      <c r="AU18" s="48">
        <v>0</v>
      </c>
      <c r="AV18" s="49">
        <v>0</v>
      </c>
      <c r="AW18" s="49">
        <v>0</v>
      </c>
      <c r="AX18" s="49">
        <v>0</v>
      </c>
      <c r="AY18" s="49">
        <v>0</v>
      </c>
      <c r="AZ18" s="49">
        <v>0</v>
      </c>
      <c r="BA18" s="49">
        <v>0</v>
      </c>
      <c r="BB18" s="49">
        <v>0</v>
      </c>
      <c r="BC18" s="49">
        <v>0</v>
      </c>
      <c r="BD18" s="49">
        <v>0</v>
      </c>
      <c r="BE18" s="50">
        <v>0</v>
      </c>
      <c r="BF18" s="41" t="b">
        <f>ROUND(AJ18,6)=ROUND(AU18,6)</f>
        <v>1</v>
      </c>
      <c r="BG18" s="42" t="b">
        <f t="shared" ref="BG18:BG58" si="3">ROUND(AK18,6)=ROUND(AV18,6)</f>
        <v>1</v>
      </c>
      <c r="BH18" s="42" t="b">
        <f t="shared" ref="BH18:BH58" si="4">ROUND(AL18,6)=ROUND(AW18,6)</f>
        <v>1</v>
      </c>
      <c r="BI18" s="42" t="b">
        <f t="shared" ref="BI18:BI58" si="5">ROUND(AM18,6)=ROUND(AX18,6)</f>
        <v>1</v>
      </c>
      <c r="BJ18" s="42" t="b">
        <f t="shared" ref="BJ18:BJ58" si="6">ROUND(AN18,6)=ROUND(AY18,6)</f>
        <v>1</v>
      </c>
      <c r="BK18" s="42" t="b">
        <f t="shared" ref="BK18:BK58" si="7">ROUND(AO18,6)=ROUND(AZ18,6)</f>
        <v>1</v>
      </c>
      <c r="BL18" s="42" t="b">
        <f t="shared" ref="BL18:BL58" si="8">ROUND(AP18,6)=ROUND(BA18,6)</f>
        <v>1</v>
      </c>
      <c r="BM18" s="42" t="b">
        <f t="shared" ref="BM18:BM58" si="9">ROUND(AQ18,6)=ROUND(BB18,6)</f>
        <v>1</v>
      </c>
      <c r="BN18" s="42" t="b">
        <f t="shared" ref="BN18:BN58" si="10">ROUND(AR18,6)=ROUND(BC18,6)</f>
        <v>1</v>
      </c>
      <c r="BO18" s="42" t="b">
        <f t="shared" ref="BO18:BO58" si="11">ROUND(AS18,6)=ROUND(BD18,6)</f>
        <v>1</v>
      </c>
      <c r="BP18" s="43" t="b">
        <f t="shared" ref="BP18:BP58" si="12">ROUND(AT18,6)=ROUND(BE18,6)</f>
        <v>1</v>
      </c>
      <c r="BR18" s="1">
        <v>0</v>
      </c>
      <c r="BS18" s="23" cm="1">
        <f t="array" ref="BS18:BS58">hexp(A18:A58,B2)</f>
        <v>1.17977863845946E-2</v>
      </c>
      <c r="BT18" s="8" cm="1">
        <f t="array" ref="BT18:BT58">hweibull(A18:A58,B3,C3)</f>
        <v>0</v>
      </c>
      <c r="BU18" s="8" cm="1">
        <f t="array" ref="BU18:BU58">hweibullPH(A18:A58,B4,C4)</f>
        <v>0</v>
      </c>
      <c r="BV18" s="8" cm="1">
        <f t="array" ref="BV18:BV58">hgompertz(A18:A58,B5,C5)</f>
        <v>0</v>
      </c>
      <c r="BW18" s="8" cm="1">
        <f t="array" ref="BW18:BW58">hgamma(A18:A58,B6,C6)</f>
        <v>0</v>
      </c>
      <c r="BX18" s="8" cm="1">
        <f t="array" ref="BX18:BX58">hllogis(A18:A58,B7,C7)</f>
        <v>0</v>
      </c>
      <c r="BY18" s="8" cm="1">
        <f t="array" ref="BY18:BY58">hlnorm(A18:A58,B8,C8)</f>
        <v>0</v>
      </c>
      <c r="BZ18" s="8" cm="1">
        <f t="array" ref="BZ18:BZ58">hgengamma(A18:A58,B9,C9,D9)</f>
        <v>0</v>
      </c>
      <c r="CA18" s="8" cm="1">
        <f t="array" ref="CA18:CA58">hgengamma_orig(A18:A58,B11,C11,D11)</f>
        <v>0</v>
      </c>
      <c r="CB18" s="28" cm="1">
        <f t="array" ref="CB18:CB58">hgenf(A18:A58,B10,C10,D10,E10)</f>
        <v>0</v>
      </c>
      <c r="CC18" s="8" cm="1">
        <f t="array" ref="CC18:CC58">hgenf_orig(A18:A58,B12,C12,D12,E12)</f>
        <v>0</v>
      </c>
      <c r="CD18" s="29">
        <v>1.17977863845946E-2</v>
      </c>
      <c r="CE18" s="30">
        <v>0</v>
      </c>
      <c r="CF18" s="30">
        <v>0</v>
      </c>
      <c r="CG18" s="30">
        <v>1.03560894673995E-2</v>
      </c>
      <c r="CH18" s="30">
        <v>0</v>
      </c>
      <c r="CI18" s="30">
        <v>0</v>
      </c>
      <c r="CJ18" s="30">
        <v>0</v>
      </c>
      <c r="CK18" s="30"/>
      <c r="CL18" s="30">
        <v>0</v>
      </c>
      <c r="CM18" s="30"/>
      <c r="CN18" s="31"/>
      <c r="CO18" t="b">
        <f>ROUND(BS18,6)=ROUND(CD18,6)</f>
        <v>1</v>
      </c>
      <c r="CP18" t="b">
        <f t="shared" ref="CP18:CP58" si="13">ROUND(BT18,6)=ROUND(CE18,6)</f>
        <v>1</v>
      </c>
      <c r="CQ18" t="b">
        <f t="shared" ref="CQ18:CQ58" si="14">ROUND(BU18,6)=ROUND(CF18,6)</f>
        <v>1</v>
      </c>
      <c r="CR18" t="b">
        <f t="shared" ref="CR18:CR58" si="15">ROUND(BV18,6)=ROUND(CG18,6)</f>
        <v>0</v>
      </c>
      <c r="CS18" t="b">
        <f t="shared" ref="CS18:CS58" si="16">ROUND(BW18,6)=ROUND(CH18,6)</f>
        <v>1</v>
      </c>
      <c r="CT18" t="b">
        <f t="shared" ref="CT18:CT58" si="17">ROUND(BX18,6)=ROUND(CI18,6)</f>
        <v>1</v>
      </c>
      <c r="CU18" t="b">
        <f t="shared" ref="CU18:CU58" si="18">ROUND(BY18,6)=ROUND(CJ18,6)</f>
        <v>1</v>
      </c>
      <c r="CV18" t="b">
        <f t="shared" ref="CV18:CV58" si="19">ROUND(BZ18,6)=ROUND(CK18,6)</f>
        <v>1</v>
      </c>
      <c r="CW18" t="b">
        <f t="shared" ref="CW18:CW58" si="20">ROUND(CA18,6)=ROUND(CL18,6)</f>
        <v>1</v>
      </c>
      <c r="CX18" t="b">
        <f t="shared" ref="CX18:CX58" si="21">ROUND(CB18,6)=ROUND(CM18,6)</f>
        <v>1</v>
      </c>
      <c r="CY18" t="b">
        <f t="shared" ref="CY18:CY58" si="22">ROUND(CC18,6)=ROUND(CN18,6)</f>
        <v>1</v>
      </c>
      <c r="DA18" s="72">
        <v>0</v>
      </c>
      <c r="DB18" s="84" cm="1">
        <f t="array" ref="DB18:DB24">rmstexp(DA18:DA24,B2)</f>
        <v>0</v>
      </c>
      <c r="DC18" s="69" cm="1">
        <f t="array" ref="DC18:DC24">rmstweibull(DA18:DA24,B3,C3)</f>
        <v>0</v>
      </c>
      <c r="DD18" s="69" cm="1">
        <f t="array" ref="DD18:DD24">rmstweibullPH(DA18:DA24,B4,C4)</f>
        <v>0</v>
      </c>
      <c r="DE18" s="69" cm="1">
        <f t="array" ref="DE18:DE24">rmstgompertz(DA18:DA24,B5,C5)</f>
        <v>0</v>
      </c>
      <c r="DF18" s="69" cm="1">
        <f t="array" ref="DF18:DF24">rmstgamma(DA18:DA24,B6,C6)</f>
        <v>0</v>
      </c>
      <c r="DG18" s="69" cm="1">
        <f t="array" ref="DG18:DG24">rmstllogis(DA18:DA24,B7,C7)</f>
        <v>0</v>
      </c>
      <c r="DH18" s="69" cm="1">
        <f t="array" ref="DH18:DH24">rmstlnorm(DA18:DA24,B8,C8)</f>
        <v>0</v>
      </c>
      <c r="DI18" s="69" cm="1">
        <f t="array" ref="DI18:DI24">rmstgengamma(DA18:DA24,B9,C9,D9)</f>
        <v>0</v>
      </c>
      <c r="DJ18" s="69" cm="1">
        <f t="array" ref="DJ18:DJ24">rmstgengamma_orig(DA18:DA24,B11,C11,D11)</f>
        <v>0</v>
      </c>
      <c r="DK18" s="69" cm="1">
        <f t="array" ref="DK18:DK24">rmstgenf(DA18:DA24,B10,C10,D10,E10)</f>
        <v>0</v>
      </c>
      <c r="DL18" s="69" cm="1">
        <f t="array" ref="DL18:DL24">rmstgenf_orig(DA18:DA24,B12,C12,D12,E12)</f>
        <v>0</v>
      </c>
      <c r="DM18" s="85">
        <v>0</v>
      </c>
      <c r="DN18" s="86">
        <v>0</v>
      </c>
      <c r="DO18" s="86">
        <v>0</v>
      </c>
      <c r="DP18" s="86">
        <v>0</v>
      </c>
      <c r="DQ18" s="86">
        <v>0</v>
      </c>
      <c r="DR18" s="86">
        <v>0</v>
      </c>
      <c r="DS18" s="86">
        <v>0</v>
      </c>
      <c r="DT18" s="86">
        <v>0</v>
      </c>
      <c r="DU18" s="86">
        <v>0</v>
      </c>
      <c r="DV18" s="86">
        <v>0</v>
      </c>
      <c r="DW18" s="87">
        <v>0</v>
      </c>
      <c r="DX18" s="41" t="b">
        <f>ROUND(DB18,4)=ROUND(DM18,4)</f>
        <v>1</v>
      </c>
      <c r="DY18" s="42" t="b">
        <f t="shared" ref="DY18:DY24" si="23">ROUND(DC18,4)=ROUND(DN18,4)</f>
        <v>1</v>
      </c>
      <c r="DZ18" s="42" t="b">
        <f t="shared" ref="DZ18:DZ24" si="24">ROUND(DD18,4)=ROUND(DO18,4)</f>
        <v>1</v>
      </c>
      <c r="EA18" s="42" t="b">
        <f t="shared" ref="EA18:EA24" si="25">ROUND(DE18,4)=ROUND(DP18,4)</f>
        <v>1</v>
      </c>
      <c r="EB18" s="42" t="b">
        <f t="shared" ref="EB18:EB24" si="26">ROUND(DF18,4)=ROUND(DQ18,4)</f>
        <v>1</v>
      </c>
      <c r="EC18" s="42" t="b">
        <f t="shared" ref="EC18:EC24" si="27">ROUND(DG18,4)=ROUND(DR18,4)</f>
        <v>1</v>
      </c>
      <c r="ED18" s="42" t="b">
        <f t="shared" ref="ED18:ED24" si="28">ROUND(DH18,4)=ROUND(DS18,4)</f>
        <v>1</v>
      </c>
      <c r="EE18" s="42" t="b">
        <f t="shared" ref="EE18:EE24" si="29">ROUND(DI18,4)=ROUND(DT18,4)</f>
        <v>1</v>
      </c>
      <c r="EF18" s="42" t="b">
        <f t="shared" ref="EF18:EF24" si="30">ROUND(DJ18,4)=ROUND(DU18,4)</f>
        <v>1</v>
      </c>
      <c r="EG18" s="42" t="b">
        <f t="shared" ref="EG18:EG24" si="31">ROUND(DK18,4)=ROUND(DV18,4)</f>
        <v>1</v>
      </c>
      <c r="EH18" s="43" t="b">
        <f t="shared" ref="EH18:EH24" si="32">ROUND(DL18,4)=ROUND(DW18,4)</f>
        <v>1</v>
      </c>
      <c r="EJ18" s="72">
        <v>0.1</v>
      </c>
      <c r="EK18" s="75" cm="1">
        <f t="array" ref="EK18:EK26">qexp(EJ18:EJ26,B2)</f>
        <v>8.9305325781626888</v>
      </c>
      <c r="EL18" s="40" cm="1">
        <f t="array" ref="EL18:EL26">qweibull(EJ18:EJ26,B3,C3)</f>
        <v>12.648695477491072</v>
      </c>
      <c r="EM18" s="40" cm="1">
        <f t="array" ref="EM18:EM26">qweibullPH(EJ18:EJ26,B4,C4)</f>
        <v>12.648695451800481</v>
      </c>
      <c r="EN18" s="40" cm="1">
        <f t="array" ref="EN18:EN26">qgompertz(EJ18:EJ26,B5,C5)</f>
        <v>9.9165832638620106</v>
      </c>
      <c r="EO18" s="40" cm="1">
        <f t="array" ref="EO18:EO26">qgamma(EJ18:EJ26,B6,C6)</f>
        <v>13.297251326399833</v>
      </c>
      <c r="EP18" s="40" cm="1">
        <f t="array" ref="EP18:EP26">qllogis(EJ18:EJ26,B7,C7)</f>
        <v>12.872352170109556</v>
      </c>
      <c r="EQ18" s="40" cm="1">
        <f t="array" ref="EQ18:EQ26">qlnorm(EJ18:EJ26,B8,C8)</f>
        <v>13.18888320924383</v>
      </c>
      <c r="ER18" s="40" cm="1">
        <f t="array" ref="ER18:ER26">qgengamma(EJ18:EJ26,B9,C9,D9)</f>
        <v>12.81892700298156</v>
      </c>
      <c r="ES18" s="40" cm="1">
        <f t="array" ref="ES18:ES26">qgengamma_orig(EJ18:EJ26,B11,C11,D11)</f>
        <v>13.286224365234375</v>
      </c>
      <c r="ET18" s="40" cm="1">
        <f t="array" ref="ET18:ET26">qgenf(EJ18:EJ26,B10,C10,D10,E10)</f>
        <v>12.906575333416976</v>
      </c>
      <c r="EU18" s="40" cm="1">
        <f t="array" ref="EU18:EU26">qgenf_orig(EJ18:EJ26,B12,C12,D12,E12)</f>
        <v>12.907138953767639</v>
      </c>
      <c r="EV18" s="76">
        <v>8.9305325781626905</v>
      </c>
      <c r="EW18" s="77">
        <v>12.648695477491</v>
      </c>
      <c r="EX18" s="77">
        <v>12.648695451800601</v>
      </c>
      <c r="EY18" s="77">
        <v>9.9165832638619609</v>
      </c>
      <c r="EZ18" s="77">
        <v>13.2972513263999</v>
      </c>
      <c r="FA18" s="77">
        <v>12.8723521701096</v>
      </c>
      <c r="FB18" s="77">
        <v>13.1888832092438</v>
      </c>
      <c r="FC18" s="77">
        <v>12.8189273631427</v>
      </c>
      <c r="FD18" s="77">
        <v>13.286217656834401</v>
      </c>
      <c r="FE18" s="77">
        <v>12.9065773941286</v>
      </c>
      <c r="FF18" s="78">
        <v>12.9071394009041</v>
      </c>
      <c r="FG18" s="42" t="b">
        <f>ROUND(EK18,3)=ROUND(EV18,3)</f>
        <v>1</v>
      </c>
      <c r="FH18" s="42" t="b">
        <f t="shared" ref="FH18:FQ26" si="33">ROUND(EL18,3)=ROUND(EW18,3)</f>
        <v>1</v>
      </c>
      <c r="FI18" s="42" t="b">
        <f t="shared" si="33"/>
        <v>1</v>
      </c>
      <c r="FJ18" s="42" t="b">
        <f t="shared" si="33"/>
        <v>1</v>
      </c>
      <c r="FK18" s="42" t="b">
        <f t="shared" si="33"/>
        <v>1</v>
      </c>
      <c r="FL18" s="42" t="b">
        <f t="shared" si="33"/>
        <v>1</v>
      </c>
      <c r="FM18" s="42" t="b">
        <f t="shared" si="33"/>
        <v>1</v>
      </c>
      <c r="FN18" s="42" t="b">
        <f t="shared" si="33"/>
        <v>1</v>
      </c>
      <c r="FO18" s="42" t="b">
        <f t="shared" si="33"/>
        <v>1</v>
      </c>
      <c r="FP18" s="42" t="b">
        <f t="shared" si="33"/>
        <v>1</v>
      </c>
      <c r="FQ18" s="43" t="b">
        <f t="shared" si="33"/>
        <v>1</v>
      </c>
    </row>
    <row r="19" spans="1:173" x14ac:dyDescent="0.25">
      <c r="A19" s="1">
        <f t="shared" ref="A19:A58" si="34">A18+6</f>
        <v>6</v>
      </c>
      <c r="B19" s="23">
        <v>0.93166057708355998</v>
      </c>
      <c r="C19" s="8">
        <v>0.96000491462390758</v>
      </c>
      <c r="D19" s="8">
        <v>0.96000491459207649</v>
      </c>
      <c r="E19" s="8">
        <v>0.93884486634952879</v>
      </c>
      <c r="F19" s="8">
        <v>0.96604336137210089</v>
      </c>
      <c r="G19" s="8">
        <v>0.96665715662970919</v>
      </c>
      <c r="H19" s="8">
        <v>0.97663197465607343</v>
      </c>
      <c r="I19" s="8">
        <v>0.98385566378075573</v>
      </c>
      <c r="J19" s="8">
        <v>0.97447083609246044</v>
      </c>
      <c r="K19" s="8">
        <v>0.98443134499209128</v>
      </c>
      <c r="L19" s="8">
        <v>0.98442813261391715</v>
      </c>
      <c r="M19" s="32">
        <v>0.93166057708355998</v>
      </c>
      <c r="N19" s="12">
        <v>0.96000491462390702</v>
      </c>
      <c r="O19" s="12">
        <v>0.96000491459207704</v>
      </c>
      <c r="P19" s="12">
        <v>0.93884486634952802</v>
      </c>
      <c r="Q19" s="12">
        <v>0.96604336137210101</v>
      </c>
      <c r="R19" s="12">
        <v>0.96665715662970997</v>
      </c>
      <c r="S19" s="12">
        <v>0.97663197465607299</v>
      </c>
      <c r="T19" s="12">
        <v>0.98385566378076095</v>
      </c>
      <c r="U19" s="12">
        <v>0.974470836092452</v>
      </c>
      <c r="V19" s="12">
        <v>0.98443134499208895</v>
      </c>
      <c r="W19" s="33">
        <v>0.98442813261391504</v>
      </c>
      <c r="X19" t="b">
        <f>ROUND(B19,6)=ROUND(M19,6)</f>
        <v>1</v>
      </c>
      <c r="Y19" t="b">
        <f t="shared" ref="Y19:Y20" si="35">ROUND(C19,6)=ROUND(N19,6)</f>
        <v>1</v>
      </c>
      <c r="Z19" t="b">
        <f t="shared" ref="Z19:Z20" si="36">ROUND(D19,6)=ROUND(O19,6)</f>
        <v>1</v>
      </c>
      <c r="AA19" t="b">
        <f t="shared" ref="AA19:AA20" si="37">ROUND(E19,6)=ROUND(P19,6)</f>
        <v>1</v>
      </c>
      <c r="AB19" t="b">
        <f t="shared" ref="AB19:AB20" si="38">ROUND(F19,6)=ROUND(Q19,6)</f>
        <v>1</v>
      </c>
      <c r="AC19" t="b">
        <f t="shared" ref="AC19:AC20" si="39">ROUND(G19,6)=ROUND(R19,6)</f>
        <v>1</v>
      </c>
      <c r="AD19" t="b">
        <f t="shared" ref="AD19:AD20" si="40">ROUND(H19,6)=ROUND(S19,6)</f>
        <v>1</v>
      </c>
      <c r="AE19" t="b">
        <f t="shared" ref="AE19:AE20" si="41">ROUND(I19,6)=ROUND(T19,6)</f>
        <v>1</v>
      </c>
      <c r="AF19" t="b">
        <f t="shared" ref="AF19:AF20" si="42">ROUND(J19,6)=ROUND(U19,6)</f>
        <v>1</v>
      </c>
      <c r="AG19" t="b">
        <f t="shared" si="1"/>
        <v>1</v>
      </c>
      <c r="AH19" t="b">
        <f t="shared" si="2"/>
        <v>1</v>
      </c>
      <c r="AJ19" s="23">
        <v>7.0786718307567609E-2</v>
      </c>
      <c r="AK19" s="8">
        <v>4.0816875133455499E-2</v>
      </c>
      <c r="AL19" s="8">
        <v>4.0816875166612671E-2</v>
      </c>
      <c r="AM19" s="8">
        <v>6.3105024978153859E-2</v>
      </c>
      <c r="AN19" s="8">
        <v>3.4546558228276236E-2</v>
      </c>
      <c r="AO19" s="8">
        <v>3.3911389693340836E-2</v>
      </c>
      <c r="AP19" s="8">
        <v>2.3645387099972319E-2</v>
      </c>
      <c r="AQ19" s="8">
        <v>1.6276075838547434E-2</v>
      </c>
      <c r="AR19" s="8">
        <v>2.5860687529588859E-2</v>
      </c>
      <c r="AS19" s="8">
        <v>1.5691119249203543E-2</v>
      </c>
      <c r="AT19" s="8">
        <v>1.56943824360492E-2</v>
      </c>
      <c r="AU19" s="32">
        <v>7.0786718307567595E-2</v>
      </c>
      <c r="AV19" s="12">
        <v>4.0816875133455902E-2</v>
      </c>
      <c r="AW19" s="12">
        <v>4.0816875166612497E-2</v>
      </c>
      <c r="AX19" s="12">
        <v>6.3105024978154206E-2</v>
      </c>
      <c r="AY19" s="12">
        <v>3.4546558228275799E-2</v>
      </c>
      <c r="AZ19" s="12">
        <v>3.3911389693340503E-2</v>
      </c>
      <c r="BA19" s="12">
        <v>2.3645387099972701E-2</v>
      </c>
      <c r="BB19" s="12">
        <v>1.62760758385425E-2</v>
      </c>
      <c r="BC19" s="12">
        <v>2.5860687529598001E-2</v>
      </c>
      <c r="BD19" s="12">
        <v>1.56911192492056E-2</v>
      </c>
      <c r="BE19" s="33">
        <v>1.5694382436051101E-2</v>
      </c>
      <c r="BF19" s="44" t="b">
        <f>ROUND(AJ19,6)=ROUND(AU19,6)</f>
        <v>1</v>
      </c>
      <c r="BG19" t="b">
        <f t="shared" si="3"/>
        <v>1</v>
      </c>
      <c r="BH19" t="b">
        <f t="shared" si="4"/>
        <v>1</v>
      </c>
      <c r="BI19" t="b">
        <f t="shared" si="5"/>
        <v>1</v>
      </c>
      <c r="BJ19" t="b">
        <f t="shared" si="6"/>
        <v>1</v>
      </c>
      <c r="BK19" t="b">
        <f t="shared" si="7"/>
        <v>1</v>
      </c>
      <c r="BL19" t="b">
        <f t="shared" si="8"/>
        <v>1</v>
      </c>
      <c r="BM19" t="b">
        <f t="shared" si="9"/>
        <v>1</v>
      </c>
      <c r="BN19" t="b">
        <f t="shared" si="10"/>
        <v>1</v>
      </c>
      <c r="BO19" t="b">
        <f t="shared" si="11"/>
        <v>1</v>
      </c>
      <c r="BP19" s="45" t="b">
        <f t="shared" si="12"/>
        <v>1</v>
      </c>
      <c r="BR19" s="1">
        <f t="shared" ref="BR19:BR58" si="43">BR18+6</f>
        <v>6</v>
      </c>
      <c r="BS19" s="23">
        <v>1.17977863845946E-2</v>
      </c>
      <c r="BT19" s="8">
        <v>8.649908338261094E-3</v>
      </c>
      <c r="BU19" s="8">
        <v>8.6499083614349839E-3</v>
      </c>
      <c r="BV19" s="8">
        <v>1.0680587462351851E-2</v>
      </c>
      <c r="BW19" s="8">
        <v>8.17330355009269E-3</v>
      </c>
      <c r="BX19" s="8">
        <v>8.5162067440352693E-3</v>
      </c>
      <c r="BY19" s="8">
        <v>8.4611002250022695E-3</v>
      </c>
      <c r="BZ19" s="8">
        <v>8.5346056896690222E-3</v>
      </c>
      <c r="CA19" s="8">
        <v>8.36656906834231E-3</v>
      </c>
      <c r="CB19" s="8">
        <v>8.0545978729858869E-3</v>
      </c>
      <c r="CC19" s="8">
        <v>8.0535863952968887E-3</v>
      </c>
      <c r="CD19" s="32">
        <v>1.17977863845946E-2</v>
      </c>
      <c r="CE19" s="12">
        <v>8.6499083382611495E-3</v>
      </c>
      <c r="CF19" s="12">
        <v>8.6499083614349197E-3</v>
      </c>
      <c r="CG19" s="12">
        <v>1.06805874623519E-2</v>
      </c>
      <c r="CH19" s="12">
        <v>8.1733035500925998E-3</v>
      </c>
      <c r="CI19" s="12">
        <v>8.5162067440352103E-3</v>
      </c>
      <c r="CJ19" s="12">
        <v>8.4611002250023493E-3</v>
      </c>
      <c r="CK19" s="12">
        <v>8.5346056896690396E-3</v>
      </c>
      <c r="CL19" s="12">
        <v>8.3665690683425806E-3</v>
      </c>
      <c r="CM19" s="12">
        <v>8.0545978729859198E-3</v>
      </c>
      <c r="CN19" s="33">
        <v>8.0535863952968193E-3</v>
      </c>
      <c r="CO19" t="b">
        <f>ROUND(BS19,6)=ROUND(CD19,6)</f>
        <v>1</v>
      </c>
      <c r="CP19" t="b">
        <f t="shared" si="13"/>
        <v>1</v>
      </c>
      <c r="CQ19" t="b">
        <f t="shared" si="14"/>
        <v>1</v>
      </c>
      <c r="CR19" t="b">
        <f t="shared" si="15"/>
        <v>1</v>
      </c>
      <c r="CS19" t="b">
        <f t="shared" si="16"/>
        <v>1</v>
      </c>
      <c r="CT19" t="b">
        <f t="shared" si="17"/>
        <v>1</v>
      </c>
      <c r="CU19" t="b">
        <f t="shared" si="18"/>
        <v>1</v>
      </c>
      <c r="CV19" t="b">
        <f t="shared" si="19"/>
        <v>1</v>
      </c>
      <c r="CW19" t="b">
        <f t="shared" si="20"/>
        <v>1</v>
      </c>
      <c r="CX19" t="b">
        <f t="shared" si="21"/>
        <v>1</v>
      </c>
      <c r="CY19" t="b">
        <f t="shared" si="22"/>
        <v>1</v>
      </c>
      <c r="DA19" s="73">
        <v>12</v>
      </c>
      <c r="DB19" s="68">
        <v>11.189265989914603</v>
      </c>
      <c r="DC19" s="55">
        <v>11.495493863672596</v>
      </c>
      <c r="DD19" s="55">
        <v>11.495493862993742</v>
      </c>
      <c r="DE19" s="55">
        <v>11.270136407229785</v>
      </c>
      <c r="DF19" s="55">
        <v>11.556872609548792</v>
      </c>
      <c r="DG19" s="55">
        <v>11.554605025343598</v>
      </c>
      <c r="DH19" s="55">
        <v>11.640176462645487</v>
      </c>
      <c r="DI19" s="55">
        <v>11.680988708331501</v>
      </c>
      <c r="DJ19" s="55">
        <v>11.62574200297751</v>
      </c>
      <c r="DK19" s="55">
        <v>11.689129251562763</v>
      </c>
      <c r="DL19" s="55">
        <v>11.68912901269896</v>
      </c>
      <c r="DM19" s="88">
        <v>11.189265923299001</v>
      </c>
      <c r="DN19" s="89">
        <v>11.4954942315469</v>
      </c>
      <c r="DO19" s="89">
        <v>11.495494230867999</v>
      </c>
      <c r="DP19" s="89">
        <v>11.270136378738499</v>
      </c>
      <c r="DQ19" s="89">
        <v>11.556872689877</v>
      </c>
      <c r="DR19" s="89">
        <v>11.554605113737701</v>
      </c>
      <c r="DS19" s="89">
        <v>11.6401765617082</v>
      </c>
      <c r="DT19" s="89">
        <v>11.680988825913101</v>
      </c>
      <c r="DU19" s="89">
        <v>11.6257420971851</v>
      </c>
      <c r="DV19" s="89">
        <v>11.689129370894699</v>
      </c>
      <c r="DW19" s="90">
        <v>11.689129132020099</v>
      </c>
      <c r="DX19" s="44" t="b">
        <f t="shared" ref="DX19:DX24" si="44">ROUND(DB19,4)=ROUND(DM19,4)</f>
        <v>1</v>
      </c>
      <c r="DY19" t="b">
        <f t="shared" si="23"/>
        <v>1</v>
      </c>
      <c r="DZ19" t="b">
        <f t="shared" si="24"/>
        <v>1</v>
      </c>
      <c r="EA19" t="b">
        <f t="shared" si="25"/>
        <v>1</v>
      </c>
      <c r="EB19" t="b">
        <f t="shared" si="26"/>
        <v>1</v>
      </c>
      <c r="EC19" t="b">
        <f t="shared" si="27"/>
        <v>1</v>
      </c>
      <c r="ED19" t="b">
        <f t="shared" si="28"/>
        <v>1</v>
      </c>
      <c r="EE19" t="b">
        <f t="shared" si="29"/>
        <v>1</v>
      </c>
      <c r="EF19" t="b">
        <f t="shared" si="30"/>
        <v>1</v>
      </c>
      <c r="EG19" t="b">
        <f t="shared" si="31"/>
        <v>1</v>
      </c>
      <c r="EH19" s="45" t="b">
        <f t="shared" si="32"/>
        <v>1</v>
      </c>
      <c r="EJ19" s="73">
        <f>EJ18+0.1</f>
        <v>0.2</v>
      </c>
      <c r="EK19" s="39">
        <v>18.914018616711669</v>
      </c>
      <c r="EL19" s="11">
        <v>22.822243638255685</v>
      </c>
      <c r="EM19" s="11">
        <v>22.822243566757976</v>
      </c>
      <c r="EN19" s="11">
        <v>20.434827643823187</v>
      </c>
      <c r="EO19" s="11">
        <v>23.074075353606336</v>
      </c>
      <c r="EP19" s="11">
        <v>21.850936754524014</v>
      </c>
      <c r="EQ19" s="11">
        <v>21.528445340221143</v>
      </c>
      <c r="ER19" s="11">
        <v>20.183674265637588</v>
      </c>
      <c r="ES19" s="11">
        <v>21.959548950195313</v>
      </c>
      <c r="ET19" s="11">
        <v>20.085706659009787</v>
      </c>
      <c r="EU19" s="11">
        <v>20.086335271301838</v>
      </c>
      <c r="EV19" s="52">
        <v>18.914018616711701</v>
      </c>
      <c r="EW19" s="53">
        <v>22.8222436382556</v>
      </c>
      <c r="EX19" s="53">
        <v>22.8222435667581</v>
      </c>
      <c r="EY19" s="53">
        <v>20.434827643823098</v>
      </c>
      <c r="EZ19" s="53">
        <v>23.074075353606499</v>
      </c>
      <c r="FA19" s="53">
        <v>21.850936754524099</v>
      </c>
      <c r="FB19" s="53">
        <v>21.528445340221101</v>
      </c>
      <c r="FC19" s="53">
        <v>20.183669089666601</v>
      </c>
      <c r="FD19" s="53">
        <v>21.959544413189199</v>
      </c>
      <c r="FE19" s="53">
        <v>20.085705123408498</v>
      </c>
      <c r="FF19" s="54">
        <v>20.086338841690999</v>
      </c>
      <c r="FG19" t="b">
        <f t="shared" ref="FG19:FG26" si="45">ROUND(EK19,3)=ROUND(EV19,3)</f>
        <v>1</v>
      </c>
      <c r="FH19" t="b">
        <f t="shared" si="33"/>
        <v>1</v>
      </c>
      <c r="FI19" t="b">
        <f t="shared" si="33"/>
        <v>1</v>
      </c>
      <c r="FJ19" t="b">
        <f t="shared" si="33"/>
        <v>1</v>
      </c>
      <c r="FK19" t="b">
        <f t="shared" si="33"/>
        <v>1</v>
      </c>
      <c r="FL19" t="b">
        <f t="shared" si="33"/>
        <v>1</v>
      </c>
      <c r="FM19" t="b">
        <f t="shared" si="33"/>
        <v>1</v>
      </c>
      <c r="FN19" t="b">
        <f t="shared" si="33"/>
        <v>1</v>
      </c>
      <c r="FO19" t="b">
        <f t="shared" si="33"/>
        <v>1</v>
      </c>
      <c r="FP19" t="b">
        <f t="shared" si="33"/>
        <v>1</v>
      </c>
      <c r="FQ19" s="45" t="b">
        <f t="shared" si="33"/>
        <v>1</v>
      </c>
    </row>
    <row r="20" spans="1:173" x14ac:dyDescent="0.25">
      <c r="A20" s="1">
        <f t="shared" si="34"/>
        <v>12</v>
      </c>
      <c r="B20" s="23">
        <v>0.86799143089167208</v>
      </c>
      <c r="C20" s="8">
        <v>0.90616094948307169</v>
      </c>
      <c r="D20" s="8">
        <v>0.90616094926362856</v>
      </c>
      <c r="E20" s="8">
        <v>0.87968852365130779</v>
      </c>
      <c r="F20" s="8">
        <v>0.91263785909377315</v>
      </c>
      <c r="G20" s="8">
        <v>0.90927103342185089</v>
      </c>
      <c r="H20" s="8">
        <v>0.91408795557997735</v>
      </c>
      <c r="I20" s="8">
        <v>0.91145392635411837</v>
      </c>
      <c r="J20" s="8">
        <v>0.91451259633599458</v>
      </c>
      <c r="K20" s="8">
        <v>0.91290265751694288</v>
      </c>
      <c r="L20" s="8">
        <v>0.91290967487928787</v>
      </c>
      <c r="M20" s="32">
        <v>0.86799143089167197</v>
      </c>
      <c r="N20" s="12">
        <v>0.90616094948307102</v>
      </c>
      <c r="O20" s="12">
        <v>0.906160949263629</v>
      </c>
      <c r="P20" s="12">
        <v>0.87968852365130701</v>
      </c>
      <c r="Q20" s="12">
        <v>0.91263785909377404</v>
      </c>
      <c r="R20" s="12">
        <v>0.909271033421851</v>
      </c>
      <c r="S20" s="12">
        <v>0.91408795557997702</v>
      </c>
      <c r="T20" s="12">
        <v>0.91145392635415501</v>
      </c>
      <c r="U20" s="12">
        <v>0.91451259633597903</v>
      </c>
      <c r="V20" s="12">
        <v>0.912902657516939</v>
      </c>
      <c r="W20" s="33">
        <v>0.91290967487928498</v>
      </c>
      <c r="X20" t="b">
        <f t="shared" ref="X20:X58" si="46">ROUND(B20,6)=ROUND(M20,6)</f>
        <v>1</v>
      </c>
      <c r="Y20" t="b">
        <f t="shared" si="35"/>
        <v>1</v>
      </c>
      <c r="Z20" t="b">
        <f t="shared" si="36"/>
        <v>1</v>
      </c>
      <c r="AA20" t="b">
        <f t="shared" si="37"/>
        <v>1</v>
      </c>
      <c r="AB20" t="b">
        <f t="shared" si="38"/>
        <v>1</v>
      </c>
      <c r="AC20" t="b">
        <f t="shared" si="39"/>
        <v>1</v>
      </c>
      <c r="AD20" t="b">
        <f t="shared" si="40"/>
        <v>1</v>
      </c>
      <c r="AE20" t="b">
        <f t="shared" si="41"/>
        <v>1</v>
      </c>
      <c r="AF20" t="b">
        <f t="shared" si="42"/>
        <v>1</v>
      </c>
      <c r="AG20" t="b">
        <f t="shared" si="1"/>
        <v>1</v>
      </c>
      <c r="AH20" t="b">
        <f t="shared" si="2"/>
        <v>1</v>
      </c>
      <c r="AJ20" s="23">
        <v>0.14157343661513522</v>
      </c>
      <c r="AK20" s="8">
        <v>9.8538340280711179E-2</v>
      </c>
      <c r="AL20" s="8">
        <v>9.8538340522879089E-2</v>
      </c>
      <c r="AM20" s="8">
        <v>0.12818738456135254</v>
      </c>
      <c r="AN20" s="8">
        <v>9.1416126477762066E-2</v>
      </c>
      <c r="AO20" s="8">
        <v>9.5112062666785124E-2</v>
      </c>
      <c r="AP20" s="8">
        <v>8.9828480669999447E-2</v>
      </c>
      <c r="AQ20" s="8">
        <v>9.2714233201723825E-2</v>
      </c>
      <c r="AR20" s="8">
        <v>8.9364037231868046E-2</v>
      </c>
      <c r="AS20" s="8">
        <v>9.1126022344090493E-2</v>
      </c>
      <c r="AT20" s="8">
        <v>9.1118335505503079E-2</v>
      </c>
      <c r="AU20" s="32">
        <v>0.141573436615135</v>
      </c>
      <c r="AV20" s="12">
        <v>9.85383402807119E-2</v>
      </c>
      <c r="AW20" s="12">
        <v>9.8538340522878395E-2</v>
      </c>
      <c r="AX20" s="12">
        <v>0.12818738456135301</v>
      </c>
      <c r="AY20" s="12">
        <v>9.1416126477761095E-2</v>
      </c>
      <c r="AZ20" s="12">
        <v>9.5112062666784403E-2</v>
      </c>
      <c r="BA20" s="12">
        <v>8.9828480670000196E-2</v>
      </c>
      <c r="BB20" s="12">
        <v>9.2714233201683899E-2</v>
      </c>
      <c r="BC20" s="12">
        <v>8.9364037231884505E-2</v>
      </c>
      <c r="BD20" s="12">
        <v>9.1126022344094698E-2</v>
      </c>
      <c r="BE20" s="33">
        <v>9.1118335505506604E-2</v>
      </c>
      <c r="BF20" s="44" t="b">
        <f t="shared" ref="BF20:BF58" si="47">ROUND(AJ20,6)=ROUND(AU20,6)</f>
        <v>1</v>
      </c>
      <c r="BG20" t="b">
        <f t="shared" si="3"/>
        <v>1</v>
      </c>
      <c r="BH20" t="b">
        <f t="shared" si="4"/>
        <v>1</v>
      </c>
      <c r="BI20" t="b">
        <f t="shared" si="5"/>
        <v>1</v>
      </c>
      <c r="BJ20" t="b">
        <f t="shared" si="6"/>
        <v>1</v>
      </c>
      <c r="BK20" t="b">
        <f t="shared" si="7"/>
        <v>1</v>
      </c>
      <c r="BL20" t="b">
        <f t="shared" si="8"/>
        <v>1</v>
      </c>
      <c r="BM20" t="b">
        <f t="shared" si="9"/>
        <v>1</v>
      </c>
      <c r="BN20" t="b">
        <f t="shared" si="10"/>
        <v>1</v>
      </c>
      <c r="BO20" t="b">
        <f t="shared" si="11"/>
        <v>1</v>
      </c>
      <c r="BP20" s="45" t="b">
        <f t="shared" si="12"/>
        <v>1</v>
      </c>
      <c r="BR20" s="1">
        <f t="shared" si="43"/>
        <v>12</v>
      </c>
      <c r="BS20" s="23">
        <v>1.17977863845946E-2</v>
      </c>
      <c r="BT20" s="8">
        <v>1.0441117900937828E-2</v>
      </c>
      <c r="BU20" s="8">
        <v>1.0441117946088894E-2</v>
      </c>
      <c r="BV20" s="8">
        <v>1.1015253286489106E-2</v>
      </c>
      <c r="BW20" s="8">
        <v>1.0558880189037098E-2</v>
      </c>
      <c r="BX20" s="8">
        <v>1.1586693859178277E-2</v>
      </c>
      <c r="BY20" s="8">
        <v>1.2838773629370597E-2</v>
      </c>
      <c r="BZ20" s="8">
        <v>1.5282890516750833E-2</v>
      </c>
      <c r="CA20" s="8">
        <v>1.2203878418469056E-2</v>
      </c>
      <c r="CB20" s="8">
        <v>1.548580632422842E-2</v>
      </c>
      <c r="CC20" s="8">
        <v>1.5484292235131786E-2</v>
      </c>
      <c r="CD20" s="32">
        <v>1.17977863845946E-2</v>
      </c>
      <c r="CE20" s="12">
        <v>1.04411179009379E-2</v>
      </c>
      <c r="CF20" s="12">
        <v>1.0441117946088801E-2</v>
      </c>
      <c r="CG20" s="12">
        <v>1.10152532864892E-2</v>
      </c>
      <c r="CH20" s="12">
        <v>1.0558880189036999E-2</v>
      </c>
      <c r="CI20" s="12">
        <v>1.1586693859178199E-2</v>
      </c>
      <c r="CJ20" s="12">
        <v>1.28387736293706E-2</v>
      </c>
      <c r="CK20" s="12">
        <v>1.52828905167502E-2</v>
      </c>
      <c r="CL20" s="12">
        <v>1.22038784184695E-2</v>
      </c>
      <c r="CM20" s="12">
        <v>1.5485806324228499E-2</v>
      </c>
      <c r="CN20" s="33">
        <v>1.54842922351318E-2</v>
      </c>
      <c r="CO20" t="b">
        <f t="shared" ref="CO20:CO58" si="48">ROUND(BS20,6)=ROUND(CD20,6)</f>
        <v>1</v>
      </c>
      <c r="CP20" t="b">
        <f t="shared" si="13"/>
        <v>1</v>
      </c>
      <c r="CQ20" t="b">
        <f t="shared" si="14"/>
        <v>1</v>
      </c>
      <c r="CR20" t="b">
        <f t="shared" si="15"/>
        <v>1</v>
      </c>
      <c r="CS20" t="b">
        <f t="shared" si="16"/>
        <v>1</v>
      </c>
      <c r="CT20" t="b">
        <f t="shared" si="17"/>
        <v>1</v>
      </c>
      <c r="CU20" t="b">
        <f t="shared" si="18"/>
        <v>1</v>
      </c>
      <c r="CV20" t="b">
        <f t="shared" si="19"/>
        <v>1</v>
      </c>
      <c r="CW20" t="b">
        <f t="shared" si="20"/>
        <v>1</v>
      </c>
      <c r="CX20" t="b">
        <f t="shared" si="21"/>
        <v>1</v>
      </c>
      <c r="CY20" t="b">
        <f t="shared" si="22"/>
        <v>1</v>
      </c>
      <c r="DA20" s="73">
        <v>24</v>
      </c>
      <c r="DB20" s="68">
        <v>20.901453386649543</v>
      </c>
      <c r="DC20" s="55">
        <v>21.667565415833597</v>
      </c>
      <c r="DD20" s="55">
        <v>21.66756540935004</v>
      </c>
      <c r="DE20" s="55">
        <v>21.145284693388128</v>
      </c>
      <c r="DF20" s="55">
        <v>21.783341370556499</v>
      </c>
      <c r="DG20" s="55">
        <v>21.672193781999816</v>
      </c>
      <c r="DH20" s="55">
        <v>21.747232077342897</v>
      </c>
      <c r="DI20" s="55">
        <v>21.639663162540707</v>
      </c>
      <c r="DJ20" s="55">
        <v>21.773297858816136</v>
      </c>
      <c r="DK20" s="55">
        <v>21.642034131802021</v>
      </c>
      <c r="DL20" s="55">
        <v>21.642132696884964</v>
      </c>
      <c r="DM20" s="88">
        <v>20.9014528888999</v>
      </c>
      <c r="DN20" s="89">
        <v>21.6675657211564</v>
      </c>
      <c r="DO20" s="89">
        <v>21.667565714672801</v>
      </c>
      <c r="DP20" s="89">
        <v>21.145284460182999</v>
      </c>
      <c r="DQ20" s="89">
        <v>21.783341715108801</v>
      </c>
      <c r="DR20" s="89">
        <v>21.672194153649102</v>
      </c>
      <c r="DS20" s="89">
        <v>21.747232459401701</v>
      </c>
      <c r="DT20" s="89">
        <v>21.639663552598901</v>
      </c>
      <c r="DU20" s="89">
        <v>21.7732982339712</v>
      </c>
      <c r="DV20" s="89">
        <v>21.642034528881901</v>
      </c>
      <c r="DW20" s="90">
        <v>21.642133093998002</v>
      </c>
      <c r="DX20" s="44" t="b">
        <f t="shared" si="44"/>
        <v>1</v>
      </c>
      <c r="DY20" t="b">
        <f t="shared" si="23"/>
        <v>1</v>
      </c>
      <c r="DZ20" t="b">
        <f t="shared" si="24"/>
        <v>1</v>
      </c>
      <c r="EA20" t="b">
        <f t="shared" si="25"/>
        <v>1</v>
      </c>
      <c r="EB20" t="b">
        <f t="shared" si="26"/>
        <v>1</v>
      </c>
      <c r="EC20" t="b">
        <f t="shared" si="27"/>
        <v>1</v>
      </c>
      <c r="ED20" t="b">
        <f t="shared" si="28"/>
        <v>1</v>
      </c>
      <c r="EE20" t="b">
        <f t="shared" si="29"/>
        <v>1</v>
      </c>
      <c r="EF20" t="b">
        <f t="shared" si="30"/>
        <v>1</v>
      </c>
      <c r="EG20" t="b">
        <f t="shared" si="31"/>
        <v>1</v>
      </c>
      <c r="EH20" s="45" t="b">
        <f t="shared" si="32"/>
        <v>1</v>
      </c>
      <c r="EJ20" s="73">
        <f t="shared" ref="EJ20:EJ26" si="49">EJ19+0.1</f>
        <v>0.30000000000000004</v>
      </c>
      <c r="EK20" s="39">
        <v>30.232361589838078</v>
      </c>
      <c r="EL20" s="11">
        <v>33.002826729853155</v>
      </c>
      <c r="EM20" s="11">
        <v>33.002826603737041</v>
      </c>
      <c r="EN20" s="11">
        <v>31.709445435736541</v>
      </c>
      <c r="EO20" s="11">
        <v>32.850022596278052</v>
      </c>
      <c r="EP20" s="11">
        <v>31.061185586063971</v>
      </c>
      <c r="EQ20" s="11">
        <v>30.652068725684195</v>
      </c>
      <c r="ER20" s="11">
        <v>28.963965408751001</v>
      </c>
      <c r="ES20" s="11">
        <v>31.254501342773438</v>
      </c>
      <c r="ET20" s="11">
        <v>28.674188288663593</v>
      </c>
      <c r="EU20" s="11">
        <v>28.674197596808085</v>
      </c>
      <c r="EV20" s="52">
        <v>30.232361589838099</v>
      </c>
      <c r="EW20" s="53">
        <v>33.002826729853098</v>
      </c>
      <c r="EX20" s="53">
        <v>33.002826603737297</v>
      </c>
      <c r="EY20" s="53">
        <v>31.709445435736399</v>
      </c>
      <c r="EZ20" s="53">
        <v>32.850022596278201</v>
      </c>
      <c r="FA20" s="53">
        <v>31.061185586063999</v>
      </c>
      <c r="FB20" s="53">
        <v>30.652068725684099</v>
      </c>
      <c r="FC20" s="53">
        <v>28.963957403875</v>
      </c>
      <c r="FD20" s="53">
        <v>31.2545034178695</v>
      </c>
      <c r="FE20" s="53">
        <v>28.674194903139501</v>
      </c>
      <c r="FF20" s="54">
        <v>28.674199653908701</v>
      </c>
      <c r="FG20" t="b">
        <f t="shared" si="45"/>
        <v>1</v>
      </c>
      <c r="FH20" t="b">
        <f t="shared" si="33"/>
        <v>1</v>
      </c>
      <c r="FI20" t="b">
        <f t="shared" si="33"/>
        <v>1</v>
      </c>
      <c r="FJ20" t="b">
        <f t="shared" si="33"/>
        <v>1</v>
      </c>
      <c r="FK20" t="b">
        <f t="shared" si="33"/>
        <v>1</v>
      </c>
      <c r="FL20" t="b">
        <f t="shared" si="33"/>
        <v>1</v>
      </c>
      <c r="FM20" t="b">
        <f t="shared" si="33"/>
        <v>1</v>
      </c>
      <c r="FN20" t="b">
        <f t="shared" si="33"/>
        <v>1</v>
      </c>
      <c r="FO20" t="b">
        <f t="shared" si="33"/>
        <v>1</v>
      </c>
      <c r="FP20" t="b">
        <f t="shared" si="33"/>
        <v>1</v>
      </c>
      <c r="FQ20" s="45" t="b">
        <f t="shared" si="33"/>
        <v>1</v>
      </c>
    </row>
    <row r="21" spans="1:173" x14ac:dyDescent="0.25">
      <c r="A21" s="1">
        <f t="shared" si="34"/>
        <v>18</v>
      </c>
      <c r="B21" s="23">
        <v>0.80867339740812028</v>
      </c>
      <c r="C21" s="8">
        <v>0.84788572870825041</v>
      </c>
      <c r="D21" s="8">
        <v>0.84788572822975883</v>
      </c>
      <c r="E21" s="8">
        <v>0.82258041131295323</v>
      </c>
      <c r="F21" s="8">
        <v>0.85253509079810563</v>
      </c>
      <c r="G21" s="8">
        <v>0.84335414002290043</v>
      </c>
      <c r="H21" s="8">
        <v>0.84190865674819038</v>
      </c>
      <c r="I21" s="8">
        <v>0.82843913468216002</v>
      </c>
      <c r="J21" s="8">
        <v>0.84549756913482899</v>
      </c>
      <c r="K21" s="8">
        <v>0.82790240881480626</v>
      </c>
      <c r="L21" s="8">
        <v>0.82791175174245279</v>
      </c>
      <c r="M21" s="32">
        <v>0.80867339740812005</v>
      </c>
      <c r="N21" s="12">
        <v>0.84788572870824996</v>
      </c>
      <c r="O21" s="12">
        <v>0.84788572822976005</v>
      </c>
      <c r="P21" s="12">
        <v>0.82258041131295301</v>
      </c>
      <c r="Q21" s="12">
        <v>0.85253509079810696</v>
      </c>
      <c r="R21" s="12">
        <v>0.84335414002290099</v>
      </c>
      <c r="S21" s="12">
        <v>0.84190865674819004</v>
      </c>
      <c r="T21" s="12">
        <v>0.82843913468222896</v>
      </c>
      <c r="U21" s="12">
        <v>0.84549756913479301</v>
      </c>
      <c r="V21" s="12">
        <v>0.82790240881480504</v>
      </c>
      <c r="W21" s="33">
        <v>0.82791175174245302</v>
      </c>
      <c r="X21" t="b">
        <f t="shared" si="46"/>
        <v>1</v>
      </c>
      <c r="Y21" t="b">
        <f t="shared" ref="Y21:Y58" si="50">ROUND(C21,6)=ROUND(N21,6)</f>
        <v>1</v>
      </c>
      <c r="Z21" t="b">
        <f t="shared" ref="Z21:Z58" si="51">ROUND(D21,6)=ROUND(O21,6)</f>
        <v>1</v>
      </c>
      <c r="AA21" t="b">
        <f t="shared" ref="AA21:AA58" si="52">ROUND(E21,6)=ROUND(P21,6)</f>
        <v>1</v>
      </c>
      <c r="AB21" t="b">
        <f t="shared" ref="AB21:AB58" si="53">ROUND(F21,6)=ROUND(Q21,6)</f>
        <v>1</v>
      </c>
      <c r="AC21" t="b">
        <f t="shared" ref="AC21:AC58" si="54">ROUND(G21,6)=ROUND(R21,6)</f>
        <v>1</v>
      </c>
      <c r="AD21" t="b">
        <f t="shared" ref="AD21:AD58" si="55">ROUND(H21,6)=ROUND(S21,6)</f>
        <v>1</v>
      </c>
      <c r="AE21" t="b">
        <f t="shared" ref="AE21:AE58" si="56">ROUND(I21,6)=ROUND(T21,6)</f>
        <v>1</v>
      </c>
      <c r="AF21" t="b">
        <f t="shared" ref="AF21:AF58" si="57">ROUND(J21,6)=ROUND(U21,6)</f>
        <v>1</v>
      </c>
      <c r="AG21" t="b">
        <f t="shared" si="1"/>
        <v>1</v>
      </c>
      <c r="AH21" t="b">
        <f t="shared" si="2"/>
        <v>1</v>
      </c>
      <c r="AJ21" s="23">
        <v>0.2123601549227028</v>
      </c>
      <c r="AK21" s="8">
        <v>0.16500940615213425</v>
      </c>
      <c r="AL21" s="8">
        <v>0.16500940671646921</v>
      </c>
      <c r="AM21" s="8">
        <v>0.19530903660701987</v>
      </c>
      <c r="AN21" s="8">
        <v>0.15954090844508953</v>
      </c>
      <c r="AO21" s="8">
        <v>0.17036831426911514</v>
      </c>
      <c r="AP21" s="8">
        <v>0.17208375429657241</v>
      </c>
      <c r="AQ21" s="8">
        <v>0.1882119092895313</v>
      </c>
      <c r="AR21" s="8">
        <v>0.16782998570993077</v>
      </c>
      <c r="AS21" s="8">
        <v>0.18885999529358899</v>
      </c>
      <c r="AT21" s="8">
        <v>0.1888487102981237</v>
      </c>
      <c r="AU21" s="32">
        <v>0.21236015492270299</v>
      </c>
      <c r="AV21" s="12">
        <v>0.165009406152135</v>
      </c>
      <c r="AW21" s="12">
        <v>0.16500940671646799</v>
      </c>
      <c r="AX21" s="12">
        <v>0.19530903660702101</v>
      </c>
      <c r="AY21" s="12">
        <v>0.159540908445088</v>
      </c>
      <c r="AZ21" s="12">
        <v>0.170368314269114</v>
      </c>
      <c r="BA21" s="12">
        <v>0.17208375429657299</v>
      </c>
      <c r="BB21" s="12">
        <v>0.188211909289449</v>
      </c>
      <c r="BC21" s="12">
        <v>0.16782998570997301</v>
      </c>
      <c r="BD21" s="12">
        <v>0.18885999529359099</v>
      </c>
      <c r="BE21" s="33">
        <v>0.188848710298123</v>
      </c>
      <c r="BF21" s="44" t="b">
        <f t="shared" si="47"/>
        <v>1</v>
      </c>
      <c r="BG21" t="b">
        <f t="shared" si="3"/>
        <v>1</v>
      </c>
      <c r="BH21" t="b">
        <f t="shared" si="4"/>
        <v>1</v>
      </c>
      <c r="BI21" t="b">
        <f t="shared" si="5"/>
        <v>1</v>
      </c>
      <c r="BJ21" t="b">
        <f t="shared" si="6"/>
        <v>1</v>
      </c>
      <c r="BK21" t="b">
        <f t="shared" si="7"/>
        <v>1</v>
      </c>
      <c r="BL21" t="b">
        <f t="shared" si="8"/>
        <v>1</v>
      </c>
      <c r="BM21" t="b">
        <f t="shared" si="9"/>
        <v>1</v>
      </c>
      <c r="BN21" t="b">
        <f t="shared" si="10"/>
        <v>1</v>
      </c>
      <c r="BO21" t="b">
        <f t="shared" si="11"/>
        <v>1</v>
      </c>
      <c r="BP21" s="45" t="b">
        <f t="shared" si="12"/>
        <v>1</v>
      </c>
      <c r="BR21" s="1">
        <f t="shared" si="43"/>
        <v>18</v>
      </c>
      <c r="BS21" s="23">
        <v>1.17977863845946E-2</v>
      </c>
      <c r="BT21" s="8">
        <v>1.1656259275933313E-2</v>
      </c>
      <c r="BU21" s="8">
        <v>1.165625933755725E-2</v>
      </c>
      <c r="BV21" s="8">
        <v>1.1360405538853299E-2</v>
      </c>
      <c r="BW21" s="8">
        <v>1.2054393531741281E-2</v>
      </c>
      <c r="BX21" s="8">
        <v>1.3336480378983172E-2</v>
      </c>
      <c r="BY21" s="8">
        <v>1.4302039487998144E-2</v>
      </c>
      <c r="BZ21" s="8">
        <v>1.6081594197464365E-2</v>
      </c>
      <c r="CA21" s="8">
        <v>1.3722179695751813E-2</v>
      </c>
      <c r="CB21" s="8">
        <v>1.6525389339655465E-2</v>
      </c>
      <c r="CC21" s="8">
        <v>1.6525617479635865E-2</v>
      </c>
      <c r="CD21" s="32">
        <v>1.17977863845946E-2</v>
      </c>
      <c r="CE21" s="12">
        <v>1.1656259275933299E-2</v>
      </c>
      <c r="CF21" s="12">
        <v>1.1656259337557101E-2</v>
      </c>
      <c r="CG21" s="12">
        <v>1.13604055388534E-2</v>
      </c>
      <c r="CH21" s="12">
        <v>1.20543935317412E-2</v>
      </c>
      <c r="CI21" s="12">
        <v>1.33364803789831E-2</v>
      </c>
      <c r="CJ21" s="12">
        <v>1.4302039487998099E-2</v>
      </c>
      <c r="CK21" s="12">
        <v>1.6081594197462998E-2</v>
      </c>
      <c r="CL21" s="12">
        <v>1.3722179695752601E-2</v>
      </c>
      <c r="CM21" s="12">
        <v>1.65253893396555E-2</v>
      </c>
      <c r="CN21" s="33">
        <v>1.6525617479635799E-2</v>
      </c>
      <c r="CO21" t="b">
        <f t="shared" si="48"/>
        <v>1</v>
      </c>
      <c r="CP21" t="b">
        <f t="shared" si="13"/>
        <v>1</v>
      </c>
      <c r="CQ21" t="b">
        <f t="shared" si="14"/>
        <v>1</v>
      </c>
      <c r="CR21" t="b">
        <f t="shared" si="15"/>
        <v>1</v>
      </c>
      <c r="CS21" t="b">
        <f t="shared" si="16"/>
        <v>1</v>
      </c>
      <c r="CT21" t="b">
        <f t="shared" si="17"/>
        <v>1</v>
      </c>
      <c r="CU21" t="b">
        <f t="shared" si="18"/>
        <v>1</v>
      </c>
      <c r="CV21" t="b">
        <f t="shared" si="19"/>
        <v>1</v>
      </c>
      <c r="CW21" t="b">
        <f t="shared" si="20"/>
        <v>1</v>
      </c>
      <c r="CX21" t="b">
        <f t="shared" si="21"/>
        <v>1</v>
      </c>
      <c r="CY21" t="b">
        <f t="shared" si="22"/>
        <v>1</v>
      </c>
      <c r="DA21" s="73">
        <v>36</v>
      </c>
      <c r="DB21" s="68">
        <v>29.331548309534739</v>
      </c>
      <c r="DC21" s="55">
        <v>30.419887129921435</v>
      </c>
      <c r="DD21" s="55">
        <v>30.419887110653075</v>
      </c>
      <c r="DE21" s="55">
        <v>29.725696810030577</v>
      </c>
      <c r="DF21" s="55">
        <v>30.531589687262162</v>
      </c>
      <c r="DG21" s="55">
        <v>30.213774858485859</v>
      </c>
      <c r="DH21" s="55">
        <v>30.239933749827003</v>
      </c>
      <c r="DI21" s="55">
        <v>29.935016119080309</v>
      </c>
      <c r="DJ21" s="55">
        <v>30.33737370398968</v>
      </c>
      <c r="DK21" s="55">
        <v>29.90289120209917</v>
      </c>
      <c r="DL21" s="55">
        <v>29.902973362484982</v>
      </c>
      <c r="DM21" s="88">
        <v>29.331547999381002</v>
      </c>
      <c r="DN21" s="89">
        <v>30.419887771925499</v>
      </c>
      <c r="DO21" s="89">
        <v>30.4198877526572</v>
      </c>
      <c r="DP21" s="89">
        <v>29.725696008561801</v>
      </c>
      <c r="DQ21" s="89">
        <v>30.531590412910798</v>
      </c>
      <c r="DR21" s="89">
        <v>30.213775585072199</v>
      </c>
      <c r="DS21" s="89">
        <v>30.239934453024201</v>
      </c>
      <c r="DT21" s="89">
        <v>29.935016754335301</v>
      </c>
      <c r="DU21" s="89">
        <v>30.337374417628901</v>
      </c>
      <c r="DV21" s="89">
        <v>29.9028918315806</v>
      </c>
      <c r="DW21" s="90">
        <v>29.902973992041598</v>
      </c>
      <c r="DX21" s="44" t="b">
        <f t="shared" si="44"/>
        <v>1</v>
      </c>
      <c r="DY21" t="b">
        <f t="shared" si="23"/>
        <v>1</v>
      </c>
      <c r="DZ21" t="b">
        <f t="shared" si="24"/>
        <v>1</v>
      </c>
      <c r="EA21" t="b">
        <f t="shared" si="25"/>
        <v>1</v>
      </c>
      <c r="EB21" t="b">
        <f t="shared" si="26"/>
        <v>1</v>
      </c>
      <c r="EC21" t="b">
        <f t="shared" si="27"/>
        <v>1</v>
      </c>
      <c r="ED21" t="b">
        <f t="shared" si="28"/>
        <v>1</v>
      </c>
      <c r="EE21" t="b">
        <f t="shared" si="29"/>
        <v>1</v>
      </c>
      <c r="EF21" t="b">
        <f t="shared" si="30"/>
        <v>1</v>
      </c>
      <c r="EG21" t="b">
        <f t="shared" si="31"/>
        <v>1</v>
      </c>
      <c r="EH21" s="45" t="b">
        <f t="shared" si="32"/>
        <v>1</v>
      </c>
      <c r="EJ21" s="73">
        <f t="shared" si="49"/>
        <v>0.4</v>
      </c>
      <c r="EK21" s="39">
        <v>43.298429647193842</v>
      </c>
      <c r="EL21" s="11">
        <v>43.776300546356765</v>
      </c>
      <c r="EM21" s="11">
        <v>43.776300355985491</v>
      </c>
      <c r="EN21" s="11">
        <v>43.960783651510553</v>
      </c>
      <c r="EO21" s="11">
        <v>43.293141451903054</v>
      </c>
      <c r="EP21" s="11">
        <v>41.441020998166621</v>
      </c>
      <c r="EQ21" s="11">
        <v>41.454787996802324</v>
      </c>
      <c r="ER21" s="11">
        <v>40.466914456165597</v>
      </c>
      <c r="ES21" s="11">
        <v>42.003570556640625</v>
      </c>
      <c r="ET21" s="11">
        <v>40.138322509262572</v>
      </c>
      <c r="EU21" s="11">
        <v>40.136744443079706</v>
      </c>
      <c r="EV21" s="52">
        <v>43.298429647193799</v>
      </c>
      <c r="EW21" s="53">
        <v>43.776300546356701</v>
      </c>
      <c r="EX21" s="53">
        <v>43.776300355985903</v>
      </c>
      <c r="EY21" s="53">
        <v>43.960783651510397</v>
      </c>
      <c r="EZ21" s="53">
        <v>43.293141451903303</v>
      </c>
      <c r="FA21" s="53">
        <v>41.441020998166699</v>
      </c>
      <c r="FB21" s="53">
        <v>41.454787996802303</v>
      </c>
      <c r="FC21" s="53">
        <v>40.466901055107101</v>
      </c>
      <c r="FD21" s="53">
        <v>42.003562386836201</v>
      </c>
      <c r="FE21" s="53">
        <v>40.1383207751444</v>
      </c>
      <c r="FF21" s="54">
        <v>40.136757121530799</v>
      </c>
      <c r="FG21" t="b">
        <f t="shared" si="45"/>
        <v>1</v>
      </c>
      <c r="FH21" t="b">
        <f t="shared" si="33"/>
        <v>1</v>
      </c>
      <c r="FI21" t="b">
        <f t="shared" si="33"/>
        <v>1</v>
      </c>
      <c r="FJ21" t="b">
        <f t="shared" si="33"/>
        <v>1</v>
      </c>
      <c r="FK21" t="b">
        <f t="shared" si="33"/>
        <v>1</v>
      </c>
      <c r="FL21" t="b">
        <f t="shared" si="33"/>
        <v>1</v>
      </c>
      <c r="FM21" t="b">
        <f t="shared" si="33"/>
        <v>1</v>
      </c>
      <c r="FN21" t="b">
        <f t="shared" si="33"/>
        <v>1</v>
      </c>
      <c r="FO21" t="b">
        <f t="shared" si="33"/>
        <v>1</v>
      </c>
      <c r="FP21" t="b">
        <f t="shared" si="33"/>
        <v>1</v>
      </c>
      <c r="FQ21" s="45" t="b">
        <f t="shared" si="33"/>
        <v>1</v>
      </c>
    </row>
    <row r="22" spans="1:173" x14ac:dyDescent="0.25">
      <c r="A22" s="1">
        <f t="shared" si="34"/>
        <v>24</v>
      </c>
      <c r="B22" s="23">
        <v>0.7534091241013724</v>
      </c>
      <c r="C22" s="8">
        <v>0.78829175278668295</v>
      </c>
      <c r="D22" s="8">
        <v>0.7882917520172964</v>
      </c>
      <c r="E22" s="8">
        <v>0.7675636430930971</v>
      </c>
      <c r="F22" s="8">
        <v>0.79039216359708342</v>
      </c>
      <c r="G22" s="8">
        <v>0.77600449969343765</v>
      </c>
      <c r="H22" s="8">
        <v>0.77157621571700308</v>
      </c>
      <c r="I22" s="8">
        <v>0.75369079603473288</v>
      </c>
      <c r="J22" s="8">
        <v>0.77709385094389527</v>
      </c>
      <c r="K22" s="8">
        <v>0.75140750151609392</v>
      </c>
      <c r="L22" s="8">
        <v>0.75141246653476479</v>
      </c>
      <c r="M22" s="32">
        <v>0.75340912410137195</v>
      </c>
      <c r="N22" s="12">
        <v>0.78829175278668195</v>
      </c>
      <c r="O22" s="12">
        <v>0.78829175201729795</v>
      </c>
      <c r="P22" s="12">
        <v>0.76756364309309599</v>
      </c>
      <c r="Q22" s="12">
        <v>0.79039216359708497</v>
      </c>
      <c r="R22" s="12">
        <v>0.77600449969343799</v>
      </c>
      <c r="S22" s="12">
        <v>0.77157621571700197</v>
      </c>
      <c r="T22" s="12">
        <v>0.75369079603475098</v>
      </c>
      <c r="U22" s="12">
        <v>0.77709385094385797</v>
      </c>
      <c r="V22" s="12">
        <v>0.75140750151609104</v>
      </c>
      <c r="W22" s="33">
        <v>0.75141246653476501</v>
      </c>
      <c r="X22" t="b">
        <f t="shared" si="46"/>
        <v>1</v>
      </c>
      <c r="Y22" t="b">
        <f t="shared" si="50"/>
        <v>1</v>
      </c>
      <c r="Z22" t="b">
        <f t="shared" si="51"/>
        <v>1</v>
      </c>
      <c r="AA22" t="b">
        <f t="shared" si="52"/>
        <v>1</v>
      </c>
      <c r="AB22" t="b">
        <f t="shared" si="53"/>
        <v>1</v>
      </c>
      <c r="AC22" t="b">
        <f t="shared" si="54"/>
        <v>1</v>
      </c>
      <c r="AD22" t="b">
        <f t="shared" si="55"/>
        <v>1</v>
      </c>
      <c r="AE22" t="b">
        <f t="shared" si="56"/>
        <v>1</v>
      </c>
      <c r="AF22" t="b">
        <f t="shared" si="57"/>
        <v>1</v>
      </c>
      <c r="AG22" t="b">
        <f t="shared" si="1"/>
        <v>1</v>
      </c>
      <c r="AH22" t="b">
        <f t="shared" si="2"/>
        <v>1</v>
      </c>
      <c r="AJ22" s="23">
        <v>0.28314687323027043</v>
      </c>
      <c r="AK22" s="8">
        <v>0.23788701299474535</v>
      </c>
      <c r="AL22" s="8">
        <v>0.23788701397076292</v>
      </c>
      <c r="AM22" s="8">
        <v>0.26453388036180409</v>
      </c>
      <c r="AN22" s="8">
        <v>0.23522604707500197</v>
      </c>
      <c r="AO22" s="8">
        <v>0.25359696024171247</v>
      </c>
      <c r="AP22" s="8">
        <v>0.25931982305369328</v>
      </c>
      <c r="AQ22" s="8">
        <v>0.28277307991653355</v>
      </c>
      <c r="AR22" s="8">
        <v>0.25219414962298614</v>
      </c>
      <c r="AS22" s="8">
        <v>0.28580716250629712</v>
      </c>
      <c r="AT22" s="8">
        <v>0.28580055490355505</v>
      </c>
      <c r="AU22" s="32">
        <v>0.28314687323027099</v>
      </c>
      <c r="AV22" s="12">
        <v>0.23788701299474599</v>
      </c>
      <c r="AW22" s="12">
        <v>0.23788701397076101</v>
      </c>
      <c r="AX22" s="12">
        <v>0.26453388036180497</v>
      </c>
      <c r="AY22" s="12">
        <v>0.235226047075</v>
      </c>
      <c r="AZ22" s="12">
        <v>0.25359696024171102</v>
      </c>
      <c r="BA22" s="12">
        <v>0.259319823053694</v>
      </c>
      <c r="BB22" s="12">
        <v>0.28277307991651002</v>
      </c>
      <c r="BC22" s="12">
        <v>0.25219414962303399</v>
      </c>
      <c r="BD22" s="12">
        <v>0.285807162506301</v>
      </c>
      <c r="BE22" s="33">
        <v>0.28580055490355399</v>
      </c>
      <c r="BF22" s="44" t="b">
        <f t="shared" si="47"/>
        <v>1</v>
      </c>
      <c r="BG22" t="b">
        <f t="shared" si="3"/>
        <v>1</v>
      </c>
      <c r="BH22" t="b">
        <f t="shared" si="4"/>
        <v>1</v>
      </c>
      <c r="BI22" t="b">
        <f t="shared" si="5"/>
        <v>1</v>
      </c>
      <c r="BJ22" t="b">
        <f t="shared" si="6"/>
        <v>1</v>
      </c>
      <c r="BK22" t="b">
        <f t="shared" si="7"/>
        <v>1</v>
      </c>
      <c r="BL22" t="b">
        <f t="shared" si="8"/>
        <v>1</v>
      </c>
      <c r="BM22" t="b">
        <f t="shared" si="9"/>
        <v>1</v>
      </c>
      <c r="BN22" t="b">
        <f t="shared" si="10"/>
        <v>1</v>
      </c>
      <c r="BO22" t="b">
        <f t="shared" si="11"/>
        <v>1</v>
      </c>
      <c r="BP22" s="45" t="b">
        <f t="shared" si="12"/>
        <v>1</v>
      </c>
      <c r="BR22" s="1">
        <f t="shared" si="43"/>
        <v>24</v>
      </c>
      <c r="BS22" s="23">
        <v>1.17977863845946E-2</v>
      </c>
      <c r="BT22" s="8">
        <v>1.2603248353403965E-2</v>
      </c>
      <c r="BU22" s="8">
        <v>1.2603248428640478E-2</v>
      </c>
      <c r="BV22" s="8">
        <v>1.1716372801477691E-2</v>
      </c>
      <c r="BW22" s="8">
        <v>1.3121155636711927E-2</v>
      </c>
      <c r="BX22" s="8">
        <v>1.4302859305964316E-2</v>
      </c>
      <c r="BY22" s="8">
        <v>1.4665364091494626E-2</v>
      </c>
      <c r="BZ22" s="8">
        <v>1.532768900206557E-2</v>
      </c>
      <c r="CA22" s="8">
        <v>1.4298138868545193E-2</v>
      </c>
      <c r="CB22" s="8">
        <v>1.5651067809272091E-2</v>
      </c>
      <c r="CC22" s="8">
        <v>1.5652272062086262E-2</v>
      </c>
      <c r="CD22" s="32">
        <v>1.17977863845946E-2</v>
      </c>
      <c r="CE22" s="12">
        <v>1.2603248353404E-2</v>
      </c>
      <c r="CF22" s="12">
        <v>1.26032484286403E-2</v>
      </c>
      <c r="CG22" s="12">
        <v>1.1716372801477699E-2</v>
      </c>
      <c r="CH22" s="12">
        <v>1.3121155636711899E-2</v>
      </c>
      <c r="CI22" s="12">
        <v>1.43028593059643E-2</v>
      </c>
      <c r="CJ22" s="12">
        <v>1.46653640914946E-2</v>
      </c>
      <c r="CK22" s="12">
        <v>1.5327689002065201E-2</v>
      </c>
      <c r="CL22" s="12">
        <v>1.42981388685462E-2</v>
      </c>
      <c r="CM22" s="12">
        <v>1.5651067809272098E-2</v>
      </c>
      <c r="CN22" s="33">
        <v>1.5652272062086199E-2</v>
      </c>
      <c r="CO22" t="b">
        <f t="shared" si="48"/>
        <v>1</v>
      </c>
      <c r="CP22" t="b">
        <f t="shared" si="13"/>
        <v>1</v>
      </c>
      <c r="CQ22" t="b">
        <f t="shared" si="14"/>
        <v>1</v>
      </c>
      <c r="CR22" t="b">
        <f t="shared" si="15"/>
        <v>1</v>
      </c>
      <c r="CS22" t="b">
        <f t="shared" si="16"/>
        <v>1</v>
      </c>
      <c r="CT22" t="b">
        <f t="shared" si="17"/>
        <v>1</v>
      </c>
      <c r="CU22" t="b">
        <f t="shared" si="18"/>
        <v>1</v>
      </c>
      <c r="CV22" t="b">
        <f t="shared" si="19"/>
        <v>1</v>
      </c>
      <c r="CW22" t="b">
        <f t="shared" si="20"/>
        <v>1</v>
      </c>
      <c r="CX22" t="b">
        <f t="shared" si="21"/>
        <v>1</v>
      </c>
      <c r="CY22" t="b">
        <f t="shared" si="22"/>
        <v>1</v>
      </c>
      <c r="DA22" s="73">
        <v>48</v>
      </c>
      <c r="DB22" s="68">
        <v>36.64879907513081</v>
      </c>
      <c r="DC22" s="55">
        <v>37.816409311855928</v>
      </c>
      <c r="DD22" s="55">
        <v>37.816409273191134</v>
      </c>
      <c r="DE22" s="55">
        <v>37.114782118897054</v>
      </c>
      <c r="DF22" s="55">
        <v>37.880632018374563</v>
      </c>
      <c r="DG22" s="55">
        <v>37.365168393123767</v>
      </c>
      <c r="DH22" s="55">
        <v>37.396580501093453</v>
      </c>
      <c r="DI22" s="55">
        <v>37.013449140871742</v>
      </c>
      <c r="DJ22" s="55">
        <v>37.547981252655717</v>
      </c>
      <c r="DK22" s="55">
        <v>36.955675140588035</v>
      </c>
      <c r="DL22" s="55">
        <v>36.955601177717746</v>
      </c>
      <c r="DM22" s="88">
        <v>36.648798386194201</v>
      </c>
      <c r="DN22" s="89">
        <v>37.816409294576601</v>
      </c>
      <c r="DO22" s="89">
        <v>37.816409255911999</v>
      </c>
      <c r="DP22" s="89">
        <v>37.114781738932997</v>
      </c>
      <c r="DQ22" s="89">
        <v>37.880631999086901</v>
      </c>
      <c r="DR22" s="89">
        <v>37.365168375379199</v>
      </c>
      <c r="DS22" s="89">
        <v>37.396580484267297</v>
      </c>
      <c r="DT22" s="89">
        <v>37.013449978399599</v>
      </c>
      <c r="DU22" s="89">
        <v>37.547981235178703</v>
      </c>
      <c r="DV22" s="89">
        <v>36.955675951932001</v>
      </c>
      <c r="DW22" s="90">
        <v>36.9556019891563</v>
      </c>
      <c r="DX22" s="44" t="b">
        <f t="shared" si="44"/>
        <v>1</v>
      </c>
      <c r="DY22" t="b">
        <f t="shared" si="23"/>
        <v>1</v>
      </c>
      <c r="DZ22" t="b">
        <f t="shared" si="24"/>
        <v>1</v>
      </c>
      <c r="EA22" t="b">
        <f t="shared" si="25"/>
        <v>1</v>
      </c>
      <c r="EB22" t="b">
        <f t="shared" si="26"/>
        <v>1</v>
      </c>
      <c r="EC22" t="b">
        <f t="shared" si="27"/>
        <v>1</v>
      </c>
      <c r="ED22" t="b">
        <f t="shared" si="28"/>
        <v>1</v>
      </c>
      <c r="EE22" t="b">
        <f t="shared" si="29"/>
        <v>1</v>
      </c>
      <c r="EF22" t="b">
        <f t="shared" si="30"/>
        <v>1</v>
      </c>
      <c r="EG22" t="b">
        <f t="shared" si="31"/>
        <v>1</v>
      </c>
      <c r="EH22" s="45" t="b">
        <f t="shared" si="32"/>
        <v>1</v>
      </c>
      <c r="EJ22" s="73">
        <f t="shared" si="49"/>
        <v>0.5</v>
      </c>
      <c r="EK22" s="39">
        <v>58.752308099513321</v>
      </c>
      <c r="EL22" s="11">
        <v>55.65274731103316</v>
      </c>
      <c r="EM22" s="11">
        <v>55.65274704407684</v>
      </c>
      <c r="EN22" s="11">
        <v>57.520150262270469</v>
      </c>
      <c r="EO22" s="11">
        <v>54.967883686507079</v>
      </c>
      <c r="EP22" s="11">
        <v>53.992883326082797</v>
      </c>
      <c r="EQ22" s="11">
        <v>54.969862360832266</v>
      </c>
      <c r="ER22" s="11">
        <v>56.667617238196577</v>
      </c>
      <c r="ES22" s="11">
        <v>55.10137939453125</v>
      </c>
      <c r="ET22" s="11">
        <v>56.805269743166093</v>
      </c>
      <c r="EU22" s="11">
        <v>56.800522175875713</v>
      </c>
      <c r="EV22" s="52">
        <v>58.7523080995133</v>
      </c>
      <c r="EW22" s="53">
        <v>55.652747311033103</v>
      </c>
      <c r="EX22" s="53">
        <v>55.652747044077302</v>
      </c>
      <c r="EY22" s="53">
        <v>57.520150262270199</v>
      </c>
      <c r="EZ22" s="53">
        <v>54.9678836865073</v>
      </c>
      <c r="FA22" s="53">
        <v>53.992883326082797</v>
      </c>
      <c r="FB22" s="53">
        <v>54.969862360832302</v>
      </c>
      <c r="FC22" s="53">
        <v>56.667611912126802</v>
      </c>
      <c r="FD22" s="53">
        <v>55.101379208918502</v>
      </c>
      <c r="FE22" s="53">
        <v>56.805272526666599</v>
      </c>
      <c r="FF22" s="54">
        <v>56.800525146422501</v>
      </c>
      <c r="FG22" t="b">
        <f t="shared" si="45"/>
        <v>1</v>
      </c>
      <c r="FH22" t="b">
        <f t="shared" si="33"/>
        <v>1</v>
      </c>
      <c r="FI22" t="b">
        <f t="shared" si="33"/>
        <v>1</v>
      </c>
      <c r="FJ22" t="b">
        <f t="shared" si="33"/>
        <v>1</v>
      </c>
      <c r="FK22" t="b">
        <f t="shared" si="33"/>
        <v>1</v>
      </c>
      <c r="FL22" t="b">
        <f t="shared" si="33"/>
        <v>1</v>
      </c>
      <c r="FM22" t="b">
        <f t="shared" si="33"/>
        <v>1</v>
      </c>
      <c r="FN22" t="b">
        <f t="shared" si="33"/>
        <v>1</v>
      </c>
      <c r="FO22" t="b">
        <f t="shared" si="33"/>
        <v>1</v>
      </c>
      <c r="FP22" t="b">
        <f t="shared" si="33"/>
        <v>1</v>
      </c>
      <c r="FQ22" s="45" t="b">
        <f t="shared" si="33"/>
        <v>1</v>
      </c>
    </row>
    <row r="23" spans="1:173" x14ac:dyDescent="0.25">
      <c r="A23" s="1">
        <f t="shared" si="34"/>
        <v>30</v>
      </c>
      <c r="B23" s="23">
        <v>0.70192157934030408</v>
      </c>
      <c r="C23" s="8">
        <v>0.72910898470914098</v>
      </c>
      <c r="D23" s="8">
        <v>0.72910898364204568</v>
      </c>
      <c r="E23" s="8">
        <v>0.71467469110799309</v>
      </c>
      <c r="F23" s="8">
        <v>0.72870054922277716</v>
      </c>
      <c r="G23" s="8">
        <v>0.71106648533262407</v>
      </c>
      <c r="H23" s="8">
        <v>0.70667811116856127</v>
      </c>
      <c r="I23" s="8">
        <v>0.68967776493526656</v>
      </c>
      <c r="J23" s="8">
        <v>0.71279691271675882</v>
      </c>
      <c r="K23" s="8">
        <v>0.68665967906975467</v>
      </c>
      <c r="L23" s="8">
        <v>0.68665828955794994</v>
      </c>
      <c r="M23" s="32">
        <v>0.70192157934030397</v>
      </c>
      <c r="N23" s="12">
        <v>0.72910898470913998</v>
      </c>
      <c r="O23" s="12">
        <v>0.72910898364204801</v>
      </c>
      <c r="P23" s="12">
        <v>0.71467469110799198</v>
      </c>
      <c r="Q23" s="12">
        <v>0.72870054922277905</v>
      </c>
      <c r="R23" s="12">
        <v>0.71106648533262495</v>
      </c>
      <c r="S23" s="12">
        <v>0.70667811116856105</v>
      </c>
      <c r="T23" s="12">
        <v>0.68967776493527999</v>
      </c>
      <c r="U23" s="12">
        <v>0.712796912716683</v>
      </c>
      <c r="V23" s="12">
        <v>0.686659679069753</v>
      </c>
      <c r="W23" s="33">
        <v>0.68665828955795005</v>
      </c>
      <c r="X23" t="b">
        <f t="shared" si="46"/>
        <v>1</v>
      </c>
      <c r="Y23" t="b">
        <f t="shared" si="50"/>
        <v>1</v>
      </c>
      <c r="Z23" t="b">
        <f t="shared" si="51"/>
        <v>1</v>
      </c>
      <c r="AA23" t="b">
        <f t="shared" si="52"/>
        <v>1</v>
      </c>
      <c r="AB23" t="b">
        <f t="shared" si="53"/>
        <v>1</v>
      </c>
      <c r="AC23" t="b">
        <f t="shared" si="54"/>
        <v>1</v>
      </c>
      <c r="AD23" t="b">
        <f t="shared" si="55"/>
        <v>1</v>
      </c>
      <c r="AE23" t="b">
        <f t="shared" si="56"/>
        <v>1</v>
      </c>
      <c r="AF23" t="b">
        <f t="shared" si="57"/>
        <v>1</v>
      </c>
      <c r="AG23" t="b">
        <f t="shared" si="1"/>
        <v>1</v>
      </c>
      <c r="AH23" t="b">
        <f t="shared" si="2"/>
        <v>1</v>
      </c>
      <c r="AJ23" s="23">
        <v>0.35393359153783799</v>
      </c>
      <c r="AK23" s="8">
        <v>0.31593205923218265</v>
      </c>
      <c r="AL23" s="8">
        <v>0.31593206069574348</v>
      </c>
      <c r="AM23" s="8">
        <v>0.33592781729312232</v>
      </c>
      <c r="AN23" s="8">
        <v>0.31649240060400652</v>
      </c>
      <c r="AO23" s="8">
        <v>0.34098934394076807</v>
      </c>
      <c r="AP23" s="8">
        <v>0.34718000506547614</v>
      </c>
      <c r="AQ23" s="8">
        <v>0.37153079781291598</v>
      </c>
      <c r="AR23" s="8">
        <v>0.33855873404036219</v>
      </c>
      <c r="AS23" s="8">
        <v>0.37591648203040473</v>
      </c>
      <c r="AT23" s="8">
        <v>0.37591850561392504</v>
      </c>
      <c r="AU23" s="32">
        <v>0.35393359153783799</v>
      </c>
      <c r="AV23" s="12">
        <v>0.31593205923218398</v>
      </c>
      <c r="AW23" s="12">
        <v>0.31593206069573998</v>
      </c>
      <c r="AX23" s="12">
        <v>0.33592781729312399</v>
      </c>
      <c r="AY23" s="12">
        <v>0.31649240060400402</v>
      </c>
      <c r="AZ23" s="12">
        <v>0.34098934394076702</v>
      </c>
      <c r="BA23" s="12">
        <v>0.34718000506547703</v>
      </c>
      <c r="BB23" s="12">
        <v>0.371530797812897</v>
      </c>
      <c r="BC23" s="12">
        <v>0.33855873404046799</v>
      </c>
      <c r="BD23" s="12">
        <v>0.37591648203040701</v>
      </c>
      <c r="BE23" s="33">
        <v>0.37591850561392398</v>
      </c>
      <c r="BF23" s="44" t="b">
        <f t="shared" si="47"/>
        <v>1</v>
      </c>
      <c r="BG23" t="b">
        <f t="shared" si="3"/>
        <v>1</v>
      </c>
      <c r="BH23" t="b">
        <f t="shared" si="4"/>
        <v>1</v>
      </c>
      <c r="BI23" t="b">
        <f t="shared" si="5"/>
        <v>1</v>
      </c>
      <c r="BJ23" t="b">
        <f t="shared" si="6"/>
        <v>1</v>
      </c>
      <c r="BK23" t="b">
        <f t="shared" si="7"/>
        <v>1</v>
      </c>
      <c r="BL23" t="b">
        <f t="shared" si="8"/>
        <v>1</v>
      </c>
      <c r="BM23" t="b">
        <f t="shared" si="9"/>
        <v>1</v>
      </c>
      <c r="BN23" t="b">
        <f t="shared" si="10"/>
        <v>1</v>
      </c>
      <c r="BO23" t="b">
        <f t="shared" si="11"/>
        <v>1</v>
      </c>
      <c r="BP23" s="45" t="b">
        <f t="shared" si="12"/>
        <v>1</v>
      </c>
      <c r="BR23" s="1">
        <f t="shared" si="43"/>
        <v>30</v>
      </c>
      <c r="BS23" s="23">
        <v>1.17977863845946E-2</v>
      </c>
      <c r="BT23" s="8">
        <v>1.3390458453966908E-2</v>
      </c>
      <c r="BU23" s="8">
        <v>1.3390458540995097E-2</v>
      </c>
      <c r="BV23" s="8">
        <v>1.2083493952194099E-2</v>
      </c>
      <c r="BW23" s="8">
        <v>1.3934156891695975E-2</v>
      </c>
      <c r="BX23" s="8">
        <v>1.475949437701873E-2</v>
      </c>
      <c r="BY23" s="8">
        <v>1.4573438393713502E-2</v>
      </c>
      <c r="BZ23" s="8">
        <v>1.4243267156582803E-2</v>
      </c>
      <c r="CA23" s="8">
        <v>1.4441143705313748E-2</v>
      </c>
      <c r="CB23" s="8">
        <v>1.4368495181069101E-2</v>
      </c>
      <c r="CC23" s="8">
        <v>1.4370101034822518E-2</v>
      </c>
      <c r="CD23" s="32">
        <v>1.17977863845946E-2</v>
      </c>
      <c r="CE23" s="12">
        <v>1.33904584539669E-2</v>
      </c>
      <c r="CF23" s="12">
        <v>1.3390458540994901E-2</v>
      </c>
      <c r="CG23" s="12">
        <v>1.2083493952194199E-2</v>
      </c>
      <c r="CH23" s="12">
        <v>1.3934156891695901E-2</v>
      </c>
      <c r="CI23" s="12">
        <v>1.4759494377018701E-2</v>
      </c>
      <c r="CJ23" s="12">
        <v>1.45734383937135E-2</v>
      </c>
      <c r="CK23" s="12">
        <v>1.4243267156582501E-2</v>
      </c>
      <c r="CL23" s="12">
        <v>1.44411437053155E-2</v>
      </c>
      <c r="CM23" s="12">
        <v>1.4368495181069099E-2</v>
      </c>
      <c r="CN23" s="33">
        <v>1.43701010348225E-2</v>
      </c>
      <c r="CO23" t="b">
        <f t="shared" si="48"/>
        <v>1</v>
      </c>
      <c r="CP23" t="b">
        <f t="shared" si="13"/>
        <v>1</v>
      </c>
      <c r="CQ23" t="b">
        <f t="shared" si="14"/>
        <v>1</v>
      </c>
      <c r="CR23" t="b">
        <f t="shared" si="15"/>
        <v>1</v>
      </c>
      <c r="CS23" t="b">
        <f t="shared" si="16"/>
        <v>1</v>
      </c>
      <c r="CT23" t="b">
        <f t="shared" si="17"/>
        <v>1</v>
      </c>
      <c r="CU23" t="b">
        <f t="shared" si="18"/>
        <v>1</v>
      </c>
      <c r="CV23" t="b">
        <f t="shared" si="19"/>
        <v>1</v>
      </c>
      <c r="CW23" t="b">
        <f t="shared" si="20"/>
        <v>1</v>
      </c>
      <c r="CX23" t="b">
        <f t="shared" si="21"/>
        <v>1</v>
      </c>
      <c r="CY23" t="b">
        <f t="shared" si="22"/>
        <v>1</v>
      </c>
      <c r="DA23" s="73">
        <v>60</v>
      </c>
      <c r="DB23" s="68">
        <v>43.000109085660689</v>
      </c>
      <c r="DC23" s="55">
        <v>43.98106026973533</v>
      </c>
      <c r="DD23" s="55">
        <v>43.981060206378061</v>
      </c>
      <c r="DE23" s="55">
        <v>43.417744436772836</v>
      </c>
      <c r="DF23" s="55">
        <v>43.981149348532426</v>
      </c>
      <c r="DG23" s="55">
        <v>43.37401737883382</v>
      </c>
      <c r="DH23" s="55">
        <v>43.481809591606158</v>
      </c>
      <c r="DI23" s="55">
        <v>43.190325494361389</v>
      </c>
      <c r="DJ23" s="55">
        <v>43.647425209861808</v>
      </c>
      <c r="DK23" s="55">
        <v>43.133793152363332</v>
      </c>
      <c r="DL23" s="55">
        <v>43.133461453098924</v>
      </c>
      <c r="DM23" s="88">
        <v>43.000109106904702</v>
      </c>
      <c r="DN23" s="89">
        <v>43.981060246597799</v>
      </c>
      <c r="DO23" s="89">
        <v>43.9810601832407</v>
      </c>
      <c r="DP23" s="89">
        <v>43.417743688200297</v>
      </c>
      <c r="DQ23" s="89">
        <v>43.981149322678498</v>
      </c>
      <c r="DR23" s="89">
        <v>43.374017356739998</v>
      </c>
      <c r="DS23" s="89">
        <v>43.481809570482497</v>
      </c>
      <c r="DT23" s="89">
        <v>43.190326499145499</v>
      </c>
      <c r="DU23" s="89">
        <v>43.6474251875904</v>
      </c>
      <c r="DV23" s="89">
        <v>43.1337941099044</v>
      </c>
      <c r="DW23" s="90">
        <v>43.133462410738701</v>
      </c>
      <c r="DX23" s="44" t="b">
        <f t="shared" si="44"/>
        <v>1</v>
      </c>
      <c r="DY23" t="b">
        <f t="shared" si="23"/>
        <v>1</v>
      </c>
      <c r="DZ23" t="b">
        <f t="shared" si="24"/>
        <v>1</v>
      </c>
      <c r="EA23" t="b">
        <f t="shared" si="25"/>
        <v>1</v>
      </c>
      <c r="EB23" t="b">
        <f t="shared" si="26"/>
        <v>1</v>
      </c>
      <c r="EC23" t="b">
        <f t="shared" si="27"/>
        <v>1</v>
      </c>
      <c r="ED23" t="b">
        <f t="shared" si="28"/>
        <v>1</v>
      </c>
      <c r="EE23" t="b">
        <f t="shared" si="29"/>
        <v>1</v>
      </c>
      <c r="EF23" t="b">
        <f t="shared" si="30"/>
        <v>1</v>
      </c>
      <c r="EG23" t="b">
        <f t="shared" si="31"/>
        <v>1</v>
      </c>
      <c r="EH23" s="45" t="b">
        <f t="shared" si="32"/>
        <v>1</v>
      </c>
      <c r="EJ23" s="73">
        <f t="shared" si="49"/>
        <v>0.6</v>
      </c>
      <c r="EK23" s="39">
        <v>77.666326716224987</v>
      </c>
      <c r="EL23" s="11">
        <v>69.312537585495193</v>
      </c>
      <c r="EM23" s="11">
        <v>69.312537224615085</v>
      </c>
      <c r="EN23" s="11">
        <v>72.923666091216873</v>
      </c>
      <c r="EO23" s="11">
        <v>68.630035122178569</v>
      </c>
      <c r="EP23" s="11">
        <v>70.346516076255966</v>
      </c>
      <c r="EQ23" s="11">
        <v>72.891116177024614</v>
      </c>
      <c r="ER23" s="11">
        <v>81.438831445892646</v>
      </c>
      <c r="ES23" s="11">
        <v>71.953369140625</v>
      </c>
      <c r="ET23" s="11">
        <v>83.51132542786695</v>
      </c>
      <c r="EU23" s="11">
        <v>83.500143127353283</v>
      </c>
      <c r="EV23" s="52">
        <v>77.666326716224901</v>
      </c>
      <c r="EW23" s="53">
        <v>69.312537585495093</v>
      </c>
      <c r="EX23" s="53">
        <v>69.312537224615696</v>
      </c>
      <c r="EY23" s="53">
        <v>72.923666091216603</v>
      </c>
      <c r="EZ23" s="53">
        <v>68.630035122178896</v>
      </c>
      <c r="FA23" s="53">
        <v>70.346516076255895</v>
      </c>
      <c r="FB23" s="53">
        <v>72.891116177024699</v>
      </c>
      <c r="FC23" s="53">
        <v>81.438831984650093</v>
      </c>
      <c r="FD23" s="53">
        <v>71.953384780769696</v>
      </c>
      <c r="FE23" s="53">
        <v>83.511333676290505</v>
      </c>
      <c r="FF23" s="54">
        <v>83.500157295987904</v>
      </c>
      <c r="FG23" t="b">
        <f t="shared" si="45"/>
        <v>1</v>
      </c>
      <c r="FH23" t="b">
        <f t="shared" si="33"/>
        <v>1</v>
      </c>
      <c r="FI23" t="b">
        <f t="shared" si="33"/>
        <v>1</v>
      </c>
      <c r="FJ23" t="b">
        <f t="shared" si="33"/>
        <v>1</v>
      </c>
      <c r="FK23" t="b">
        <f t="shared" si="33"/>
        <v>1</v>
      </c>
      <c r="FL23" t="b">
        <f t="shared" si="33"/>
        <v>1</v>
      </c>
      <c r="FM23" t="b">
        <f t="shared" si="33"/>
        <v>1</v>
      </c>
      <c r="FN23" t="b">
        <f t="shared" si="33"/>
        <v>1</v>
      </c>
      <c r="FO23" t="b">
        <f t="shared" si="33"/>
        <v>1</v>
      </c>
      <c r="FP23" t="b">
        <f t="shared" si="33"/>
        <v>1</v>
      </c>
      <c r="FQ23" s="45" t="b">
        <f t="shared" si="33"/>
        <v>1</v>
      </c>
    </row>
    <row r="24" spans="1:173" x14ac:dyDescent="0.25">
      <c r="A24" s="1">
        <f t="shared" si="34"/>
        <v>36</v>
      </c>
      <c r="B24" s="23">
        <v>0.65395266367559157</v>
      </c>
      <c r="C24" s="8">
        <v>0.67142121648481712</v>
      </c>
      <c r="D24" s="8">
        <v>0.67142121513002528</v>
      </c>
      <c r="E24" s="8">
        <v>0.66394310804819845</v>
      </c>
      <c r="F24" s="8">
        <v>0.66891095346606366</v>
      </c>
      <c r="G24" s="8">
        <v>0.65048350595971827</v>
      </c>
      <c r="H24" s="8">
        <v>0.64803282709265297</v>
      </c>
      <c r="I24" s="8">
        <v>0.63526441049374027</v>
      </c>
      <c r="J24" s="8">
        <v>0.65372698613814273</v>
      </c>
      <c r="K24" s="8">
        <v>0.6323698372169535</v>
      </c>
      <c r="L24" s="8">
        <v>0.63236218462352922</v>
      </c>
      <c r="M24" s="32">
        <v>0.65395266367559102</v>
      </c>
      <c r="N24" s="12">
        <v>0.67142121648481601</v>
      </c>
      <c r="O24" s="12">
        <v>0.67142121513002795</v>
      </c>
      <c r="P24" s="12">
        <v>0.66394310804819701</v>
      </c>
      <c r="Q24" s="12">
        <v>0.66891095346606599</v>
      </c>
      <c r="R24" s="12">
        <v>0.65048350595971904</v>
      </c>
      <c r="S24" s="12">
        <v>0.64803282709265198</v>
      </c>
      <c r="T24" s="12">
        <v>0.63526441049375904</v>
      </c>
      <c r="U24" s="12">
        <v>0.65372698613802704</v>
      </c>
      <c r="V24" s="12">
        <v>0.63236983721695195</v>
      </c>
      <c r="W24" s="33">
        <v>0.63236218462353</v>
      </c>
      <c r="X24" t="b">
        <f t="shared" si="46"/>
        <v>1</v>
      </c>
      <c r="Y24" t="b">
        <f t="shared" si="50"/>
        <v>1</v>
      </c>
      <c r="Z24" t="b">
        <f t="shared" si="51"/>
        <v>1</v>
      </c>
      <c r="AA24" t="b">
        <f t="shared" si="52"/>
        <v>1</v>
      </c>
      <c r="AB24" t="b">
        <f t="shared" si="53"/>
        <v>1</v>
      </c>
      <c r="AC24" t="b">
        <f t="shared" si="54"/>
        <v>1</v>
      </c>
      <c r="AD24" t="b">
        <f t="shared" si="55"/>
        <v>1</v>
      </c>
      <c r="AE24" t="b">
        <f t="shared" si="56"/>
        <v>1</v>
      </c>
      <c r="AF24" t="b">
        <f t="shared" si="57"/>
        <v>1</v>
      </c>
      <c r="AG24" t="b">
        <f t="shared" si="1"/>
        <v>1</v>
      </c>
      <c r="AH24" t="b">
        <f t="shared" si="2"/>
        <v>1</v>
      </c>
      <c r="AJ24" s="23">
        <v>0.4247203098454056</v>
      </c>
      <c r="AK24" s="8">
        <v>0.39835859457084682</v>
      </c>
      <c r="AL24" s="8">
        <v>0.39835859658864387</v>
      </c>
      <c r="AM24" s="8">
        <v>0.40955881382680337</v>
      </c>
      <c r="AN24" s="8">
        <v>0.40210433165014836</v>
      </c>
      <c r="AO24" s="8">
        <v>0.43003933729306087</v>
      </c>
      <c r="AP24" s="8">
        <v>0.43381392481939063</v>
      </c>
      <c r="AQ24" s="8">
        <v>0.45371397227923715</v>
      </c>
      <c r="AR24" s="8">
        <v>0.42506546707060444</v>
      </c>
      <c r="AS24" s="8">
        <v>0.45828087051966548</v>
      </c>
      <c r="AT24" s="8">
        <v>0.45829297204519381</v>
      </c>
      <c r="AU24" s="32">
        <v>0.42472030984540599</v>
      </c>
      <c r="AV24" s="12">
        <v>0.39835859457084799</v>
      </c>
      <c r="AW24" s="12">
        <v>0.39835859658863998</v>
      </c>
      <c r="AX24" s="12">
        <v>0.40955881382680498</v>
      </c>
      <c r="AY24" s="12">
        <v>0.40210433165014597</v>
      </c>
      <c r="AZ24" s="12">
        <v>0.43003933729305999</v>
      </c>
      <c r="BA24" s="12">
        <v>0.43381392481939202</v>
      </c>
      <c r="BB24" s="12">
        <v>0.45371397227920801</v>
      </c>
      <c r="BC24" s="12">
        <v>0.42506546707078102</v>
      </c>
      <c r="BD24" s="12">
        <v>0.45828087051966798</v>
      </c>
      <c r="BE24" s="33">
        <v>0.45829297204519298</v>
      </c>
      <c r="BF24" s="44" t="b">
        <f t="shared" si="47"/>
        <v>1</v>
      </c>
      <c r="BG24" t="b">
        <f t="shared" si="3"/>
        <v>1</v>
      </c>
      <c r="BH24" t="b">
        <f t="shared" si="4"/>
        <v>1</v>
      </c>
      <c r="BI24" t="b">
        <f t="shared" si="5"/>
        <v>1</v>
      </c>
      <c r="BJ24" t="b">
        <f t="shared" si="6"/>
        <v>1</v>
      </c>
      <c r="BK24" t="b">
        <f t="shared" si="7"/>
        <v>1</v>
      </c>
      <c r="BL24" t="b">
        <f t="shared" si="8"/>
        <v>1</v>
      </c>
      <c r="BM24" t="b">
        <f t="shared" si="9"/>
        <v>1</v>
      </c>
      <c r="BN24" t="b">
        <f t="shared" si="10"/>
        <v>1</v>
      </c>
      <c r="BO24" t="b">
        <f t="shared" si="11"/>
        <v>1</v>
      </c>
      <c r="BP24" s="45" t="b">
        <f t="shared" si="12"/>
        <v>1</v>
      </c>
      <c r="BR24" s="1">
        <f t="shared" si="43"/>
        <v>36</v>
      </c>
      <c r="BS24" s="23">
        <v>1.17977863845946E-2</v>
      </c>
      <c r="BT24" s="8">
        <v>1.4070019314029673E-2</v>
      </c>
      <c r="BU24" s="8">
        <v>1.4070019411563457E-2</v>
      </c>
      <c r="BV24" s="8">
        <v>1.2462118487241736E-2</v>
      </c>
      <c r="BW24" s="8">
        <v>1.4580216333844428E-2</v>
      </c>
      <c r="BX24" s="8">
        <v>1.4878528757736263E-2</v>
      </c>
      <c r="BY24" s="8">
        <v>1.428364829488662E-2</v>
      </c>
      <c r="BZ24" s="8">
        <v>1.3162904008519872E-2</v>
      </c>
      <c r="CA24" s="8">
        <v>1.436950289467121E-2</v>
      </c>
      <c r="CB24" s="1">
        <v>1.3103005348693733E-2</v>
      </c>
      <c r="CC24" s="8">
        <v>1.3104727413165812E-2</v>
      </c>
      <c r="CD24" s="32">
        <v>1.17977863845946E-2</v>
      </c>
      <c r="CE24" s="12">
        <v>1.4070019314029699E-2</v>
      </c>
      <c r="CF24" s="12">
        <v>1.40700194115633E-2</v>
      </c>
      <c r="CG24" s="12">
        <v>1.24621184872418E-2</v>
      </c>
      <c r="CH24" s="12">
        <v>1.45802163338444E-2</v>
      </c>
      <c r="CI24" s="12">
        <v>1.4878528757736299E-2</v>
      </c>
      <c r="CJ24" s="12">
        <v>1.4283648294886601E-2</v>
      </c>
      <c r="CK24" s="12">
        <v>1.3162904008519501E-2</v>
      </c>
      <c r="CL24" s="12">
        <v>1.43695028946741E-2</v>
      </c>
      <c r="CM24" s="12">
        <v>1.31030053486937E-2</v>
      </c>
      <c r="CN24" s="33">
        <v>1.31047274131658E-2</v>
      </c>
      <c r="CO24" t="b">
        <f t="shared" si="48"/>
        <v>1</v>
      </c>
      <c r="CP24" t="b">
        <f t="shared" si="13"/>
        <v>1</v>
      </c>
      <c r="CQ24" t="b">
        <f t="shared" si="14"/>
        <v>1</v>
      </c>
      <c r="CR24" t="b">
        <f t="shared" si="15"/>
        <v>1</v>
      </c>
      <c r="CS24" t="b">
        <f t="shared" si="16"/>
        <v>1</v>
      </c>
      <c r="CT24" t="b">
        <f t="shared" si="17"/>
        <v>1</v>
      </c>
      <c r="CU24" t="b">
        <f t="shared" si="18"/>
        <v>1</v>
      </c>
      <c r="CV24" t="b">
        <f t="shared" si="19"/>
        <v>1</v>
      </c>
      <c r="CW24" t="b">
        <f t="shared" si="20"/>
        <v>1</v>
      </c>
      <c r="CX24" t="b">
        <f t="shared" si="21"/>
        <v>1</v>
      </c>
      <c r="CY24" t="b">
        <f t="shared" si="22"/>
        <v>1</v>
      </c>
      <c r="DA24" s="74">
        <v>72</v>
      </c>
      <c r="DB24" s="70">
        <v>48.512992456284337</v>
      </c>
      <c r="DC24" s="71">
        <v>49.060346368959273</v>
      </c>
      <c r="DD24" s="71">
        <v>49.060346277263612</v>
      </c>
      <c r="DE24" s="71">
        <v>48.740146192117301</v>
      </c>
      <c r="DF24" s="71">
        <v>49.002151021439097</v>
      </c>
      <c r="DG24" s="71">
        <v>48.465690968232892</v>
      </c>
      <c r="DH24" s="71">
        <v>48.706039157389448</v>
      </c>
      <c r="DI24" s="71">
        <v>48.676263260667703</v>
      </c>
      <c r="DJ24" s="71">
        <v>48.840133607422644</v>
      </c>
      <c r="DK24" s="71">
        <v>48.652797678870783</v>
      </c>
      <c r="DL24" s="71">
        <v>48.652140034941745</v>
      </c>
      <c r="DM24" s="91">
        <v>48.5129924907976</v>
      </c>
      <c r="DN24" s="92">
        <v>49.060346341255901</v>
      </c>
      <c r="DO24" s="92">
        <v>49.060346249560403</v>
      </c>
      <c r="DP24" s="92">
        <v>48.740146213960998</v>
      </c>
      <c r="DQ24" s="92">
        <v>49.0021509901649</v>
      </c>
      <c r="DR24" s="92">
        <v>48.465690942988097</v>
      </c>
      <c r="DS24" s="92">
        <v>48.706039132698201</v>
      </c>
      <c r="DT24" s="92">
        <v>48.676264405889199</v>
      </c>
      <c r="DU24" s="92">
        <v>48.840133581157403</v>
      </c>
      <c r="DV24" s="92">
        <v>48.652798757791302</v>
      </c>
      <c r="DW24" s="93">
        <v>48.652141113956098</v>
      </c>
      <c r="DX24" s="46" t="b">
        <f t="shared" si="44"/>
        <v>1</v>
      </c>
      <c r="DY24" s="3" t="b">
        <f t="shared" si="23"/>
        <v>1</v>
      </c>
      <c r="DZ24" s="3" t="b">
        <f t="shared" si="24"/>
        <v>1</v>
      </c>
      <c r="EA24" s="3" t="b">
        <f t="shared" si="25"/>
        <v>1</v>
      </c>
      <c r="EB24" s="3" t="b">
        <f t="shared" si="26"/>
        <v>1</v>
      </c>
      <c r="EC24" s="3" t="b">
        <f t="shared" si="27"/>
        <v>1</v>
      </c>
      <c r="ED24" s="3" t="b">
        <f t="shared" si="28"/>
        <v>1</v>
      </c>
      <c r="EE24" s="3" t="b">
        <f t="shared" si="29"/>
        <v>1</v>
      </c>
      <c r="EF24" s="3" t="b">
        <f t="shared" si="30"/>
        <v>1</v>
      </c>
      <c r="EG24" s="3" t="b">
        <f t="shared" si="31"/>
        <v>1</v>
      </c>
      <c r="EH24" s="47" t="b">
        <f t="shared" si="32"/>
        <v>1</v>
      </c>
      <c r="EJ24" s="73">
        <f t="shared" si="49"/>
        <v>0.7</v>
      </c>
      <c r="EK24" s="39">
        <v>102.05073774670716</v>
      </c>
      <c r="EL24" s="11">
        <v>85.91578519831458</v>
      </c>
      <c r="EM24" s="11">
        <v>85.915784716547606</v>
      </c>
      <c r="EN24" s="11">
        <v>91.136066853475867</v>
      </c>
      <c r="EO24" s="11">
        <v>85.583820906248263</v>
      </c>
      <c r="EP24" s="11">
        <v>93.854480917558675</v>
      </c>
      <c r="EQ24" s="11">
        <v>98.580157672584434</v>
      </c>
      <c r="ER24" s="11">
        <v>123.93330059873509</v>
      </c>
      <c r="ES24" s="11">
        <v>95.256591796875</v>
      </c>
      <c r="ET24" s="11">
        <v>132.54749631665479</v>
      </c>
      <c r="EU24" s="11">
        <v>132.52210133960068</v>
      </c>
      <c r="EV24" s="52">
        <v>102.050737746707</v>
      </c>
      <c r="EW24" s="53">
        <v>85.915785198314595</v>
      </c>
      <c r="EX24" s="53">
        <v>85.915784716548501</v>
      </c>
      <c r="EY24" s="53">
        <v>91.136066853475597</v>
      </c>
      <c r="EZ24" s="53">
        <v>85.583820906248604</v>
      </c>
      <c r="FA24" s="53">
        <v>93.854480917558504</v>
      </c>
      <c r="FB24" s="53">
        <v>98.580157672584704</v>
      </c>
      <c r="FC24" s="53">
        <v>123.933320942294</v>
      </c>
      <c r="FD24" s="53">
        <v>95.256593406504194</v>
      </c>
      <c r="FE24" s="53">
        <v>132.54749511271299</v>
      </c>
      <c r="FF24" s="54">
        <v>132.52211192810699</v>
      </c>
      <c r="FG24" t="b">
        <f t="shared" si="45"/>
        <v>1</v>
      </c>
      <c r="FH24" t="b">
        <f t="shared" si="33"/>
        <v>1</v>
      </c>
      <c r="FI24" t="b">
        <f t="shared" si="33"/>
        <v>1</v>
      </c>
      <c r="FJ24" t="b">
        <f t="shared" si="33"/>
        <v>1</v>
      </c>
      <c r="FK24" t="b">
        <f t="shared" si="33"/>
        <v>1</v>
      </c>
      <c r="FL24" t="b">
        <f t="shared" si="33"/>
        <v>1</v>
      </c>
      <c r="FM24" t="b">
        <f t="shared" si="33"/>
        <v>1</v>
      </c>
      <c r="FN24" t="b">
        <f t="shared" si="33"/>
        <v>1</v>
      </c>
      <c r="FO24" t="b">
        <f t="shared" si="33"/>
        <v>1</v>
      </c>
      <c r="FP24" t="b">
        <f t="shared" si="33"/>
        <v>1</v>
      </c>
      <c r="FQ24" s="45" t="b">
        <f t="shared" si="33"/>
        <v>1</v>
      </c>
    </row>
    <row r="25" spans="1:173" x14ac:dyDescent="0.25">
      <c r="A25" s="1">
        <f t="shared" si="34"/>
        <v>42</v>
      </c>
      <c r="B25" s="23">
        <v>0.60926191602533286</v>
      </c>
      <c r="C25" s="8">
        <v>0.61593326642871959</v>
      </c>
      <c r="D25" s="8">
        <v>0.61593326480756083</v>
      </c>
      <c r="E25" s="8">
        <v>0.61539129217846855</v>
      </c>
      <c r="F25" s="8">
        <v>0.61187856863481449</v>
      </c>
      <c r="G25" s="8">
        <v>0.59506217394994076</v>
      </c>
      <c r="H25" s="8">
        <v>0.59546115324560944</v>
      </c>
      <c r="I25" s="8">
        <v>0.58879478677863206</v>
      </c>
      <c r="J25" s="8">
        <v>0.60003032536041023</v>
      </c>
      <c r="K25" s="8">
        <v>0.58659984047149738</v>
      </c>
      <c r="L25" s="8">
        <v>0.58658668266656333</v>
      </c>
      <c r="M25" s="32">
        <v>0.60926191602533297</v>
      </c>
      <c r="N25" s="12">
        <v>0.61593326642871904</v>
      </c>
      <c r="O25" s="12">
        <v>0.61593326480756405</v>
      </c>
      <c r="P25" s="12">
        <v>0.615391292178467</v>
      </c>
      <c r="Q25" s="12">
        <v>0.61187856863481604</v>
      </c>
      <c r="R25" s="12">
        <v>0.59506217394994099</v>
      </c>
      <c r="S25" s="12">
        <v>0.595461153245609</v>
      </c>
      <c r="T25" s="12">
        <v>0.58879478677867603</v>
      </c>
      <c r="U25" s="12">
        <v>0.60003032536026502</v>
      </c>
      <c r="V25" s="12">
        <v>0.58659984047149605</v>
      </c>
      <c r="W25" s="33">
        <v>0.586586682666564</v>
      </c>
      <c r="X25" t="b">
        <f t="shared" si="46"/>
        <v>1</v>
      </c>
      <c r="Y25" t="b">
        <f t="shared" si="50"/>
        <v>1</v>
      </c>
      <c r="Z25" t="b">
        <f t="shared" si="51"/>
        <v>1</v>
      </c>
      <c r="AA25" t="b">
        <f t="shared" si="52"/>
        <v>1</v>
      </c>
      <c r="AB25" t="b">
        <f t="shared" si="53"/>
        <v>1</v>
      </c>
      <c r="AC25" t="b">
        <f t="shared" si="54"/>
        <v>1</v>
      </c>
      <c r="AD25" t="b">
        <f t="shared" si="55"/>
        <v>1</v>
      </c>
      <c r="AE25" t="b">
        <f t="shared" si="56"/>
        <v>1</v>
      </c>
      <c r="AF25" t="b">
        <f t="shared" si="57"/>
        <v>1</v>
      </c>
      <c r="AG25" t="b">
        <f t="shared" si="1"/>
        <v>1</v>
      </c>
      <c r="AH25" t="b">
        <f t="shared" si="2"/>
        <v>1</v>
      </c>
      <c r="AJ25" s="23">
        <v>0.49550702815297321</v>
      </c>
      <c r="AK25" s="8">
        <v>0.48461665503674961</v>
      </c>
      <c r="AL25" s="8">
        <v>0.48461665766878587</v>
      </c>
      <c r="AM25" s="8">
        <v>0.48549696605054787</v>
      </c>
      <c r="AN25" s="8">
        <v>0.49122143342049546</v>
      </c>
      <c r="AO25" s="8">
        <v>0.51908938486211476</v>
      </c>
      <c r="AP25" s="8">
        <v>0.51841912615908659</v>
      </c>
      <c r="AQ25" s="8">
        <v>0.52967756558317525</v>
      </c>
      <c r="AR25" s="8">
        <v>0.5107750827758577</v>
      </c>
      <c r="AS25" s="8">
        <v>0.53341239439331134</v>
      </c>
      <c r="AT25" s="8">
        <v>0.53343482527650865</v>
      </c>
      <c r="AU25" s="32">
        <v>0.49550702815297298</v>
      </c>
      <c r="AV25" s="12">
        <v>0.484616655036751</v>
      </c>
      <c r="AW25" s="12">
        <v>0.48461665766878098</v>
      </c>
      <c r="AX25" s="12">
        <v>0.48549696605054998</v>
      </c>
      <c r="AY25" s="12">
        <v>0.49122143342049202</v>
      </c>
      <c r="AZ25" s="12">
        <v>0.51908938486211398</v>
      </c>
      <c r="BA25" s="12">
        <v>0.51841912615908703</v>
      </c>
      <c r="BB25" s="12">
        <v>0.52967756558310097</v>
      </c>
      <c r="BC25" s="12">
        <v>0.51077508277609995</v>
      </c>
      <c r="BD25" s="12">
        <v>0.533412394393314</v>
      </c>
      <c r="BE25" s="33">
        <v>0.53343482527650798</v>
      </c>
      <c r="BF25" s="44" t="b">
        <f t="shared" si="47"/>
        <v>1</v>
      </c>
      <c r="BG25" t="b">
        <f t="shared" si="3"/>
        <v>1</v>
      </c>
      <c r="BH25" t="b">
        <f t="shared" si="4"/>
        <v>1</v>
      </c>
      <c r="BI25" t="b">
        <f t="shared" si="5"/>
        <v>1</v>
      </c>
      <c r="BJ25" t="b">
        <f t="shared" si="6"/>
        <v>1</v>
      </c>
      <c r="BK25" t="b">
        <f t="shared" si="7"/>
        <v>1</v>
      </c>
      <c r="BL25" t="b">
        <f t="shared" si="8"/>
        <v>1</v>
      </c>
      <c r="BM25" t="b">
        <f t="shared" si="9"/>
        <v>1</v>
      </c>
      <c r="BN25" t="b">
        <f t="shared" si="10"/>
        <v>1</v>
      </c>
      <c r="BO25" t="b">
        <f t="shared" si="11"/>
        <v>1</v>
      </c>
      <c r="BP25" s="45" t="b">
        <f t="shared" si="12"/>
        <v>1</v>
      </c>
      <c r="BR25" s="1">
        <f t="shared" si="43"/>
        <v>42</v>
      </c>
      <c r="BS25" s="23">
        <v>1.17977863845946E-2</v>
      </c>
      <c r="BT25" s="8">
        <v>1.4671416563288424E-2</v>
      </c>
      <c r="BU25" s="8">
        <v>1.4671416670359285E-2</v>
      </c>
      <c r="BV25" s="8">
        <v>1.2852606853984672E-2</v>
      </c>
      <c r="BW25" s="8">
        <v>1.5108907757061068E-2</v>
      </c>
      <c r="BX25" s="8">
        <v>1.4775217093278035E-2</v>
      </c>
      <c r="BY25" s="8">
        <v>1.3909700026173533E-2</v>
      </c>
      <c r="BZ25" s="8">
        <v>1.2176413928131234E-2</v>
      </c>
      <c r="CA25" s="8">
        <v>1.4187459548844343E-2</v>
      </c>
      <c r="CB25" s="8">
        <v>1.1964776858572211E-2</v>
      </c>
      <c r="CC25" s="8">
        <v>1.196648385054974E-2</v>
      </c>
      <c r="CD25" s="32">
        <v>1.17977863845946E-2</v>
      </c>
      <c r="CE25" s="12">
        <v>1.46714165632884E-2</v>
      </c>
      <c r="CF25" s="12">
        <v>1.4671416670359099E-2</v>
      </c>
      <c r="CG25" s="12">
        <v>1.28526068539847E-2</v>
      </c>
      <c r="CH25" s="12">
        <v>1.5108907757061E-2</v>
      </c>
      <c r="CI25" s="12">
        <v>1.4775217093278101E-2</v>
      </c>
      <c r="CJ25" s="12">
        <v>1.39097000261735E-2</v>
      </c>
      <c r="CK25" s="12">
        <v>1.2176413928130301E-2</v>
      </c>
      <c r="CL25" s="12">
        <v>1.4187459548848E-2</v>
      </c>
      <c r="CM25" s="12">
        <v>1.1964776858572199E-2</v>
      </c>
      <c r="CN25" s="33">
        <v>1.19664838505497E-2</v>
      </c>
      <c r="CO25" t="b">
        <f t="shared" si="48"/>
        <v>1</v>
      </c>
      <c r="CP25" t="b">
        <f t="shared" si="13"/>
        <v>1</v>
      </c>
      <c r="CQ25" t="b">
        <f t="shared" si="14"/>
        <v>1</v>
      </c>
      <c r="CR25" t="b">
        <f t="shared" si="15"/>
        <v>1</v>
      </c>
      <c r="CS25" t="b">
        <f t="shared" si="16"/>
        <v>1</v>
      </c>
      <c r="CT25" t="b">
        <f t="shared" si="17"/>
        <v>1</v>
      </c>
      <c r="CU25" t="b">
        <f t="shared" si="18"/>
        <v>1</v>
      </c>
      <c r="CV25" t="b">
        <f t="shared" si="19"/>
        <v>1</v>
      </c>
      <c r="CW25" t="b">
        <f t="shared" si="20"/>
        <v>1</v>
      </c>
      <c r="CX25" t="b">
        <f t="shared" si="21"/>
        <v>1</v>
      </c>
      <c r="CY25" t="b">
        <f t="shared" si="22"/>
        <v>1</v>
      </c>
      <c r="EJ25" s="73">
        <f t="shared" si="49"/>
        <v>0.79999999999999993</v>
      </c>
      <c r="EK25" s="39">
        <v>136.41863481573827</v>
      </c>
      <c r="EL25" s="11">
        <v>107.947419870434</v>
      </c>
      <c r="EM25" s="11">
        <v>107.94741921912589</v>
      </c>
      <c r="EN25" s="11">
        <v>114.21447972569976</v>
      </c>
      <c r="EO25" s="11">
        <v>108.66283018787969</v>
      </c>
      <c r="EP25" s="11">
        <v>133.41448390126433</v>
      </c>
      <c r="EQ25" s="11">
        <v>140.35782520363827</v>
      </c>
      <c r="ER25" s="11">
        <v>212.29105327387418</v>
      </c>
      <c r="ES25" s="11">
        <v>131.44818115234375</v>
      </c>
      <c r="ET25" s="11">
        <v>245.6603314805906</v>
      </c>
      <c r="EU25" s="11">
        <v>245.59611909113988</v>
      </c>
      <c r="EV25" s="52">
        <v>136.41863481573799</v>
      </c>
      <c r="EW25" s="53">
        <v>107.947419870434</v>
      </c>
      <c r="EX25" s="53">
        <v>107.947419219127</v>
      </c>
      <c r="EY25" s="53">
        <v>114.21447972569899</v>
      </c>
      <c r="EZ25" s="53">
        <v>108.66283018788</v>
      </c>
      <c r="FA25" s="53">
        <v>133.41448390126399</v>
      </c>
      <c r="FB25" s="53">
        <v>140.35782520363901</v>
      </c>
      <c r="FC25" s="53">
        <v>212.29112259255299</v>
      </c>
      <c r="FD25" s="53">
        <v>131.44818462655101</v>
      </c>
      <c r="FE25" s="53">
        <v>245.66023132847701</v>
      </c>
      <c r="FF25" s="54">
        <v>245.59603413278501</v>
      </c>
      <c r="FG25" t="b">
        <f t="shared" si="45"/>
        <v>1</v>
      </c>
      <c r="FH25" t="b">
        <f t="shared" si="33"/>
        <v>1</v>
      </c>
      <c r="FI25" t="b">
        <f t="shared" si="33"/>
        <v>1</v>
      </c>
      <c r="FJ25" t="b">
        <f t="shared" si="33"/>
        <v>1</v>
      </c>
      <c r="FK25" t="b">
        <f t="shared" si="33"/>
        <v>1</v>
      </c>
      <c r="FL25" t="b">
        <f t="shared" si="33"/>
        <v>1</v>
      </c>
      <c r="FM25" t="b">
        <f t="shared" si="33"/>
        <v>1</v>
      </c>
      <c r="FN25" t="b">
        <f t="shared" si="33"/>
        <v>1</v>
      </c>
      <c r="FO25" t="b">
        <f t="shared" si="33"/>
        <v>1</v>
      </c>
      <c r="FP25" t="b">
        <f t="shared" si="33"/>
        <v>1</v>
      </c>
      <c r="FQ25" s="45" t="b">
        <f t="shared" si="33"/>
        <v>1</v>
      </c>
    </row>
    <row r="26" spans="1:173" x14ac:dyDescent="0.25">
      <c r="A26" s="1">
        <f t="shared" si="34"/>
        <v>48</v>
      </c>
      <c r="B26" s="23">
        <v>0.5676253082791971</v>
      </c>
      <c r="C26" s="8">
        <v>0.56310083088617313</v>
      </c>
      <c r="D26" s="8">
        <v>0.56310082902730552</v>
      </c>
      <c r="E26" s="8">
        <v>0.56903429944960038</v>
      </c>
      <c r="F26" s="8">
        <v>0.55808777033078871</v>
      </c>
      <c r="G26" s="8">
        <v>0.54495283252429727</v>
      </c>
      <c r="H26" s="8">
        <v>0.54844336765199553</v>
      </c>
      <c r="I26" s="8">
        <v>0.54878286310698698</v>
      </c>
      <c r="J26" s="8">
        <v>0.55145054813124283</v>
      </c>
      <c r="K26" s="8">
        <v>0.54763510865587961</v>
      </c>
      <c r="L26" s="8">
        <v>0.54761732539017349</v>
      </c>
      <c r="M26" s="32">
        <v>0.56762530827919699</v>
      </c>
      <c r="N26" s="12">
        <v>0.56310083088617202</v>
      </c>
      <c r="O26" s="12">
        <v>0.56310082902730896</v>
      </c>
      <c r="P26" s="12">
        <v>0.56903429944959905</v>
      </c>
      <c r="Q26" s="12">
        <v>0.55808777033079204</v>
      </c>
      <c r="R26" s="12">
        <v>0.54495283252429705</v>
      </c>
      <c r="S26" s="12">
        <v>0.54844336765199497</v>
      </c>
      <c r="T26" s="12">
        <v>0.54878286310699698</v>
      </c>
      <c r="U26" s="12">
        <v>0.55145054813108796</v>
      </c>
      <c r="V26" s="12">
        <v>0.54763510865587695</v>
      </c>
      <c r="W26" s="33">
        <v>0.54761732539017405</v>
      </c>
      <c r="X26" t="b">
        <f t="shared" si="46"/>
        <v>1</v>
      </c>
      <c r="Y26" t="b">
        <f t="shared" si="50"/>
        <v>1</v>
      </c>
      <c r="Z26" t="b">
        <f t="shared" si="51"/>
        <v>1</v>
      </c>
      <c r="AA26" t="b">
        <f t="shared" si="52"/>
        <v>1</v>
      </c>
      <c r="AB26" t="b">
        <f t="shared" si="53"/>
        <v>1</v>
      </c>
      <c r="AC26" t="b">
        <f t="shared" si="54"/>
        <v>1</v>
      </c>
      <c r="AD26" t="b">
        <f t="shared" si="55"/>
        <v>1</v>
      </c>
      <c r="AE26" t="b">
        <f t="shared" si="56"/>
        <v>1</v>
      </c>
      <c r="AF26" t="b">
        <f t="shared" si="57"/>
        <v>1</v>
      </c>
      <c r="AG26" t="b">
        <f t="shared" si="1"/>
        <v>1</v>
      </c>
      <c r="AH26" t="b">
        <f t="shared" si="2"/>
        <v>1</v>
      </c>
      <c r="AJ26" s="23">
        <v>0.56629374646054087</v>
      </c>
      <c r="AK26" s="8">
        <v>0.57429657116560595</v>
      </c>
      <c r="AL26" s="8">
        <v>0.57429657446673343</v>
      </c>
      <c r="AM26" s="8">
        <v>0.56381456644481731</v>
      </c>
      <c r="AN26" s="8">
        <v>0.58323903447068748</v>
      </c>
      <c r="AO26" s="8">
        <v>0.60705603389117668</v>
      </c>
      <c r="AP26" s="8">
        <v>0.6006712540924426</v>
      </c>
      <c r="AQ26" s="8">
        <v>0.60005242917501311</v>
      </c>
      <c r="AR26" s="8">
        <v>0.59520311224871281</v>
      </c>
      <c r="AS26" s="8">
        <v>0.60214607393443376</v>
      </c>
      <c r="AT26" s="8">
        <v>0.60217854729884712</v>
      </c>
      <c r="AU26" s="32">
        <v>0.56629374646054098</v>
      </c>
      <c r="AV26" s="12">
        <v>0.57429657116560695</v>
      </c>
      <c r="AW26" s="12">
        <v>0.57429657446672699</v>
      </c>
      <c r="AX26" s="12">
        <v>0.56381456644481998</v>
      </c>
      <c r="AY26" s="12">
        <v>0.58323903447068104</v>
      </c>
      <c r="AZ26" s="12">
        <v>0.60705603389117602</v>
      </c>
      <c r="BA26" s="12">
        <v>0.60067125409244304</v>
      </c>
      <c r="BB26" s="12">
        <v>0.60005242917499402</v>
      </c>
      <c r="BC26" s="12">
        <v>0.59520311224899303</v>
      </c>
      <c r="BD26" s="12">
        <v>0.60214607393443798</v>
      </c>
      <c r="BE26" s="33">
        <v>0.60217854729884701</v>
      </c>
      <c r="BF26" s="44" t="b">
        <f t="shared" si="47"/>
        <v>1</v>
      </c>
      <c r="BG26" t="b">
        <f t="shared" si="3"/>
        <v>1</v>
      </c>
      <c r="BH26" t="b">
        <f t="shared" si="4"/>
        <v>1</v>
      </c>
      <c r="BI26" t="b">
        <f t="shared" si="5"/>
        <v>1</v>
      </c>
      <c r="BJ26" t="b">
        <f t="shared" si="6"/>
        <v>1</v>
      </c>
      <c r="BK26" t="b">
        <f t="shared" si="7"/>
        <v>1</v>
      </c>
      <c r="BL26" t="b">
        <f t="shared" si="8"/>
        <v>1</v>
      </c>
      <c r="BM26" t="b">
        <f t="shared" si="9"/>
        <v>1</v>
      </c>
      <c r="BN26" t="b">
        <f t="shared" si="10"/>
        <v>1</v>
      </c>
      <c r="BO26" t="b">
        <f t="shared" si="11"/>
        <v>1</v>
      </c>
      <c r="BP26" s="45" t="b">
        <f t="shared" si="12"/>
        <v>1</v>
      </c>
      <c r="BR26" s="1">
        <f t="shared" si="43"/>
        <v>48</v>
      </c>
      <c r="BS26" s="23">
        <v>1.17977863845946E-2</v>
      </c>
      <c r="BT26" s="8">
        <v>1.5213109416503424E-2</v>
      </c>
      <c r="BU26" s="8">
        <v>1.5213109532349335E-2</v>
      </c>
      <c r="BV26" s="8">
        <v>1.3255330794054705E-2</v>
      </c>
      <c r="BW26" s="8">
        <v>1.5551172163064635E-2</v>
      </c>
      <c r="BX26" s="8">
        <v>1.452813919269583E-2</v>
      </c>
      <c r="BY26" s="8">
        <v>1.3505368828970443E-2</v>
      </c>
      <c r="BZ26" s="8">
        <v>1.1300027810639952E-2</v>
      </c>
      <c r="CA26" s="8">
        <v>1.394871311598141E-2</v>
      </c>
      <c r="CB26" s="8">
        <v>1.0969715847366151E-2</v>
      </c>
      <c r="CC26" s="8">
        <v>1.0971350521510376E-2</v>
      </c>
      <c r="CD26" s="32">
        <v>1.17977863845946E-2</v>
      </c>
      <c r="CE26" s="12">
        <v>1.52131094165034E-2</v>
      </c>
      <c r="CF26" s="12">
        <v>1.52131095323491E-2</v>
      </c>
      <c r="CG26" s="12">
        <v>1.32553307940548E-2</v>
      </c>
      <c r="CH26" s="12">
        <v>1.55511721630645E-2</v>
      </c>
      <c r="CI26" s="12">
        <v>1.45281391926959E-2</v>
      </c>
      <c r="CJ26" s="12">
        <v>1.35053688289704E-2</v>
      </c>
      <c r="CK26" s="12">
        <v>1.13000278106397E-2</v>
      </c>
      <c r="CL26" s="12">
        <v>1.3948713115985599E-2</v>
      </c>
      <c r="CM26" s="12">
        <v>1.0969715847366199E-2</v>
      </c>
      <c r="CN26" s="33">
        <v>1.09713505215104E-2</v>
      </c>
      <c r="CO26" t="b">
        <f t="shared" si="48"/>
        <v>1</v>
      </c>
      <c r="CP26" t="b">
        <f t="shared" si="13"/>
        <v>1</v>
      </c>
      <c r="CQ26" t="b">
        <f t="shared" si="14"/>
        <v>1</v>
      </c>
      <c r="CR26" t="b">
        <f t="shared" si="15"/>
        <v>1</v>
      </c>
      <c r="CS26" t="b">
        <f t="shared" si="16"/>
        <v>1</v>
      </c>
      <c r="CT26" t="b">
        <f t="shared" si="17"/>
        <v>1</v>
      </c>
      <c r="CU26" t="b">
        <f t="shared" si="18"/>
        <v>1</v>
      </c>
      <c r="CV26" t="b">
        <f t="shared" si="19"/>
        <v>1</v>
      </c>
      <c r="CW26" t="b">
        <f t="shared" si="20"/>
        <v>1</v>
      </c>
      <c r="CX26" t="b">
        <f t="shared" si="21"/>
        <v>1</v>
      </c>
      <c r="CY26" t="b">
        <f t="shared" si="22"/>
        <v>1</v>
      </c>
      <c r="EJ26" s="74">
        <f t="shared" si="49"/>
        <v>0.89999999999999991</v>
      </c>
      <c r="EK26" s="79">
        <v>195.17094291525157</v>
      </c>
      <c r="EL26" s="80">
        <v>143.06701134335535</v>
      </c>
      <c r="EM26" s="80">
        <v>143.06701040492533</v>
      </c>
      <c r="EN26" s="80">
        <v>148.25518211976805</v>
      </c>
      <c r="EO26" s="80">
        <v>146.76307402692638</v>
      </c>
      <c r="EP26" s="80">
        <v>226.47231922642283</v>
      </c>
      <c r="EQ26" s="80">
        <v>229.10853936829179</v>
      </c>
      <c r="ER26" s="80">
        <v>492.50546762641341</v>
      </c>
      <c r="ES26" s="80">
        <v>203.232666015625</v>
      </c>
      <c r="ET26" s="80">
        <v>678.12820398009387</v>
      </c>
      <c r="EU26" s="80">
        <v>677.88387146647403</v>
      </c>
      <c r="EV26" s="81">
        <v>195.170942915252</v>
      </c>
      <c r="EW26" s="82">
        <v>143.067011343356</v>
      </c>
      <c r="EX26" s="82">
        <v>143.067010404927</v>
      </c>
      <c r="EY26" s="82">
        <v>148.25518211976799</v>
      </c>
      <c r="EZ26" s="82">
        <v>146.763074026927</v>
      </c>
      <c r="FA26" s="82">
        <v>226.472319226422</v>
      </c>
      <c r="FB26" s="82">
        <v>229.10853936829301</v>
      </c>
      <c r="FC26" s="82">
        <v>492.50548993337702</v>
      </c>
      <c r="FD26" s="82">
        <v>203.23268999877999</v>
      </c>
      <c r="FE26" s="82">
        <v>678.12749839390199</v>
      </c>
      <c r="FF26" s="83">
        <v>677.88393875399902</v>
      </c>
      <c r="FG26" s="3" t="b">
        <f t="shared" si="45"/>
        <v>1</v>
      </c>
      <c r="FH26" s="3" t="b">
        <f t="shared" si="33"/>
        <v>1</v>
      </c>
      <c r="FI26" s="3" t="b">
        <f t="shared" si="33"/>
        <v>1</v>
      </c>
      <c r="FJ26" s="3" t="b">
        <f t="shared" si="33"/>
        <v>1</v>
      </c>
      <c r="FK26" s="3" t="b">
        <f t="shared" si="33"/>
        <v>1</v>
      </c>
      <c r="FL26" s="3" t="b">
        <f t="shared" si="33"/>
        <v>1</v>
      </c>
      <c r="FM26" s="3" t="b">
        <f t="shared" si="33"/>
        <v>1</v>
      </c>
      <c r="FN26" s="3" t="b">
        <f t="shared" si="33"/>
        <v>1</v>
      </c>
      <c r="FO26" s="3" t="b">
        <f t="shared" si="33"/>
        <v>1</v>
      </c>
      <c r="FP26" s="3" t="b">
        <f>ROUND(ET26,2)=ROUND(FE26,2)</f>
        <v>1</v>
      </c>
      <c r="FQ26" s="47" t="b">
        <f>ROUND(EU26,2)=ROUND(FF26,2)</f>
        <v>1</v>
      </c>
    </row>
    <row r="27" spans="1:173" x14ac:dyDescent="0.25">
      <c r="A27" s="1">
        <f t="shared" si="34"/>
        <v>54</v>
      </c>
      <c r="B27" s="23">
        <v>0.52883412227863047</v>
      </c>
      <c r="C27" s="8">
        <v>0.51320516353442414</v>
      </c>
      <c r="D27" s="8">
        <v>0.51320516147085093</v>
      </c>
      <c r="E27" s="8">
        <v>0.52487970671858086</v>
      </c>
      <c r="F27" s="8">
        <v>0.50778144396375202</v>
      </c>
      <c r="G27" s="8">
        <v>0.49994950518933867</v>
      </c>
      <c r="H27" s="8">
        <v>0.50637564102039612</v>
      </c>
      <c r="I27" s="8">
        <v>0.51402373375899368</v>
      </c>
      <c r="J27" s="8">
        <v>0.50757774927280108</v>
      </c>
      <c r="K27" s="8">
        <v>0.51411292548281273</v>
      </c>
      <c r="L27" s="8">
        <v>0.51409133113969663</v>
      </c>
      <c r="M27" s="32">
        <v>0.52883412227863003</v>
      </c>
      <c r="N27" s="12">
        <v>0.51320516353442303</v>
      </c>
      <c r="O27" s="12">
        <v>0.51320516147085504</v>
      </c>
      <c r="P27" s="12">
        <v>0.52487970671857898</v>
      </c>
      <c r="Q27" s="12">
        <v>0.50778144396375402</v>
      </c>
      <c r="R27" s="12">
        <v>0.49994950518933901</v>
      </c>
      <c r="S27" s="12">
        <v>0.50637564102039601</v>
      </c>
      <c r="T27" s="12">
        <v>0.51402373375899801</v>
      </c>
      <c r="U27" s="12">
        <v>0.50757774927265598</v>
      </c>
      <c r="V27" s="12">
        <v>0.51411292548281096</v>
      </c>
      <c r="W27" s="33">
        <v>0.51409133113969696</v>
      </c>
      <c r="X27" t="b">
        <f t="shared" si="46"/>
        <v>1</v>
      </c>
      <c r="Y27" t="b">
        <f t="shared" si="50"/>
        <v>1</v>
      </c>
      <c r="Z27" t="b">
        <f t="shared" si="51"/>
        <v>1</v>
      </c>
      <c r="AA27" t="b">
        <f t="shared" si="52"/>
        <v>1</v>
      </c>
      <c r="AB27" t="b">
        <f t="shared" si="53"/>
        <v>1</v>
      </c>
      <c r="AC27" t="b">
        <f t="shared" si="54"/>
        <v>1</v>
      </c>
      <c r="AD27" t="b">
        <f t="shared" si="55"/>
        <v>1</v>
      </c>
      <c r="AE27" t="b">
        <f t="shared" si="56"/>
        <v>1</v>
      </c>
      <c r="AF27" t="b">
        <f t="shared" si="57"/>
        <v>1</v>
      </c>
      <c r="AG27" t="b">
        <f t="shared" si="1"/>
        <v>1</v>
      </c>
      <c r="AH27" t="b">
        <f t="shared" si="2"/>
        <v>1</v>
      </c>
      <c r="AJ27" s="23">
        <v>0.63708046476810842</v>
      </c>
      <c r="AK27" s="8">
        <v>0.66707958484461527</v>
      </c>
      <c r="AL27" s="8">
        <v>0.66707958886556695</v>
      </c>
      <c r="AM27" s="8">
        <v>0.64458617270466201</v>
      </c>
      <c r="AN27" s="8">
        <v>0.67770415239626502</v>
      </c>
      <c r="AO27" s="8">
        <v>0.69324817528106297</v>
      </c>
      <c r="AP27" s="8">
        <v>0.6804765115595236</v>
      </c>
      <c r="AQ27" s="8">
        <v>0.66548583996459487</v>
      </c>
      <c r="AR27" s="8">
        <v>0.67810537926265946</v>
      </c>
      <c r="AS27" s="8">
        <v>0.66531233827444303</v>
      </c>
      <c r="AT27" s="8">
        <v>0.66535434226923329</v>
      </c>
      <c r="AU27" s="32">
        <v>0.63708046476810898</v>
      </c>
      <c r="AV27" s="12">
        <v>0.66707958484461605</v>
      </c>
      <c r="AW27" s="12">
        <v>0.66707958886555896</v>
      </c>
      <c r="AX27" s="12">
        <v>0.64458617270466501</v>
      </c>
      <c r="AY27" s="12">
        <v>0.67770415239626103</v>
      </c>
      <c r="AZ27" s="12">
        <v>0.69324817528106297</v>
      </c>
      <c r="BA27" s="12">
        <v>0.68047651155952404</v>
      </c>
      <c r="BB27" s="12">
        <v>0.66548583996458699</v>
      </c>
      <c r="BC27" s="12">
        <v>0.67810537926294501</v>
      </c>
      <c r="BD27" s="12">
        <v>0.66531233827444602</v>
      </c>
      <c r="BE27" s="33">
        <v>0.66535434226923196</v>
      </c>
      <c r="BF27" s="44" t="b">
        <f t="shared" si="47"/>
        <v>1</v>
      </c>
      <c r="BG27" t="b">
        <f t="shared" si="3"/>
        <v>1</v>
      </c>
      <c r="BH27" t="b">
        <f t="shared" si="4"/>
        <v>1</v>
      </c>
      <c r="BI27" t="b">
        <f t="shared" si="5"/>
        <v>1</v>
      </c>
      <c r="BJ27" t="b">
        <f t="shared" si="6"/>
        <v>1</v>
      </c>
      <c r="BK27" t="b">
        <f t="shared" si="7"/>
        <v>1</v>
      </c>
      <c r="BL27" t="b">
        <f t="shared" si="8"/>
        <v>1</v>
      </c>
      <c r="BM27" t="b">
        <f t="shared" si="9"/>
        <v>1</v>
      </c>
      <c r="BN27" t="b">
        <f t="shared" si="10"/>
        <v>1</v>
      </c>
      <c r="BO27" t="b">
        <f t="shared" si="11"/>
        <v>1</v>
      </c>
      <c r="BP27" s="45" t="b">
        <f t="shared" si="12"/>
        <v>1</v>
      </c>
      <c r="BR27" s="1">
        <f t="shared" si="43"/>
        <v>54</v>
      </c>
      <c r="BS27" s="23">
        <v>1.17977863845946E-2</v>
      </c>
      <c r="BT27" s="8">
        <v>1.570749365132524E-2</v>
      </c>
      <c r="BU27" s="8">
        <v>1.5707493775327184E-2</v>
      </c>
      <c r="BV27" s="8">
        <v>1.3670673697246234E-2</v>
      </c>
      <c r="BW27" s="8">
        <v>1.5927561412095607E-2</v>
      </c>
      <c r="BX27" s="8">
        <v>1.4191062594990079E-2</v>
      </c>
      <c r="BY27" s="8">
        <v>1.3097100104305434E-2</v>
      </c>
      <c r="BZ27" s="8">
        <v>1.0527448414875972E-2</v>
      </c>
      <c r="CA27" s="8">
        <v>1.3682432633299452E-2</v>
      </c>
      <c r="CB27" s="8">
        <v>1.0106166664499495E-2</v>
      </c>
      <c r="CC27" s="8">
        <v>1.010770695522328E-2</v>
      </c>
      <c r="CD27" s="32">
        <v>1.17977863845946E-2</v>
      </c>
      <c r="CE27" s="12">
        <v>1.5707493651325202E-2</v>
      </c>
      <c r="CF27" s="12">
        <v>1.5707493775327E-2</v>
      </c>
      <c r="CG27" s="12">
        <v>1.36706736972463E-2</v>
      </c>
      <c r="CH27" s="12">
        <v>1.59275614120955E-2</v>
      </c>
      <c r="CI27" s="12">
        <v>1.41910625949901E-2</v>
      </c>
      <c r="CJ27" s="12">
        <v>1.30971001043054E-2</v>
      </c>
      <c r="CK27" s="12">
        <v>1.0527448414875899E-2</v>
      </c>
      <c r="CL27" s="12">
        <v>1.36824326333036E-2</v>
      </c>
      <c r="CM27" s="12">
        <v>1.01061666644995E-2</v>
      </c>
      <c r="CN27" s="33">
        <v>1.0107706955223301E-2</v>
      </c>
      <c r="CO27" t="b">
        <f t="shared" si="48"/>
        <v>1</v>
      </c>
      <c r="CP27" t="b">
        <f t="shared" si="13"/>
        <v>1</v>
      </c>
      <c r="CQ27" t="b">
        <f t="shared" si="14"/>
        <v>1</v>
      </c>
      <c r="CR27" t="b">
        <f t="shared" si="15"/>
        <v>1</v>
      </c>
      <c r="CS27" t="b">
        <f t="shared" si="16"/>
        <v>1</v>
      </c>
      <c r="CT27" t="b">
        <f t="shared" si="17"/>
        <v>1</v>
      </c>
      <c r="CU27" t="b">
        <f t="shared" si="18"/>
        <v>1</v>
      </c>
      <c r="CV27" t="b">
        <f t="shared" si="19"/>
        <v>1</v>
      </c>
      <c r="CW27" t="b">
        <f t="shared" si="20"/>
        <v>1</v>
      </c>
      <c r="CX27" t="b">
        <f t="shared" si="21"/>
        <v>1</v>
      </c>
      <c r="CY27" t="b">
        <f t="shared" si="22"/>
        <v>1</v>
      </c>
    </row>
    <row r="28" spans="1:173" x14ac:dyDescent="0.25">
      <c r="A28" s="1">
        <f t="shared" si="34"/>
        <v>60</v>
      </c>
      <c r="B28" s="23">
        <v>0.49269390354358683</v>
      </c>
      <c r="C28" s="8">
        <v>0.46640097327206759</v>
      </c>
      <c r="D28" s="8">
        <v>0.46640097103888284</v>
      </c>
      <c r="E28" s="8">
        <v>0.48292752965072289</v>
      </c>
      <c r="F28" s="8">
        <v>0.46104165688808552</v>
      </c>
      <c r="G28" s="8">
        <v>0.45967158001908165</v>
      </c>
      <c r="H28" s="8">
        <v>0.46867051603846244</v>
      </c>
      <c r="I28" s="8">
        <v>0.48356726922257498</v>
      </c>
      <c r="J28" s="8">
        <v>0.46796090605109431</v>
      </c>
      <c r="K28" s="8">
        <v>0.48498031100626171</v>
      </c>
      <c r="L28" s="8">
        <v>0.48495560350154343</v>
      </c>
      <c r="M28" s="32">
        <v>0.492693903543587</v>
      </c>
      <c r="N28" s="12">
        <v>0.46640097327206698</v>
      </c>
      <c r="O28" s="12">
        <v>0.466400971038887</v>
      </c>
      <c r="P28" s="12">
        <v>0.482927529650721</v>
      </c>
      <c r="Q28" s="12">
        <v>0.46104165688808701</v>
      </c>
      <c r="R28" s="12">
        <v>0.45967158001908198</v>
      </c>
      <c r="S28" s="12">
        <v>0.46867051603846299</v>
      </c>
      <c r="T28" s="12">
        <v>0.48356726922258902</v>
      </c>
      <c r="U28" s="12">
        <v>0.46796090605097002</v>
      </c>
      <c r="V28" s="12">
        <v>0.48498031100625999</v>
      </c>
      <c r="W28" s="33">
        <v>0.48495560350154399</v>
      </c>
      <c r="X28" t="b">
        <f t="shared" si="46"/>
        <v>1</v>
      </c>
      <c r="Y28" t="b">
        <f t="shared" si="50"/>
        <v>1</v>
      </c>
      <c r="Z28" t="b">
        <f t="shared" si="51"/>
        <v>1</v>
      </c>
      <c r="AA28" t="b">
        <f t="shared" si="52"/>
        <v>1</v>
      </c>
      <c r="AB28" t="b">
        <f t="shared" si="53"/>
        <v>1</v>
      </c>
      <c r="AC28" t="b">
        <f t="shared" si="54"/>
        <v>1</v>
      </c>
      <c r="AD28" t="b">
        <f t="shared" si="55"/>
        <v>1</v>
      </c>
      <c r="AE28" t="b">
        <f t="shared" si="56"/>
        <v>1</v>
      </c>
      <c r="AF28" t="b">
        <f t="shared" si="57"/>
        <v>1</v>
      </c>
      <c r="AG28" t="b">
        <f t="shared" si="1"/>
        <v>1</v>
      </c>
      <c r="AH28" t="b">
        <f t="shared" si="2"/>
        <v>1</v>
      </c>
      <c r="AJ28" s="23">
        <v>0.70786718307567598</v>
      </c>
      <c r="AK28" s="8">
        <v>0.76270955717258671</v>
      </c>
      <c r="AL28" s="8">
        <v>0.7627095619607086</v>
      </c>
      <c r="AM28" s="8">
        <v>0.72788867871801954</v>
      </c>
      <c r="AN28" s="8">
        <v>0.77426687805468863</v>
      </c>
      <c r="AO28" s="8">
        <v>0.77724300096755572</v>
      </c>
      <c r="AP28" s="8">
        <v>0.75785528186003293</v>
      </c>
      <c r="AQ28" s="8">
        <v>0.72656484404031907</v>
      </c>
      <c r="AR28" s="8">
        <v>0.75937052063251409</v>
      </c>
      <c r="AS28" s="8">
        <v>0.72364698473206612</v>
      </c>
      <c r="AT28" s="8">
        <v>0.72369793140669492</v>
      </c>
      <c r="AU28" s="32">
        <v>0.70786718307567598</v>
      </c>
      <c r="AV28" s="12">
        <v>0.76270955717258804</v>
      </c>
      <c r="AW28" s="12">
        <v>0.76270956196070006</v>
      </c>
      <c r="AX28" s="12">
        <v>0.72788867871802299</v>
      </c>
      <c r="AY28" s="12">
        <v>0.77426687805468497</v>
      </c>
      <c r="AZ28" s="12">
        <v>0.77724300096755505</v>
      </c>
      <c r="BA28" s="12">
        <v>0.75785528186003304</v>
      </c>
      <c r="BB28" s="12">
        <v>0.72656484404028998</v>
      </c>
      <c r="BC28" s="12">
        <v>0.75937052063277999</v>
      </c>
      <c r="BD28" s="12">
        <v>0.72364698473206901</v>
      </c>
      <c r="BE28" s="33">
        <v>0.72369793140669303</v>
      </c>
      <c r="BF28" s="44" t="b">
        <f t="shared" si="47"/>
        <v>1</v>
      </c>
      <c r="BG28" t="b">
        <f t="shared" si="3"/>
        <v>1</v>
      </c>
      <c r="BH28" t="b">
        <f t="shared" si="4"/>
        <v>1</v>
      </c>
      <c r="BI28" t="b">
        <f t="shared" si="5"/>
        <v>1</v>
      </c>
      <c r="BJ28" t="b">
        <f t="shared" si="6"/>
        <v>1</v>
      </c>
      <c r="BK28" t="b">
        <f t="shared" si="7"/>
        <v>1</v>
      </c>
      <c r="BL28" t="b">
        <f t="shared" si="8"/>
        <v>1</v>
      </c>
      <c r="BM28" t="b">
        <f t="shared" si="9"/>
        <v>1</v>
      </c>
      <c r="BN28" t="b">
        <f t="shared" si="10"/>
        <v>1</v>
      </c>
      <c r="BO28" t="b">
        <f t="shared" si="11"/>
        <v>1</v>
      </c>
      <c r="BP28" s="45" t="b">
        <f t="shared" si="12"/>
        <v>1</v>
      </c>
      <c r="BR28" s="1">
        <f t="shared" si="43"/>
        <v>60</v>
      </c>
      <c r="BS28" s="23">
        <v>1.17977863845946E-2</v>
      </c>
      <c r="BT28" s="8">
        <v>1.616333376008753E-2</v>
      </c>
      <c r="BU28" s="8">
        <v>1.6163333891730282E-2</v>
      </c>
      <c r="BV28" s="8">
        <v>1.4099030966500128E-2</v>
      </c>
      <c r="BW28" s="8">
        <v>1.6252374618484923E-2</v>
      </c>
      <c r="BX28" s="8">
        <v>1.3800708245342659E-2</v>
      </c>
      <c r="BY28" s="8">
        <v>1.2698029996370206E-2</v>
      </c>
      <c r="BZ28" s="8">
        <v>9.8463825135100651E-3</v>
      </c>
      <c r="CA28" s="8">
        <v>1.3405037809931887E-2</v>
      </c>
      <c r="CB28" s="8">
        <v>9.3561009659850758E-3</v>
      </c>
      <c r="CC28" s="8">
        <v>9.3575415052474849E-3</v>
      </c>
      <c r="CD28" s="32">
        <v>1.17977863845946E-2</v>
      </c>
      <c r="CE28" s="12">
        <v>1.6163333760087498E-2</v>
      </c>
      <c r="CF28" s="12">
        <v>1.6163333891730101E-2</v>
      </c>
      <c r="CG28" s="12">
        <v>1.40990309665002E-2</v>
      </c>
      <c r="CH28" s="12">
        <v>1.6252374618484899E-2</v>
      </c>
      <c r="CI28" s="12">
        <v>1.3800708245342699E-2</v>
      </c>
      <c r="CJ28" s="12">
        <v>1.2698029996370101E-2</v>
      </c>
      <c r="CK28" s="12">
        <v>9.8463825135097494E-3</v>
      </c>
      <c r="CL28" s="12">
        <v>1.34050378099357E-2</v>
      </c>
      <c r="CM28" s="12">
        <v>9.3561009659850307E-3</v>
      </c>
      <c r="CN28" s="33">
        <v>9.3575415052474693E-3</v>
      </c>
      <c r="CO28" t="b">
        <f t="shared" si="48"/>
        <v>1</v>
      </c>
      <c r="CP28" t="b">
        <f t="shared" si="13"/>
        <v>1</v>
      </c>
      <c r="CQ28" t="b">
        <f t="shared" si="14"/>
        <v>1</v>
      </c>
      <c r="CR28" t="b">
        <f t="shared" si="15"/>
        <v>1</v>
      </c>
      <c r="CS28" t="b">
        <f t="shared" si="16"/>
        <v>1</v>
      </c>
      <c r="CT28" t="b">
        <f t="shared" si="17"/>
        <v>1</v>
      </c>
      <c r="CU28" t="b">
        <f t="shared" si="18"/>
        <v>1</v>
      </c>
      <c r="CV28" t="b">
        <f t="shared" si="19"/>
        <v>1</v>
      </c>
      <c r="CW28" t="b">
        <f t="shared" si="20"/>
        <v>1</v>
      </c>
      <c r="CX28" t="b">
        <f t="shared" si="21"/>
        <v>1</v>
      </c>
      <c r="CY28" t="b">
        <f t="shared" si="22"/>
        <v>1</v>
      </c>
    </row>
    <row r="29" spans="1:173" x14ac:dyDescent="0.25">
      <c r="A29" s="1">
        <f t="shared" si="34"/>
        <v>66</v>
      </c>
      <c r="B29" s="23">
        <v>0.45902348650096997</v>
      </c>
      <c r="C29" s="8">
        <v>0.4227494900414695</v>
      </c>
      <c r="D29" s="8">
        <v>0.42274948767416043</v>
      </c>
      <c r="E29" s="8">
        <v>0.44317019836415106</v>
      </c>
      <c r="F29" s="8">
        <v>0.41784267300127353</v>
      </c>
      <c r="G29" s="8">
        <v>0.42366994072396696</v>
      </c>
      <c r="H29" s="8">
        <v>0.43479345368020472</v>
      </c>
      <c r="I29" s="8">
        <v>0.45666746051790463</v>
      </c>
      <c r="J29" s="8">
        <v>0.43215855438568174</v>
      </c>
      <c r="K29" s="8">
        <v>0.45942617293849286</v>
      </c>
      <c r="L29" s="8">
        <v>0.45939893180498614</v>
      </c>
      <c r="M29" s="32">
        <v>0.45902348650097002</v>
      </c>
      <c r="N29" s="12">
        <v>0.422749490041469</v>
      </c>
      <c r="O29" s="12">
        <v>0.42274948767416498</v>
      </c>
      <c r="P29" s="12">
        <v>0.443170198364149</v>
      </c>
      <c r="Q29" s="12">
        <v>0.41784267300127498</v>
      </c>
      <c r="R29" s="12">
        <v>0.42366994072396702</v>
      </c>
      <c r="S29" s="12">
        <v>0.434793453680205</v>
      </c>
      <c r="T29" s="12">
        <v>0.45666746051791102</v>
      </c>
      <c r="U29" s="12">
        <v>0.43215855438539402</v>
      </c>
      <c r="V29" s="12">
        <v>0.45942617293849097</v>
      </c>
      <c r="W29" s="33">
        <v>0.45939893180498598</v>
      </c>
      <c r="X29" t="b">
        <f t="shared" si="46"/>
        <v>1</v>
      </c>
      <c r="Y29" t="b">
        <f t="shared" si="50"/>
        <v>1</v>
      </c>
      <c r="Z29" t="b">
        <f t="shared" si="51"/>
        <v>1</v>
      </c>
      <c r="AA29" t="b">
        <f t="shared" si="52"/>
        <v>1</v>
      </c>
      <c r="AB29" t="b">
        <f t="shared" si="53"/>
        <v>1</v>
      </c>
      <c r="AC29" t="b">
        <f t="shared" si="54"/>
        <v>1</v>
      </c>
      <c r="AD29" t="b">
        <f t="shared" si="55"/>
        <v>1</v>
      </c>
      <c r="AE29" t="b">
        <f t="shared" si="56"/>
        <v>1</v>
      </c>
      <c r="AF29" t="b">
        <f t="shared" si="57"/>
        <v>1</v>
      </c>
      <c r="AG29" t="b">
        <f t="shared" si="1"/>
        <v>1</v>
      </c>
      <c r="AH29" t="b">
        <f t="shared" si="2"/>
        <v>1</v>
      </c>
      <c r="AJ29" s="23">
        <v>0.77865390138324364</v>
      </c>
      <c r="AK29" s="8">
        <v>0.86097549749283375</v>
      </c>
      <c r="AL29" s="8">
        <v>0.86097550309262538</v>
      </c>
      <c r="AM29" s="8">
        <v>0.81380138776804778</v>
      </c>
      <c r="AN29" s="8">
        <v>0.87265029768598223</v>
      </c>
      <c r="AO29" s="8">
        <v>0.85880056858199749</v>
      </c>
      <c r="AP29" s="8">
        <v>0.83288417978171614</v>
      </c>
      <c r="AQ29" s="8">
        <v>0.78379981046921199</v>
      </c>
      <c r="AR29" s="8">
        <v>0.8389627340339445</v>
      </c>
      <c r="AS29" s="8">
        <v>0.7777770183462972</v>
      </c>
      <c r="AT29" s="8">
        <v>0.77783631392578034</v>
      </c>
      <c r="AU29" s="32">
        <v>0.77865390138324397</v>
      </c>
      <c r="AV29" s="12">
        <v>0.86097549749283497</v>
      </c>
      <c r="AW29" s="12">
        <v>0.86097550309261495</v>
      </c>
      <c r="AX29" s="12">
        <v>0.813801387768051</v>
      </c>
      <c r="AY29" s="12">
        <v>0.87265029768597802</v>
      </c>
      <c r="AZ29" s="12">
        <v>0.85880056858199705</v>
      </c>
      <c r="BA29" s="12">
        <v>0.83288417978171603</v>
      </c>
      <c r="BB29" s="12">
        <v>0.783799810469199</v>
      </c>
      <c r="BC29" s="12">
        <v>0.83896273403460997</v>
      </c>
      <c r="BD29" s="12">
        <v>0.77777701834630097</v>
      </c>
      <c r="BE29" s="33">
        <v>0.77783631392578001</v>
      </c>
      <c r="BF29" s="44" t="b">
        <f t="shared" si="47"/>
        <v>1</v>
      </c>
      <c r="BG29" t="b">
        <f t="shared" si="3"/>
        <v>1</v>
      </c>
      <c r="BH29" t="b">
        <f t="shared" si="4"/>
        <v>1</v>
      </c>
      <c r="BI29" t="b">
        <f t="shared" si="5"/>
        <v>1</v>
      </c>
      <c r="BJ29" t="b">
        <f t="shared" si="6"/>
        <v>1</v>
      </c>
      <c r="BK29" t="b">
        <f t="shared" si="7"/>
        <v>1</v>
      </c>
      <c r="BL29" t="b">
        <f t="shared" si="8"/>
        <v>1</v>
      </c>
      <c r="BM29" t="b">
        <f t="shared" si="9"/>
        <v>1</v>
      </c>
      <c r="BN29" t="b">
        <f t="shared" si="10"/>
        <v>1</v>
      </c>
      <c r="BO29" t="b">
        <f t="shared" si="11"/>
        <v>1</v>
      </c>
      <c r="BP29" s="45" t="b">
        <f t="shared" si="12"/>
        <v>1</v>
      </c>
      <c r="BR29" s="1">
        <f t="shared" si="43"/>
        <v>66</v>
      </c>
      <c r="BS29" s="23">
        <v>1.17977863845946E-2</v>
      </c>
      <c r="BT29" s="8">
        <v>1.6587076948068779E-2</v>
      </c>
      <c r="BU29" s="8">
        <v>1.6587077086915203E-2</v>
      </c>
      <c r="BV29" s="8">
        <v>1.4540810394323983E-2</v>
      </c>
      <c r="BW29" s="8">
        <v>1.6535926149522259E-2</v>
      </c>
      <c r="BX29" s="8">
        <v>1.3382034647760169E-2</v>
      </c>
      <c r="BY29" s="8">
        <v>1.2314500367888719E-2</v>
      </c>
      <c r="BZ29" s="8">
        <v>9.2440530399108527E-3</v>
      </c>
      <c r="CA29" s="8">
        <v>1.3125965797889895E-2</v>
      </c>
      <c r="CB29" s="8">
        <v>8.7018503671655815E-3</v>
      </c>
      <c r="CC29" s="8">
        <v>8.70319357465482E-3</v>
      </c>
      <c r="CD29" s="32">
        <v>1.17977863845946E-2</v>
      </c>
      <c r="CE29" s="12">
        <v>1.6587076948068699E-2</v>
      </c>
      <c r="CF29" s="12">
        <v>1.6587077086915002E-2</v>
      </c>
      <c r="CG29" s="12">
        <v>1.4540810394324E-2</v>
      </c>
      <c r="CH29" s="12">
        <v>1.65359261495222E-2</v>
      </c>
      <c r="CI29" s="12">
        <v>1.3382034647760201E-2</v>
      </c>
      <c r="CJ29" s="12">
        <v>1.2314500367888699E-2</v>
      </c>
      <c r="CK29" s="12">
        <v>9.2440530399107105E-3</v>
      </c>
      <c r="CL29" s="12">
        <v>1.3125965797898801E-2</v>
      </c>
      <c r="CM29" s="12">
        <v>8.7018503671655693E-3</v>
      </c>
      <c r="CN29" s="33">
        <v>8.7031935746547801E-3</v>
      </c>
      <c r="CO29" t="b">
        <f t="shared" si="48"/>
        <v>1</v>
      </c>
      <c r="CP29" t="b">
        <f t="shared" si="13"/>
        <v>1</v>
      </c>
      <c r="CQ29" t="b">
        <f t="shared" si="14"/>
        <v>1</v>
      </c>
      <c r="CR29" t="b">
        <f t="shared" si="15"/>
        <v>1</v>
      </c>
      <c r="CS29" t="b">
        <f t="shared" si="16"/>
        <v>1</v>
      </c>
      <c r="CT29" t="b">
        <f t="shared" si="17"/>
        <v>1</v>
      </c>
      <c r="CU29" t="b">
        <f t="shared" si="18"/>
        <v>1</v>
      </c>
      <c r="CV29" t="b">
        <f t="shared" si="19"/>
        <v>1</v>
      </c>
      <c r="CW29" t="b">
        <f t="shared" si="20"/>
        <v>1</v>
      </c>
      <c r="CX29" t="b">
        <f t="shared" si="21"/>
        <v>1</v>
      </c>
      <c r="CY29" t="b">
        <f t="shared" si="22"/>
        <v>1</v>
      </c>
    </row>
    <row r="30" spans="1:173" x14ac:dyDescent="0.25">
      <c r="A30" s="1">
        <f t="shared" si="34"/>
        <v>72</v>
      </c>
      <c r="B30" s="23">
        <v>0.42765408632840141</v>
      </c>
      <c r="C30" s="8">
        <v>0.38224246550501451</v>
      </c>
      <c r="D30" s="8">
        <v>0.38224246303820264</v>
      </c>
      <c r="E30" s="8">
        <v>0.40559259327460695</v>
      </c>
      <c r="F30" s="8">
        <v>0.37808701680794266</v>
      </c>
      <c r="G30" s="8">
        <v>0.39148627735834479</v>
      </c>
      <c r="H30" s="8">
        <v>0.40427254395049572</v>
      </c>
      <c r="I30" s="8">
        <v>0.43273584720203784</v>
      </c>
      <c r="J30" s="8">
        <v>0.39976043728451383</v>
      </c>
      <c r="K30" s="8">
        <v>0.43682184891664477</v>
      </c>
      <c r="L30" s="8">
        <v>0.43679254920793731</v>
      </c>
      <c r="M30" s="32">
        <v>0.42765408632840102</v>
      </c>
      <c r="N30" s="12">
        <v>0.38224246550501401</v>
      </c>
      <c r="O30" s="12">
        <v>0.38224246303820703</v>
      </c>
      <c r="P30" s="12">
        <v>0.40559259327460501</v>
      </c>
      <c r="Q30" s="12">
        <v>0.37808701680794499</v>
      </c>
      <c r="R30" s="12">
        <v>0.39148627735834501</v>
      </c>
      <c r="S30" s="12">
        <v>0.404272543950496</v>
      </c>
      <c r="T30" s="12">
        <v>0.43273584720204</v>
      </c>
      <c r="U30" s="12">
        <v>0.3997604372843</v>
      </c>
      <c r="V30" s="12">
        <v>0.436821848916643</v>
      </c>
      <c r="W30" s="33">
        <v>0.43679254920793797</v>
      </c>
      <c r="X30" t="b">
        <f t="shared" si="46"/>
        <v>1</v>
      </c>
      <c r="Y30" t="b">
        <f t="shared" si="50"/>
        <v>1</v>
      </c>
      <c r="Z30" t="b">
        <f t="shared" si="51"/>
        <v>1</v>
      </c>
      <c r="AA30" t="b">
        <f t="shared" si="52"/>
        <v>1</v>
      </c>
      <c r="AB30" t="b">
        <f t="shared" si="53"/>
        <v>1</v>
      </c>
      <c r="AC30" t="b">
        <f t="shared" si="54"/>
        <v>1</v>
      </c>
      <c r="AD30" t="b">
        <f t="shared" si="55"/>
        <v>1</v>
      </c>
      <c r="AE30" t="b">
        <f t="shared" si="56"/>
        <v>1</v>
      </c>
      <c r="AF30" t="b">
        <f t="shared" si="57"/>
        <v>1</v>
      </c>
      <c r="AG30" t="b">
        <f t="shared" si="1"/>
        <v>1</v>
      </c>
      <c r="AH30" t="b">
        <f t="shared" si="2"/>
        <v>1</v>
      </c>
      <c r="AJ30" s="23">
        <v>0.84944061969081119</v>
      </c>
      <c r="AK30" s="8">
        <v>0.96170014527628089</v>
      </c>
      <c r="AL30" s="8">
        <v>0.96170015172980727</v>
      </c>
      <c r="AM30" s="8">
        <v>0.90240608802918132</v>
      </c>
      <c r="AN30" s="8">
        <v>0.97263090665962382</v>
      </c>
      <c r="AO30" s="8">
        <v>0.93780481561299067</v>
      </c>
      <c r="AP30" s="8">
        <v>0.9056660147316965</v>
      </c>
      <c r="AQ30" s="8">
        <v>0.83762778978866326</v>
      </c>
      <c r="AR30" s="8">
        <v>0.91688981807918057</v>
      </c>
      <c r="AS30" s="8">
        <v>0.82822983538885686</v>
      </c>
      <c r="AT30" s="8">
        <v>0.82829691237106173</v>
      </c>
      <c r="AU30" s="32">
        <v>0.84944061969081197</v>
      </c>
      <c r="AV30" s="12">
        <v>0.961700145276281</v>
      </c>
      <c r="AW30" s="12">
        <v>0.96170015172979595</v>
      </c>
      <c r="AX30" s="12">
        <v>0.90240608802918598</v>
      </c>
      <c r="AY30" s="12">
        <v>0.97263090665961804</v>
      </c>
      <c r="AZ30" s="12">
        <v>0.93780481561299101</v>
      </c>
      <c r="BA30" s="12">
        <v>0.90566601473169595</v>
      </c>
      <c r="BB30" s="12">
        <v>0.83762778978865704</v>
      </c>
      <c r="BC30" s="12">
        <v>0.91688981807971603</v>
      </c>
      <c r="BD30" s="12">
        <v>0.82822983538885997</v>
      </c>
      <c r="BE30" s="33">
        <v>0.82829691237105996</v>
      </c>
      <c r="BF30" s="44" t="b">
        <f t="shared" si="47"/>
        <v>1</v>
      </c>
      <c r="BG30" t="b">
        <f t="shared" si="3"/>
        <v>1</v>
      </c>
      <c r="BH30" t="b">
        <f t="shared" si="4"/>
        <v>1</v>
      </c>
      <c r="BI30" t="b">
        <f t="shared" si="5"/>
        <v>1</v>
      </c>
      <c r="BJ30" t="b">
        <f t="shared" si="6"/>
        <v>1</v>
      </c>
      <c r="BK30" t="b">
        <f t="shared" si="7"/>
        <v>1</v>
      </c>
      <c r="BL30" t="b">
        <f t="shared" si="8"/>
        <v>1</v>
      </c>
      <c r="BM30" t="b">
        <f t="shared" si="9"/>
        <v>1</v>
      </c>
      <c r="BN30" t="b">
        <f t="shared" si="10"/>
        <v>1</v>
      </c>
      <c r="BO30" t="b">
        <f t="shared" si="11"/>
        <v>1</v>
      </c>
      <c r="BP30" s="45" t="b">
        <f t="shared" si="12"/>
        <v>1</v>
      </c>
      <c r="BR30" s="1">
        <f t="shared" si="43"/>
        <v>72</v>
      </c>
      <c r="BS30" s="23">
        <v>1.17977863845946E-2</v>
      </c>
      <c r="BT30" s="8">
        <v>1.6983617025910488E-2</v>
      </c>
      <c r="BU30" s="8">
        <v>1.6983617171583896E-2</v>
      </c>
      <c r="BV30" s="8">
        <v>1.4996432551007155E-2</v>
      </c>
      <c r="BW30" s="8">
        <v>1.6785875049994983E-2</v>
      </c>
      <c r="BX30" s="8">
        <v>1.2951876486775423E-2</v>
      </c>
      <c r="BY30" s="8">
        <v>1.1949273923568669E-2</v>
      </c>
      <c r="BZ30" s="8">
        <v>8.708934780409518E-3</v>
      </c>
      <c r="CA30" s="8">
        <v>1.2850672315690329E-2</v>
      </c>
      <c r="CB30" s="8">
        <v>8.1280090549462579E-3</v>
      </c>
      <c r="CC30" s="8">
        <v>8.1292607716041184E-3</v>
      </c>
      <c r="CD30" s="32">
        <v>1.17977863845946E-2</v>
      </c>
      <c r="CE30" s="12">
        <v>1.6983617025910499E-2</v>
      </c>
      <c r="CF30" s="12">
        <v>1.6983617171583702E-2</v>
      </c>
      <c r="CG30" s="12">
        <v>1.49964325510072E-2</v>
      </c>
      <c r="CH30" s="12">
        <v>1.6785875049994899E-2</v>
      </c>
      <c r="CI30" s="12">
        <v>1.2951876486775499E-2</v>
      </c>
      <c r="CJ30" s="12">
        <v>1.19492739235686E-2</v>
      </c>
      <c r="CK30" s="12">
        <v>8.7089347804094504E-3</v>
      </c>
      <c r="CL30" s="12">
        <v>1.2850672315697399E-2</v>
      </c>
      <c r="CM30" s="12">
        <v>8.1280090549462804E-3</v>
      </c>
      <c r="CN30" s="33">
        <v>8.1292607716041097E-3</v>
      </c>
      <c r="CO30" t="b">
        <f t="shared" si="48"/>
        <v>1</v>
      </c>
      <c r="CP30" t="b">
        <f t="shared" si="13"/>
        <v>1</v>
      </c>
      <c r="CQ30" t="b">
        <f t="shared" si="14"/>
        <v>1</v>
      </c>
      <c r="CR30" t="b">
        <f t="shared" si="15"/>
        <v>1</v>
      </c>
      <c r="CS30" t="b">
        <f t="shared" si="16"/>
        <v>1</v>
      </c>
      <c r="CT30" t="b">
        <f t="shared" si="17"/>
        <v>1</v>
      </c>
      <c r="CU30" t="b">
        <f t="shared" si="18"/>
        <v>1</v>
      </c>
      <c r="CV30" t="b">
        <f t="shared" si="19"/>
        <v>1</v>
      </c>
      <c r="CW30" t="b">
        <f t="shared" si="20"/>
        <v>1</v>
      </c>
      <c r="CX30" t="b">
        <f t="shared" si="21"/>
        <v>1</v>
      </c>
      <c r="CY30" t="b">
        <f t="shared" si="22"/>
        <v>1</v>
      </c>
    </row>
    <row r="31" spans="1:173" x14ac:dyDescent="0.25">
      <c r="A31" s="1">
        <f t="shared" si="34"/>
        <v>78</v>
      </c>
      <c r="B31" s="23">
        <v>0.39842845286086104</v>
      </c>
      <c r="C31" s="8">
        <v>0.34482019621388482</v>
      </c>
      <c r="D31" s="8">
        <v>0.3448201936804165</v>
      </c>
      <c r="E31" s="8">
        <v>0.37017214291100498</v>
      </c>
      <c r="F31" s="8">
        <v>0.34163057069377534</v>
      </c>
      <c r="G31" s="8">
        <v>0.36268419127067308</v>
      </c>
      <c r="H31" s="8">
        <v>0.37669711198883182</v>
      </c>
      <c r="I31" s="8">
        <v>0.41130444589585202</v>
      </c>
      <c r="J31" s="8">
        <v>0.37039522073110609</v>
      </c>
      <c r="K31" s="8">
        <v>0.41667528687782662</v>
      </c>
      <c r="L31" s="8">
        <v>0.41664431636597554</v>
      </c>
      <c r="M31" s="32">
        <v>0.39842845286086098</v>
      </c>
      <c r="N31" s="12">
        <v>0.34482019621388499</v>
      </c>
      <c r="O31" s="12">
        <v>0.34482019368042099</v>
      </c>
      <c r="P31" s="12">
        <v>0.37017214291100298</v>
      </c>
      <c r="Q31" s="12">
        <v>0.341630570693777</v>
      </c>
      <c r="R31" s="12">
        <v>0.36268419127067297</v>
      </c>
      <c r="S31" s="12">
        <v>0.37669711198883199</v>
      </c>
      <c r="T31" s="12">
        <v>0.41130444589587001</v>
      </c>
      <c r="U31" s="12">
        <v>0.37039522073110798</v>
      </c>
      <c r="V31" s="12">
        <v>0.41667528687782501</v>
      </c>
      <c r="W31" s="33">
        <v>0.41664431636597599</v>
      </c>
      <c r="X31" t="b">
        <f t="shared" si="46"/>
        <v>1</v>
      </c>
      <c r="Y31" t="b">
        <f t="shared" si="50"/>
        <v>1</v>
      </c>
      <c r="Z31" t="b">
        <f t="shared" si="51"/>
        <v>1</v>
      </c>
      <c r="AA31" t="b">
        <f t="shared" si="52"/>
        <v>1</v>
      </c>
      <c r="AB31" t="b">
        <f t="shared" si="53"/>
        <v>1</v>
      </c>
      <c r="AC31" t="b">
        <f t="shared" si="54"/>
        <v>1</v>
      </c>
      <c r="AD31" t="b">
        <f t="shared" si="55"/>
        <v>1</v>
      </c>
      <c r="AE31" t="b">
        <f t="shared" si="56"/>
        <v>1</v>
      </c>
      <c r="AF31" t="b">
        <f t="shared" si="57"/>
        <v>1</v>
      </c>
      <c r="AG31" t="b">
        <f t="shared" si="1"/>
        <v>1</v>
      </c>
      <c r="AH31" t="b">
        <f t="shared" si="2"/>
        <v>1</v>
      </c>
      <c r="AJ31" s="23">
        <v>0.92022733799837886</v>
      </c>
      <c r="AK31" s="8">
        <v>1.0647321682018092</v>
      </c>
      <c r="AL31" s="8">
        <v>1.0647321755490247</v>
      </c>
      <c r="AM31" s="8">
        <v>0.99378713042878319</v>
      </c>
      <c r="AN31" s="8">
        <v>1.0740253284086749</v>
      </c>
      <c r="AO31" s="8">
        <v>1.0142228198834058</v>
      </c>
      <c r="AP31" s="8">
        <v>0.9763138309213566</v>
      </c>
      <c r="AQ31" s="8">
        <v>0.8884215944293874</v>
      </c>
      <c r="AR31" s="8">
        <v>0.99318467928713117</v>
      </c>
      <c r="AS31" s="8">
        <v>0.87544804906112028</v>
      </c>
      <c r="AT31" s="8">
        <v>0.87552237951427359</v>
      </c>
      <c r="AU31" s="32">
        <v>0.92022733799837897</v>
      </c>
      <c r="AV31" s="12">
        <v>1.06473216820181</v>
      </c>
      <c r="AW31" s="12">
        <v>1.06473217554901</v>
      </c>
      <c r="AX31" s="12">
        <v>0.99378713042878797</v>
      </c>
      <c r="AY31" s="12">
        <v>1.07402532840867</v>
      </c>
      <c r="AZ31" s="12">
        <v>1.01422281988341</v>
      </c>
      <c r="BA31" s="12">
        <v>0.97631383092135504</v>
      </c>
      <c r="BB31" s="12">
        <v>0.88842159442934299</v>
      </c>
      <c r="BC31" s="12">
        <v>0.99318467928712595</v>
      </c>
      <c r="BD31" s="12">
        <v>0.87544804906112295</v>
      </c>
      <c r="BE31" s="33">
        <v>0.87552237951427103</v>
      </c>
      <c r="BF31" s="44" t="b">
        <f t="shared" si="47"/>
        <v>1</v>
      </c>
      <c r="BG31" t="b">
        <f t="shared" si="3"/>
        <v>1</v>
      </c>
      <c r="BH31" t="b">
        <f t="shared" si="4"/>
        <v>1</v>
      </c>
      <c r="BI31" t="b">
        <f t="shared" si="5"/>
        <v>1</v>
      </c>
      <c r="BJ31" t="b">
        <f t="shared" si="6"/>
        <v>1</v>
      </c>
      <c r="BK31" t="b">
        <f t="shared" si="7"/>
        <v>1</v>
      </c>
      <c r="BL31" t="b">
        <f t="shared" si="8"/>
        <v>1</v>
      </c>
      <c r="BM31" t="b">
        <f t="shared" si="9"/>
        <v>1</v>
      </c>
      <c r="BN31" t="b">
        <f t="shared" si="10"/>
        <v>1</v>
      </c>
      <c r="BO31" t="b">
        <f t="shared" si="11"/>
        <v>1</v>
      </c>
      <c r="BP31" s="45" t="b">
        <f t="shared" si="12"/>
        <v>1</v>
      </c>
      <c r="BR31" s="1">
        <f t="shared" si="43"/>
        <v>78</v>
      </c>
      <c r="BS31" s="23">
        <v>1.17977863845946E-2</v>
      </c>
      <c r="BT31" s="8">
        <v>1.735676468585607E-2</v>
      </c>
      <c r="BU31" s="8">
        <v>1.7356764838027686E-2</v>
      </c>
      <c r="BV31" s="8">
        <v>1.5466331185000124E-2</v>
      </c>
      <c r="BW31" s="8">
        <v>1.7008046178904009E-2</v>
      </c>
      <c r="BX31" s="8">
        <v>1.2521458048861152E-2</v>
      </c>
      <c r="BY31" s="8">
        <v>1.1603196815056343E-2</v>
      </c>
      <c r="BZ31" s="8">
        <v>8.2311531373467518E-3</v>
      </c>
      <c r="CA31" s="8">
        <v>1.2582272076091942E-2</v>
      </c>
      <c r="CB31" s="8">
        <v>7.6217054232218693E-3</v>
      </c>
      <c r="CC31" s="8">
        <v>7.6228727525796949E-3</v>
      </c>
      <c r="CD31" s="32">
        <v>1.17977863845946E-2</v>
      </c>
      <c r="CE31" s="12">
        <v>1.7356764685856001E-2</v>
      </c>
      <c r="CF31" s="12">
        <v>1.7356764838027401E-2</v>
      </c>
      <c r="CG31" s="12">
        <v>1.5466331185000201E-2</v>
      </c>
      <c r="CH31" s="12">
        <v>1.7008046178903901E-2</v>
      </c>
      <c r="CI31" s="12">
        <v>1.2521458048861201E-2</v>
      </c>
      <c r="CJ31" s="12">
        <v>1.16031968150563E-2</v>
      </c>
      <c r="CK31" s="12">
        <v>8.2311531373463805E-3</v>
      </c>
      <c r="CL31" s="12">
        <v>1.25822720760921E-2</v>
      </c>
      <c r="CM31" s="12">
        <v>7.6217054232218702E-3</v>
      </c>
      <c r="CN31" s="33">
        <v>7.6228727525796697E-3</v>
      </c>
      <c r="CO31" t="b">
        <f t="shared" si="48"/>
        <v>1</v>
      </c>
      <c r="CP31" t="b">
        <f t="shared" si="13"/>
        <v>1</v>
      </c>
      <c r="CQ31" t="b">
        <f t="shared" si="14"/>
        <v>1</v>
      </c>
      <c r="CR31" t="b">
        <f t="shared" si="15"/>
        <v>1</v>
      </c>
      <c r="CS31" t="b">
        <f t="shared" si="16"/>
        <v>1</v>
      </c>
      <c r="CT31" t="b">
        <f t="shared" si="17"/>
        <v>1</v>
      </c>
      <c r="CU31" t="b">
        <f t="shared" si="18"/>
        <v>1</v>
      </c>
      <c r="CV31" t="b">
        <f t="shared" si="19"/>
        <v>1</v>
      </c>
      <c r="CW31" t="b">
        <f t="shared" si="20"/>
        <v>1</v>
      </c>
      <c r="CX31" t="b">
        <f t="shared" si="21"/>
        <v>1</v>
      </c>
      <c r="CY31" t="b">
        <f t="shared" si="22"/>
        <v>1</v>
      </c>
      <c r="EU31" s="51"/>
    </row>
    <row r="32" spans="1:173" x14ac:dyDescent="0.25">
      <c r="A32" s="1">
        <f t="shared" si="34"/>
        <v>84</v>
      </c>
      <c r="B32" s="23">
        <v>0.37120008231885981</v>
      </c>
      <c r="C32" s="8">
        <v>0.31038536638571596</v>
      </c>
      <c r="D32" s="8">
        <v>0.31038536381603354</v>
      </c>
      <c r="E32" s="8">
        <v>0.3368789847058305</v>
      </c>
      <c r="F32" s="8">
        <v>0.30830028877948301</v>
      </c>
      <c r="G32" s="8">
        <v>0.33686377119335964</v>
      </c>
      <c r="H32" s="8">
        <v>0.35171209476277498</v>
      </c>
      <c r="I32" s="8">
        <v>0.3919975726551701</v>
      </c>
      <c r="J32" s="8">
        <v>0.34373153812520241</v>
      </c>
      <c r="K32" s="8">
        <v>0.3985971255329197</v>
      </c>
      <c r="L32" s="8">
        <v>0.39856480078516088</v>
      </c>
      <c r="M32" s="32">
        <v>0.37120008231885998</v>
      </c>
      <c r="N32" s="12">
        <v>0.31038536638571601</v>
      </c>
      <c r="O32" s="12">
        <v>0.31038536381603798</v>
      </c>
      <c r="P32" s="12">
        <v>0.336878984705829</v>
      </c>
      <c r="Q32" s="12">
        <v>0.30830028877948501</v>
      </c>
      <c r="R32" s="12">
        <v>0.33686377119335897</v>
      </c>
      <c r="S32" s="12">
        <v>0.35171209476277498</v>
      </c>
      <c r="T32" s="12">
        <v>0.39199757265517898</v>
      </c>
      <c r="U32" s="12">
        <v>0.34373153812519203</v>
      </c>
      <c r="V32" s="12">
        <v>0.39859712553291798</v>
      </c>
      <c r="W32" s="33">
        <v>0.39856480078516099</v>
      </c>
      <c r="X32" t="b">
        <f t="shared" si="46"/>
        <v>1</v>
      </c>
      <c r="Y32" t="b">
        <f t="shared" si="50"/>
        <v>1</v>
      </c>
      <c r="Z32" t="b">
        <f t="shared" si="51"/>
        <v>1</v>
      </c>
      <c r="AA32" t="b">
        <f t="shared" si="52"/>
        <v>1</v>
      </c>
      <c r="AB32" t="b">
        <f t="shared" si="53"/>
        <v>1</v>
      </c>
      <c r="AC32" t="b">
        <f t="shared" si="54"/>
        <v>1</v>
      </c>
      <c r="AD32" t="b">
        <f t="shared" si="55"/>
        <v>1</v>
      </c>
      <c r="AE32" t="b">
        <f t="shared" si="56"/>
        <v>1</v>
      </c>
      <c r="AF32" t="b">
        <f t="shared" si="57"/>
        <v>1</v>
      </c>
      <c r="AG32" t="b">
        <f t="shared" si="1"/>
        <v>1</v>
      </c>
      <c r="AH32" t="b">
        <f t="shared" si="2"/>
        <v>1</v>
      </c>
      <c r="AJ32" s="23">
        <v>0.99101405630594641</v>
      </c>
      <c r="AK32" s="8">
        <v>1.1699406361603195</v>
      </c>
      <c r="AL32" s="8">
        <v>1.1699406444393259</v>
      </c>
      <c r="AM32" s="8">
        <v>1.0880315089485177</v>
      </c>
      <c r="AN32" s="8">
        <v>1.176681007407101</v>
      </c>
      <c r="AO32" s="8">
        <v>1.0880766701390174</v>
      </c>
      <c r="AP32" s="8">
        <v>1.0449423506628095</v>
      </c>
      <c r="AQ32" s="8">
        <v>0.93649963141704506</v>
      </c>
      <c r="AR32" s="8">
        <v>1.0678943387157815</v>
      </c>
      <c r="AS32" s="8">
        <v>0.91980408263707247</v>
      </c>
      <c r="AT32" s="8">
        <v>0.91988518221473503</v>
      </c>
      <c r="AU32" s="32">
        <v>0.99101405630594697</v>
      </c>
      <c r="AV32" s="12">
        <v>1.16994063616032</v>
      </c>
      <c r="AW32" s="12">
        <v>1.1699406444393099</v>
      </c>
      <c r="AX32" s="12">
        <v>1.08803150894852</v>
      </c>
      <c r="AY32" s="12">
        <v>1.1766810074070899</v>
      </c>
      <c r="AZ32" s="12">
        <v>1.0880766701390201</v>
      </c>
      <c r="BA32" s="12">
        <v>1.0449423506628099</v>
      </c>
      <c r="BB32" s="12">
        <v>0.93649963141702197</v>
      </c>
      <c r="BC32" s="12">
        <v>1.06789433871581</v>
      </c>
      <c r="BD32" s="12">
        <v>0.91980408263707603</v>
      </c>
      <c r="BE32" s="33">
        <v>0.91988518221473403</v>
      </c>
      <c r="BF32" s="44" t="b">
        <f t="shared" si="47"/>
        <v>1</v>
      </c>
      <c r="BG32" t="b">
        <f t="shared" si="3"/>
        <v>1</v>
      </c>
      <c r="BH32" t="b">
        <f t="shared" si="4"/>
        <v>1</v>
      </c>
      <c r="BI32" t="b">
        <f t="shared" si="5"/>
        <v>1</v>
      </c>
      <c r="BJ32" t="b">
        <f t="shared" si="6"/>
        <v>1</v>
      </c>
      <c r="BK32" t="b">
        <f t="shared" si="7"/>
        <v>1</v>
      </c>
      <c r="BL32" t="b">
        <f t="shared" si="8"/>
        <v>1</v>
      </c>
      <c r="BM32" t="b">
        <f t="shared" si="9"/>
        <v>1</v>
      </c>
      <c r="BN32" t="b">
        <f t="shared" si="10"/>
        <v>1</v>
      </c>
      <c r="BO32" t="b">
        <f t="shared" si="11"/>
        <v>1</v>
      </c>
      <c r="BP32" s="45" t="b">
        <f t="shared" si="12"/>
        <v>1</v>
      </c>
      <c r="BR32" s="1">
        <f t="shared" si="43"/>
        <v>84</v>
      </c>
      <c r="BS32" s="23">
        <v>1.17977863845946E-2</v>
      </c>
      <c r="BT32" s="8">
        <v>1.7709550681997373E-2</v>
      </c>
      <c r="BU32" s="8">
        <v>1.7709550840377133E-2</v>
      </c>
      <c r="BV32" s="8">
        <v>1.5950953635839364E-2</v>
      </c>
      <c r="BW32" s="8">
        <v>1.7206959295554207E-2</v>
      </c>
      <c r="BX32" s="8">
        <v>1.2098131012616933E-2</v>
      </c>
      <c r="BY32" s="8">
        <v>1.1276089752035931E-2</v>
      </c>
      <c r="BZ32" s="8">
        <v>7.8024195768641239E-3</v>
      </c>
      <c r="CA32" s="8">
        <v>1.2322471861769055E-2</v>
      </c>
      <c r="CB32" s="8">
        <v>7.1723568088452533E-3</v>
      </c>
      <c r="CC32" s="8">
        <v>7.1734470566918816E-3</v>
      </c>
      <c r="CD32" s="32">
        <v>1.17977863845946E-2</v>
      </c>
      <c r="CE32" s="12">
        <v>1.77095506819973E-2</v>
      </c>
      <c r="CF32" s="12">
        <v>1.7709550840376901E-2</v>
      </c>
      <c r="CG32" s="12">
        <v>1.5950953635839399E-2</v>
      </c>
      <c r="CH32" s="12">
        <v>1.7206959295554099E-2</v>
      </c>
      <c r="CI32" s="12">
        <v>1.2098131012616999E-2</v>
      </c>
      <c r="CJ32" s="12">
        <v>1.12760897520359E-2</v>
      </c>
      <c r="CK32" s="12">
        <v>7.80241957686394E-3</v>
      </c>
      <c r="CL32" s="12">
        <v>1.23224718617696E-2</v>
      </c>
      <c r="CM32" s="12">
        <v>7.1723568088452204E-3</v>
      </c>
      <c r="CN32" s="33">
        <v>7.1734470566918703E-3</v>
      </c>
      <c r="CO32" t="b">
        <f t="shared" si="48"/>
        <v>1</v>
      </c>
      <c r="CP32" t="b">
        <f t="shared" si="13"/>
        <v>1</v>
      </c>
      <c r="CQ32" t="b">
        <f t="shared" si="14"/>
        <v>1</v>
      </c>
      <c r="CR32" t="b">
        <f t="shared" si="15"/>
        <v>1</v>
      </c>
      <c r="CS32" t="b">
        <f t="shared" si="16"/>
        <v>1</v>
      </c>
      <c r="CT32" t="b">
        <f t="shared" si="17"/>
        <v>1</v>
      </c>
      <c r="CU32" t="b">
        <f t="shared" si="18"/>
        <v>1</v>
      </c>
      <c r="CV32" t="b">
        <f t="shared" si="19"/>
        <v>1</v>
      </c>
      <c r="CW32" t="b">
        <f t="shared" si="20"/>
        <v>1</v>
      </c>
      <c r="CX32" t="b">
        <f t="shared" si="21"/>
        <v>1</v>
      </c>
      <c r="CY32" t="b">
        <f t="shared" si="22"/>
        <v>1</v>
      </c>
      <c r="EU32" s="51"/>
    </row>
    <row r="33" spans="1:151" x14ac:dyDescent="0.25">
      <c r="A33" s="1">
        <f t="shared" si="34"/>
        <v>90</v>
      </c>
      <c r="B33" s="23">
        <v>0.34583248290665392</v>
      </c>
      <c r="C33" s="8">
        <v>0.27881383177156527</v>
      </c>
      <c r="D33" s="8">
        <v>0.27881382919330222</v>
      </c>
      <c r="E33" s="8">
        <v>0.30567618892828069</v>
      </c>
      <c r="F33" s="8">
        <v>0.27790679089539916</v>
      </c>
      <c r="G33" s="8">
        <v>0.31366678259374692</v>
      </c>
      <c r="H33" s="8">
        <v>0.32901121662618282</v>
      </c>
      <c r="I33" s="8">
        <v>0.3745107263599663</v>
      </c>
      <c r="J33" s="8">
        <v>0.31947595373842153</v>
      </c>
      <c r="K33" s="8">
        <v>0.38227584894677513</v>
      </c>
      <c r="L33" s="8">
        <v>0.38224242900532646</v>
      </c>
      <c r="M33" s="32">
        <v>0.34583248290665403</v>
      </c>
      <c r="N33" s="12">
        <v>0.27881383177156499</v>
      </c>
      <c r="O33" s="12">
        <v>0.27881382919330699</v>
      </c>
      <c r="P33" s="12">
        <v>0.30567618892827902</v>
      </c>
      <c r="Q33" s="12">
        <v>0.27790679089539999</v>
      </c>
      <c r="R33" s="12">
        <v>0.31366678259374597</v>
      </c>
      <c r="S33" s="12">
        <v>0.32901121662618299</v>
      </c>
      <c r="T33" s="12">
        <v>0.37451072635997101</v>
      </c>
      <c r="U33" s="12">
        <v>0.31947595373841797</v>
      </c>
      <c r="V33" s="12">
        <v>0.38227584894677402</v>
      </c>
      <c r="W33" s="33">
        <v>0.38224242900532701</v>
      </c>
      <c r="X33" t="b">
        <f t="shared" si="46"/>
        <v>1</v>
      </c>
      <c r="Y33" t="b">
        <f t="shared" si="50"/>
        <v>1</v>
      </c>
      <c r="Z33" t="b">
        <f t="shared" si="51"/>
        <v>1</v>
      </c>
      <c r="AA33" t="b">
        <f t="shared" si="52"/>
        <v>1</v>
      </c>
      <c r="AB33" t="b">
        <f t="shared" si="53"/>
        <v>1</v>
      </c>
      <c r="AC33" t="b">
        <f t="shared" si="54"/>
        <v>1</v>
      </c>
      <c r="AD33" t="b">
        <f t="shared" si="55"/>
        <v>1</v>
      </c>
      <c r="AE33" t="b">
        <f t="shared" si="56"/>
        <v>1</v>
      </c>
      <c r="AF33" t="b">
        <f t="shared" si="57"/>
        <v>1</v>
      </c>
      <c r="AG33" t="b">
        <f t="shared" si="1"/>
        <v>1</v>
      </c>
      <c r="AH33" t="b">
        <f t="shared" si="2"/>
        <v>1</v>
      </c>
      <c r="AJ33" s="23">
        <v>1.0618007746135141</v>
      </c>
      <c r="AK33" s="8">
        <v>1.2772109895202051</v>
      </c>
      <c r="AL33" s="8">
        <v>1.2772109987674616</v>
      </c>
      <c r="AM33" s="8">
        <v>1.1852289434418857</v>
      </c>
      <c r="AN33" s="8">
        <v>1.2804695060608551</v>
      </c>
      <c r="AO33" s="8">
        <v>1.1594240584780697</v>
      </c>
      <c r="AP33" s="8">
        <v>1.1116634357092197</v>
      </c>
      <c r="AQ33" s="8">
        <v>0.98213483461936757</v>
      </c>
      <c r="AR33" s="8">
        <v>1.1410732701614512</v>
      </c>
      <c r="AS33" s="8">
        <v>0.96161281331535642</v>
      </c>
      <c r="AT33" s="8">
        <v>0.96170024076459804</v>
      </c>
      <c r="AU33" s="32">
        <v>1.0618007746135101</v>
      </c>
      <c r="AV33" s="12">
        <v>1.2772109895202</v>
      </c>
      <c r="AW33" s="12">
        <v>1.27721099876745</v>
      </c>
      <c r="AX33" s="12">
        <v>1.1852289434418899</v>
      </c>
      <c r="AY33" s="12">
        <v>1.28046950606085</v>
      </c>
      <c r="AZ33" s="12">
        <v>1.15942405847807</v>
      </c>
      <c r="BA33" s="12">
        <v>1.1116634357092201</v>
      </c>
      <c r="BB33" s="12">
        <v>0.98213483461935402</v>
      </c>
      <c r="BC33" s="12">
        <v>1.1410732701614601</v>
      </c>
      <c r="BD33" s="12">
        <v>0.96161281331535997</v>
      </c>
      <c r="BE33" s="33">
        <v>0.96170024076459604</v>
      </c>
      <c r="BF33" s="44" t="b">
        <f t="shared" si="47"/>
        <v>1</v>
      </c>
      <c r="BG33" t="b">
        <f t="shared" si="3"/>
        <v>1</v>
      </c>
      <c r="BH33" t="b">
        <f t="shared" si="4"/>
        <v>1</v>
      </c>
      <c r="BI33" t="b">
        <f t="shared" si="5"/>
        <v>1</v>
      </c>
      <c r="BJ33" t="b">
        <f t="shared" si="6"/>
        <v>1</v>
      </c>
      <c r="BK33" t="b">
        <f t="shared" si="7"/>
        <v>1</v>
      </c>
      <c r="BL33" t="b">
        <f t="shared" si="8"/>
        <v>1</v>
      </c>
      <c r="BM33" t="b">
        <f t="shared" si="9"/>
        <v>1</v>
      </c>
      <c r="BN33" t="b">
        <f t="shared" si="10"/>
        <v>1</v>
      </c>
      <c r="BO33" t="b">
        <f t="shared" si="11"/>
        <v>1</v>
      </c>
      <c r="BP33" s="45" t="b">
        <f t="shared" si="12"/>
        <v>1</v>
      </c>
      <c r="BR33" s="1">
        <f t="shared" si="43"/>
        <v>90</v>
      </c>
      <c r="BS33" s="23">
        <v>1.17977863845946E-2</v>
      </c>
      <c r="BT33" s="8">
        <v>1.804442884933842E-2</v>
      </c>
      <c r="BU33" s="8">
        <v>1.8044429013668054E-2</v>
      </c>
      <c r="BV33" s="8">
        <v>1.6450761260010802E-2</v>
      </c>
      <c r="BW33" s="8">
        <v>1.7386182091619257E-2</v>
      </c>
      <c r="BX33" s="8">
        <v>1.1686576956098333E-2</v>
      </c>
      <c r="BY33" s="8">
        <v>1.0967238333583783E-2</v>
      </c>
      <c r="BZ33" s="8">
        <v>7.415827096249281E-3</v>
      </c>
      <c r="CA33" s="8">
        <v>1.2072118763663391E-2</v>
      </c>
      <c r="CB33" s="8">
        <v>6.7713013996382604E-3</v>
      </c>
      <c r="CC33" s="8">
        <v>6.7723215701512946E-3</v>
      </c>
      <c r="CD33" s="32">
        <v>1.17977863845946E-2</v>
      </c>
      <c r="CE33" s="12">
        <v>1.8044428849338399E-2</v>
      </c>
      <c r="CF33" s="12">
        <v>1.80444290136678E-2</v>
      </c>
      <c r="CG33" s="12">
        <v>1.6450761260010899E-2</v>
      </c>
      <c r="CH33" s="12">
        <v>1.7386182091619198E-2</v>
      </c>
      <c r="CI33" s="12">
        <v>1.1686576956098401E-2</v>
      </c>
      <c r="CJ33" s="12">
        <v>1.09672383335837E-2</v>
      </c>
      <c r="CK33" s="12">
        <v>7.4158270962491699E-3</v>
      </c>
      <c r="CL33" s="12">
        <v>1.20721187636638E-2</v>
      </c>
      <c r="CM33" s="12">
        <v>6.7713013996382604E-3</v>
      </c>
      <c r="CN33" s="33">
        <v>6.7723215701512903E-3</v>
      </c>
      <c r="CO33" t="b">
        <f t="shared" si="48"/>
        <v>1</v>
      </c>
      <c r="CP33" t="b">
        <f t="shared" si="13"/>
        <v>1</v>
      </c>
      <c r="CQ33" t="b">
        <f t="shared" si="14"/>
        <v>1</v>
      </c>
      <c r="CR33" t="b">
        <f t="shared" si="15"/>
        <v>1</v>
      </c>
      <c r="CS33" t="b">
        <f t="shared" si="16"/>
        <v>1</v>
      </c>
      <c r="CT33" t="b">
        <f t="shared" si="17"/>
        <v>1</v>
      </c>
      <c r="CU33" t="b">
        <f t="shared" si="18"/>
        <v>1</v>
      </c>
      <c r="CV33" t="b">
        <f t="shared" si="19"/>
        <v>1</v>
      </c>
      <c r="CW33" t="b">
        <f t="shared" si="20"/>
        <v>1</v>
      </c>
      <c r="CX33" t="b">
        <f t="shared" si="21"/>
        <v>1</v>
      </c>
      <c r="CY33" t="b">
        <f t="shared" si="22"/>
        <v>1</v>
      </c>
      <c r="EU33" s="51"/>
    </row>
    <row r="34" spans="1:151" x14ac:dyDescent="0.25">
      <c r="A34" s="1">
        <f t="shared" si="34"/>
        <v>96</v>
      </c>
      <c r="B34" s="23">
        <v>0.32219849059905353</v>
      </c>
      <c r="C34" s="8">
        <v>0.24996308713901241</v>
      </c>
      <c r="D34" s="8">
        <v>0.24996308457676619</v>
      </c>
      <c r="E34" s="8">
        <v>0.27652004503358196</v>
      </c>
      <c r="F34" s="8">
        <v>0.25025332758377172</v>
      </c>
      <c r="G34" s="8">
        <v>0.29277674837986051</v>
      </c>
      <c r="H34" s="8">
        <v>0.30833026594696988</v>
      </c>
      <c r="I34" s="8">
        <v>0.35859478014599078</v>
      </c>
      <c r="J34" s="8">
        <v>0.29736964577077041</v>
      </c>
      <c r="K34" s="8">
        <v>0.36745955976894884</v>
      </c>
      <c r="L34" s="8">
        <v>0.36742525733168985</v>
      </c>
      <c r="M34" s="32">
        <v>0.32219849059905298</v>
      </c>
      <c r="N34" s="12">
        <v>0.249963087139013</v>
      </c>
      <c r="O34" s="12">
        <v>0.24996308457677099</v>
      </c>
      <c r="P34" s="12">
        <v>0.27652004503358002</v>
      </c>
      <c r="Q34" s="12">
        <v>0.250253327583773</v>
      </c>
      <c r="R34" s="12">
        <v>0.29277674837986001</v>
      </c>
      <c r="S34" s="12">
        <v>0.30833026594697099</v>
      </c>
      <c r="T34" s="12">
        <v>0.358594780145994</v>
      </c>
      <c r="U34" s="12">
        <v>0.29736964577077002</v>
      </c>
      <c r="V34" s="12">
        <v>0.36745955976894801</v>
      </c>
      <c r="W34" s="33">
        <v>0.36742525733169101</v>
      </c>
      <c r="X34" t="b">
        <f t="shared" si="46"/>
        <v>1</v>
      </c>
      <c r="Y34" t="b">
        <f t="shared" si="50"/>
        <v>1</v>
      </c>
      <c r="Z34" t="b">
        <f t="shared" si="51"/>
        <v>1</v>
      </c>
      <c r="AA34" t="b">
        <f t="shared" si="52"/>
        <v>1</v>
      </c>
      <c r="AB34" t="b">
        <f t="shared" si="53"/>
        <v>1</v>
      </c>
      <c r="AC34" t="b">
        <f t="shared" si="54"/>
        <v>1</v>
      </c>
      <c r="AD34" t="b">
        <f t="shared" si="55"/>
        <v>1</v>
      </c>
      <c r="AE34" t="b">
        <f t="shared" si="56"/>
        <v>1</v>
      </c>
      <c r="AF34" t="b">
        <f t="shared" si="57"/>
        <v>1</v>
      </c>
      <c r="AG34" t="b">
        <f t="shared" si="1"/>
        <v>1</v>
      </c>
      <c r="AH34" t="b">
        <f t="shared" si="2"/>
        <v>1</v>
      </c>
      <c r="AJ34" s="23">
        <v>1.1325874929210817</v>
      </c>
      <c r="AK34" s="8">
        <v>1.3864420234653885</v>
      </c>
      <c r="AL34" s="8">
        <v>1.3864420337158869</v>
      </c>
      <c r="AM34" s="8">
        <v>1.2854719650467685</v>
      </c>
      <c r="AN34" s="8">
        <v>1.3852815638371632</v>
      </c>
      <c r="AO34" s="8">
        <v>1.2283449113191907</v>
      </c>
      <c r="AP34" s="8">
        <v>1.1765837784674036</v>
      </c>
      <c r="AQ34" s="8">
        <v>1.0255622741189692</v>
      </c>
      <c r="AR34" s="8">
        <v>1.2127793154953972</v>
      </c>
      <c r="AS34" s="8">
        <v>1.001142007829287</v>
      </c>
      <c r="AT34" s="8">
        <v>1.0012353624244172</v>
      </c>
      <c r="AU34" s="32">
        <v>1.13258749292108</v>
      </c>
      <c r="AV34" s="12">
        <v>1.38644202346539</v>
      </c>
      <c r="AW34" s="12">
        <v>1.38644203371587</v>
      </c>
      <c r="AX34" s="12">
        <v>1.2854719650467701</v>
      </c>
      <c r="AY34" s="12">
        <v>1.3852815638371601</v>
      </c>
      <c r="AZ34" s="12">
        <v>1.22834491131919</v>
      </c>
      <c r="BA34" s="12">
        <v>1.1765837784674</v>
      </c>
      <c r="BB34" s="12">
        <v>1.0255622741189601</v>
      </c>
      <c r="BC34" s="12">
        <v>1.2127793154954001</v>
      </c>
      <c r="BD34" s="12">
        <v>1.0011420078292901</v>
      </c>
      <c r="BE34" s="33">
        <v>1.0012353624244199</v>
      </c>
      <c r="BF34" s="44" t="b">
        <f t="shared" si="47"/>
        <v>1</v>
      </c>
      <c r="BG34" t="b">
        <f t="shared" si="3"/>
        <v>1</v>
      </c>
      <c r="BH34" t="b">
        <f t="shared" si="4"/>
        <v>1</v>
      </c>
      <c r="BI34" t="b">
        <f t="shared" si="5"/>
        <v>1</v>
      </c>
      <c r="BJ34" t="b">
        <f t="shared" si="6"/>
        <v>1</v>
      </c>
      <c r="BK34" t="b">
        <f t="shared" si="7"/>
        <v>1</v>
      </c>
      <c r="BL34" t="b">
        <f t="shared" si="8"/>
        <v>1</v>
      </c>
      <c r="BM34" t="b">
        <f t="shared" si="9"/>
        <v>1</v>
      </c>
      <c r="BN34" t="b">
        <f t="shared" si="10"/>
        <v>1</v>
      </c>
      <c r="BO34" t="b">
        <f t="shared" si="11"/>
        <v>1</v>
      </c>
      <c r="BP34" s="45" t="b">
        <f t="shared" si="12"/>
        <v>1</v>
      </c>
      <c r="BR34" s="1">
        <f t="shared" si="43"/>
        <v>96</v>
      </c>
      <c r="BS34" s="23">
        <v>1.17977863845946E-2</v>
      </c>
      <c r="BT34" s="8">
        <v>1.8363416448585395E-2</v>
      </c>
      <c r="BU34" s="8">
        <v>1.8363416618633114E-2</v>
      </c>
      <c r="BV34" s="8">
        <v>1.6966229870157314E-2</v>
      </c>
      <c r="BW34" s="8">
        <v>1.7548572787235477E-2</v>
      </c>
      <c r="BX34" s="8">
        <v>1.1289640474904116E-2</v>
      </c>
      <c r="BY34" s="8">
        <v>1.0675667546886697E-2</v>
      </c>
      <c r="BZ34" s="8">
        <v>7.0656249724267749E-3</v>
      </c>
      <c r="CA34" s="8">
        <v>1.1831530925646665E-2</v>
      </c>
      <c r="CB34" s="8">
        <v>6.411441942952777E-3</v>
      </c>
      <c r="CC34" s="8">
        <v>6.4123985196055848E-3</v>
      </c>
      <c r="CD34" s="32">
        <v>1.17977863845946E-2</v>
      </c>
      <c r="CE34" s="12">
        <v>1.8363416448585301E-2</v>
      </c>
      <c r="CF34" s="12">
        <v>1.8363416618632802E-2</v>
      </c>
      <c r="CG34" s="12">
        <v>1.69662298701574E-2</v>
      </c>
      <c r="CH34" s="12">
        <v>1.7548572787235501E-2</v>
      </c>
      <c r="CI34" s="12">
        <v>1.1289640474904199E-2</v>
      </c>
      <c r="CJ34" s="12">
        <v>1.06756675468866E-2</v>
      </c>
      <c r="CK34" s="12">
        <v>7.0656249724267099E-3</v>
      </c>
      <c r="CL34" s="12">
        <v>1.1831530925647E-2</v>
      </c>
      <c r="CM34" s="12">
        <v>6.41144194295277E-3</v>
      </c>
      <c r="CN34" s="33">
        <v>6.4123985196055701E-3</v>
      </c>
      <c r="CO34" t="b">
        <f t="shared" si="48"/>
        <v>1</v>
      </c>
      <c r="CP34" t="b">
        <f t="shared" si="13"/>
        <v>1</v>
      </c>
      <c r="CQ34" t="b">
        <f t="shared" si="14"/>
        <v>1</v>
      </c>
      <c r="CR34" t="b">
        <f t="shared" si="15"/>
        <v>1</v>
      </c>
      <c r="CS34" t="b">
        <f t="shared" si="16"/>
        <v>1</v>
      </c>
      <c r="CT34" t="b">
        <f t="shared" si="17"/>
        <v>1</v>
      </c>
      <c r="CU34" t="b">
        <f t="shared" si="18"/>
        <v>1</v>
      </c>
      <c r="CV34" t="b">
        <f t="shared" si="19"/>
        <v>1</v>
      </c>
      <c r="CW34" t="b">
        <f t="shared" si="20"/>
        <v>1</v>
      </c>
      <c r="CX34" t="b">
        <f t="shared" si="21"/>
        <v>1</v>
      </c>
      <c r="CY34" t="b">
        <f t="shared" si="22"/>
        <v>1</v>
      </c>
      <c r="EU34" s="51"/>
    </row>
    <row r="35" spans="1:151" x14ac:dyDescent="0.25">
      <c r="A35" s="1">
        <f t="shared" si="34"/>
        <v>102</v>
      </c>
      <c r="B35" s="23">
        <v>0.30017963168696626</v>
      </c>
      <c r="C35" s="8">
        <v>0.22367893437949499</v>
      </c>
      <c r="D35" s="8">
        <v>0.22367893185473914</v>
      </c>
      <c r="E35" s="8">
        <v>0.24936040876340659</v>
      </c>
      <c r="F35" s="8">
        <v>0.2251421311631181</v>
      </c>
      <c r="G35" s="8">
        <v>0.27391643334229948</v>
      </c>
      <c r="H35" s="8">
        <v>0.28944098710344268</v>
      </c>
      <c r="I35" s="8">
        <v>0.34404408878156423</v>
      </c>
      <c r="J35" s="8">
        <v>0.27718471035773606</v>
      </c>
      <c r="K35" s="8">
        <v>0.3539425149946005</v>
      </c>
      <c r="L35" s="8">
        <v>0.35390750538837523</v>
      </c>
      <c r="M35" s="32">
        <v>0.30017963168696599</v>
      </c>
      <c r="N35" s="12">
        <v>0.22367893437949499</v>
      </c>
      <c r="O35" s="12">
        <v>0.223678931854744</v>
      </c>
      <c r="P35" s="12">
        <v>0.24936040876340501</v>
      </c>
      <c r="Q35" s="12">
        <v>0.22514213116312001</v>
      </c>
      <c r="R35" s="12">
        <v>0.27391643334229898</v>
      </c>
      <c r="S35" s="12">
        <v>0.28944098710344301</v>
      </c>
      <c r="T35" s="12">
        <v>0.344044088781566</v>
      </c>
      <c r="U35" s="12">
        <v>0.27718471035773601</v>
      </c>
      <c r="V35" s="12">
        <v>0.3539425149946</v>
      </c>
      <c r="W35" s="33">
        <v>0.35390750538837601</v>
      </c>
      <c r="X35" t="b">
        <f t="shared" si="46"/>
        <v>1</v>
      </c>
      <c r="Y35" t="b">
        <f t="shared" si="50"/>
        <v>1</v>
      </c>
      <c r="Z35" t="b">
        <f t="shared" si="51"/>
        <v>1</v>
      </c>
      <c r="AA35" t="b">
        <f t="shared" si="52"/>
        <v>1</v>
      </c>
      <c r="AB35" t="b">
        <f t="shared" si="53"/>
        <v>1</v>
      </c>
      <c r="AC35" t="b">
        <f t="shared" si="54"/>
        <v>1</v>
      </c>
      <c r="AD35" t="b">
        <f t="shared" si="55"/>
        <v>1</v>
      </c>
      <c r="AE35" t="b">
        <f t="shared" si="56"/>
        <v>1</v>
      </c>
      <c r="AF35" t="b">
        <f t="shared" si="57"/>
        <v>1</v>
      </c>
      <c r="AG35" t="b">
        <f t="shared" si="1"/>
        <v>1</v>
      </c>
      <c r="AH35" t="b">
        <f t="shared" si="2"/>
        <v>1</v>
      </c>
      <c r="AJ35" s="23">
        <v>1.2033742112286492</v>
      </c>
      <c r="AK35" s="8">
        <v>1.4975435839882087</v>
      </c>
      <c r="AL35" s="8">
        <v>1.4975435952756189</v>
      </c>
      <c r="AM35" s="8">
        <v>1.3888560042742923</v>
      </c>
      <c r="AN35" s="8">
        <v>1.4910233821541226</v>
      </c>
      <c r="AO35" s="8">
        <v>1.2949322069141318</v>
      </c>
      <c r="AP35" s="8">
        <v>1.2398038469504109</v>
      </c>
      <c r="AQ35" s="8">
        <v>1.066985464758492</v>
      </c>
      <c r="AR35" s="8">
        <v>1.2830711706272411</v>
      </c>
      <c r="AS35" s="8">
        <v>1.0386207660554649</v>
      </c>
      <c r="AT35" s="8">
        <v>1.0387196842026591</v>
      </c>
      <c r="AU35" s="32">
        <v>1.2033742112286501</v>
      </c>
      <c r="AV35" s="12">
        <v>1.4975435839882101</v>
      </c>
      <c r="AW35" s="12">
        <v>1.4975435952756</v>
      </c>
      <c r="AX35" s="12">
        <v>1.3888560042742999</v>
      </c>
      <c r="AY35" s="12">
        <v>1.4910233821541199</v>
      </c>
      <c r="AZ35" s="12">
        <v>1.29493220691413</v>
      </c>
      <c r="BA35" s="12">
        <v>1.23980384695041</v>
      </c>
      <c r="BB35" s="12">
        <v>1.06698546475849</v>
      </c>
      <c r="BC35" s="12">
        <v>1.28307117062724</v>
      </c>
      <c r="BD35" s="12">
        <v>1.03862076605547</v>
      </c>
      <c r="BE35" s="33">
        <v>1.03871968420266</v>
      </c>
      <c r="BF35" s="44" t="b">
        <f t="shared" si="47"/>
        <v>1</v>
      </c>
      <c r="BG35" t="b">
        <f t="shared" si="3"/>
        <v>1</v>
      </c>
      <c r="BH35" t="b">
        <f t="shared" si="4"/>
        <v>1</v>
      </c>
      <c r="BI35" t="b">
        <f t="shared" si="5"/>
        <v>1</v>
      </c>
      <c r="BJ35" t="b">
        <f t="shared" si="6"/>
        <v>1</v>
      </c>
      <c r="BK35" t="b">
        <f t="shared" si="7"/>
        <v>1</v>
      </c>
      <c r="BL35" t="b">
        <f t="shared" si="8"/>
        <v>1</v>
      </c>
      <c r="BM35" t="b">
        <f t="shared" si="9"/>
        <v>1</v>
      </c>
      <c r="BN35" t="b">
        <f t="shared" si="10"/>
        <v>1</v>
      </c>
      <c r="BO35" t="b">
        <f t="shared" si="11"/>
        <v>1</v>
      </c>
      <c r="BP35" s="45" t="b">
        <f t="shared" si="12"/>
        <v>1</v>
      </c>
      <c r="BR35" s="1">
        <f t="shared" si="43"/>
        <v>102</v>
      </c>
      <c r="BS35" s="23">
        <v>1.17977863845946E-2</v>
      </c>
      <c r="BT35" s="8">
        <v>1.8668193848883026E-2</v>
      </c>
      <c r="BU35" s="8">
        <v>1.8668194024439359E-2</v>
      </c>
      <c r="BV35" s="8">
        <v>1.7497850188048329E-2</v>
      </c>
      <c r="BW35" s="8">
        <v>1.7696451086594674E-2</v>
      </c>
      <c r="BX35" s="8">
        <v>1.0908907265668281E-2</v>
      </c>
      <c r="BY35" s="8">
        <v>1.0400296622961091E-2</v>
      </c>
      <c r="BZ35" s="8">
        <v>6.7470138876160454E-3</v>
      </c>
      <c r="CA35" s="8">
        <v>1.1600701364572216E-2</v>
      </c>
      <c r="CB35" s="8">
        <v>6.0869406924704108E-3</v>
      </c>
      <c r="CC35" s="8">
        <v>6.0878395644427905E-3</v>
      </c>
      <c r="CD35" s="32">
        <v>1.17977863845946E-2</v>
      </c>
      <c r="CE35" s="12">
        <v>1.8668193848883002E-2</v>
      </c>
      <c r="CF35" s="12">
        <v>1.8668194024439099E-2</v>
      </c>
      <c r="CG35" s="12">
        <v>1.7497850188048399E-2</v>
      </c>
      <c r="CH35" s="12">
        <v>1.7696451086594601E-2</v>
      </c>
      <c r="CI35" s="12">
        <v>1.0908907265668301E-2</v>
      </c>
      <c r="CJ35" s="12">
        <v>1.0400296622961E-2</v>
      </c>
      <c r="CK35" s="12">
        <v>6.7470138876160003E-3</v>
      </c>
      <c r="CL35" s="12">
        <v>1.16007013645725E-2</v>
      </c>
      <c r="CM35" s="12">
        <v>6.08694069247037E-3</v>
      </c>
      <c r="CN35" s="33">
        <v>6.0878395644427697E-3</v>
      </c>
      <c r="CO35" t="b">
        <f t="shared" si="48"/>
        <v>1</v>
      </c>
      <c r="CP35" t="b">
        <f t="shared" si="13"/>
        <v>1</v>
      </c>
      <c r="CQ35" t="b">
        <f t="shared" si="14"/>
        <v>1</v>
      </c>
      <c r="CR35" t="b">
        <f t="shared" si="15"/>
        <v>1</v>
      </c>
      <c r="CS35" t="b">
        <f t="shared" si="16"/>
        <v>1</v>
      </c>
      <c r="CT35" t="b">
        <f t="shared" si="17"/>
        <v>1</v>
      </c>
      <c r="CU35" t="b">
        <f t="shared" si="18"/>
        <v>1</v>
      </c>
      <c r="CV35" t="b">
        <f t="shared" si="19"/>
        <v>1</v>
      </c>
      <c r="CW35" t="b">
        <f t="shared" si="20"/>
        <v>1</v>
      </c>
      <c r="CX35" t="b">
        <f t="shared" si="21"/>
        <v>1</v>
      </c>
      <c r="CY35" t="b">
        <f t="shared" si="22"/>
        <v>1</v>
      </c>
    </row>
    <row r="36" spans="1:151" x14ac:dyDescent="0.25">
      <c r="A36" s="1">
        <f t="shared" si="34"/>
        <v>108</v>
      </c>
      <c r="B36" s="23">
        <v>0.27966552888620949</v>
      </c>
      <c r="C36" s="8">
        <v>0.19980072680779978</v>
      </c>
      <c r="D36" s="8">
        <v>0.19980072433890342</v>
      </c>
      <c r="E36" s="8">
        <v>0.22414110736649204</v>
      </c>
      <c r="F36" s="8">
        <v>0.20237886231997604</v>
      </c>
      <c r="G36" s="8">
        <v>0.25684417523931707</v>
      </c>
      <c r="H36" s="8">
        <v>0.27214574294541594</v>
      </c>
      <c r="I36" s="8">
        <v>0.33068747370963114</v>
      </c>
      <c r="J36" s="8">
        <v>0.25872052675248591</v>
      </c>
      <c r="K36" s="8">
        <v>0.34155508671432622</v>
      </c>
      <c r="L36" s="8">
        <v>0.34151951504271205</v>
      </c>
      <c r="M36" s="32">
        <v>0.27966552888620899</v>
      </c>
      <c r="N36" s="12">
        <v>0.19980072680780001</v>
      </c>
      <c r="O36" s="12">
        <v>0.199800724338908</v>
      </c>
      <c r="P36" s="12">
        <v>0.22414110736649001</v>
      </c>
      <c r="Q36" s="12">
        <v>0.20237886231997801</v>
      </c>
      <c r="R36" s="12">
        <v>0.25684417523931602</v>
      </c>
      <c r="S36" s="12">
        <v>0.27214574294541699</v>
      </c>
      <c r="T36" s="12">
        <v>0.33068747370964702</v>
      </c>
      <c r="U36" s="12">
        <v>0.25872052675248602</v>
      </c>
      <c r="V36" s="12">
        <v>0.34155508671432599</v>
      </c>
      <c r="W36" s="33">
        <v>0.341519515042713</v>
      </c>
      <c r="X36" t="b">
        <f t="shared" si="46"/>
        <v>1</v>
      </c>
      <c r="Y36" t="b">
        <f t="shared" si="50"/>
        <v>1</v>
      </c>
      <c r="Z36" t="b">
        <f t="shared" si="51"/>
        <v>1</v>
      </c>
      <c r="AA36" t="b">
        <f t="shared" si="52"/>
        <v>1</v>
      </c>
      <c r="AB36" t="b">
        <f t="shared" si="53"/>
        <v>1</v>
      </c>
      <c r="AC36" t="b">
        <f t="shared" si="54"/>
        <v>1</v>
      </c>
      <c r="AD36" t="b">
        <f t="shared" si="55"/>
        <v>1</v>
      </c>
      <c r="AE36" t="b">
        <f t="shared" si="56"/>
        <v>1</v>
      </c>
      <c r="AF36" t="b">
        <f t="shared" si="57"/>
        <v>1</v>
      </c>
      <c r="AG36" t="b">
        <f t="shared" si="1"/>
        <v>1</v>
      </c>
      <c r="AH36" t="b">
        <f t="shared" si="2"/>
        <v>1</v>
      </c>
      <c r="AJ36" s="23">
        <v>1.2741609295362168</v>
      </c>
      <c r="AK36" s="8">
        <v>1.6104347750976247</v>
      </c>
      <c r="AL36" s="8">
        <v>1.6104347874544185</v>
      </c>
      <c r="AM36" s="8">
        <v>1.4954794818578689</v>
      </c>
      <c r="AN36" s="8">
        <v>1.5976137822005434</v>
      </c>
      <c r="AO36" s="8">
        <v>1.3592857000004543</v>
      </c>
      <c r="AP36" s="8">
        <v>1.3014175365339673</v>
      </c>
      <c r="AQ36" s="8">
        <v>1.1065815378199446</v>
      </c>
      <c r="AR36" s="8">
        <v>1.3520068471609559</v>
      </c>
      <c r="AS36" s="8">
        <v>1.0742463048853845</v>
      </c>
      <c r="AT36" s="8">
        <v>1.0743504565301825</v>
      </c>
      <c r="AU36" s="32">
        <v>1.27416092953622</v>
      </c>
      <c r="AV36" s="12">
        <v>1.61043477509762</v>
      </c>
      <c r="AW36" s="12">
        <v>1.6104347874544001</v>
      </c>
      <c r="AX36" s="12">
        <v>1.49547948185788</v>
      </c>
      <c r="AY36" s="12">
        <v>1.5976137822005401</v>
      </c>
      <c r="AZ36" s="12">
        <v>1.3592857000004599</v>
      </c>
      <c r="BA36" s="12">
        <v>1.30141753653396</v>
      </c>
      <c r="BB36" s="12">
        <v>1.1065815378199</v>
      </c>
      <c r="BC36" s="12">
        <v>1.3520068471609601</v>
      </c>
      <c r="BD36" s="12">
        <v>1.0742463048853901</v>
      </c>
      <c r="BE36" s="33">
        <v>1.07435045653018</v>
      </c>
      <c r="BF36" s="44" t="b">
        <f t="shared" si="47"/>
        <v>1</v>
      </c>
      <c r="BG36" t="b">
        <f t="shared" si="3"/>
        <v>1</v>
      </c>
      <c r="BH36" t="b">
        <f t="shared" si="4"/>
        <v>1</v>
      </c>
      <c r="BI36" t="b">
        <f t="shared" si="5"/>
        <v>1</v>
      </c>
      <c r="BJ36" t="b">
        <f t="shared" si="6"/>
        <v>1</v>
      </c>
      <c r="BK36" t="b">
        <f t="shared" si="7"/>
        <v>1</v>
      </c>
      <c r="BL36" t="b">
        <f t="shared" si="8"/>
        <v>1</v>
      </c>
      <c r="BM36" t="b">
        <f t="shared" si="9"/>
        <v>1</v>
      </c>
      <c r="BN36" t="b">
        <f t="shared" si="10"/>
        <v>1</v>
      </c>
      <c r="BO36" t="b">
        <f t="shared" si="11"/>
        <v>1</v>
      </c>
      <c r="BP36" s="45" t="b">
        <f t="shared" si="12"/>
        <v>1</v>
      </c>
      <c r="BR36" s="1">
        <f t="shared" si="43"/>
        <v>108</v>
      </c>
      <c r="BS36" s="23">
        <v>1.17977863845946E-2</v>
      </c>
      <c r="BT36" s="8">
        <v>1.8960177001677826E-2</v>
      </c>
      <c r="BU36" s="8">
        <v>1.8960177182552343E-2</v>
      </c>
      <c r="BV36" s="8">
        <v>1.8046128311742845E-2</v>
      </c>
      <c r="BW36" s="8">
        <v>1.7831721303578556E-2</v>
      </c>
      <c r="BX36" s="8">
        <v>1.0545105880760623E-2</v>
      </c>
      <c r="BY36" s="8">
        <v>1.0140026053219562E-2</v>
      </c>
      <c r="BZ36" s="8">
        <v>6.4559724010332222E-3</v>
      </c>
      <c r="CA36" s="8">
        <v>1.1379425680584367E-2</v>
      </c>
      <c r="CB36" s="8">
        <v>5.7929707304786721E-3</v>
      </c>
      <c r="CC36" s="8">
        <v>5.793817191979151E-3</v>
      </c>
      <c r="CD36" s="32">
        <v>1.17977863845946E-2</v>
      </c>
      <c r="CE36" s="12">
        <v>1.8960177001677798E-2</v>
      </c>
      <c r="CF36" s="12">
        <v>1.8960177182551999E-2</v>
      </c>
      <c r="CG36" s="12">
        <v>1.80461283117429E-2</v>
      </c>
      <c r="CH36" s="12">
        <v>1.7831721303578501E-2</v>
      </c>
      <c r="CI36" s="12">
        <v>1.05451058807607E-2</v>
      </c>
      <c r="CJ36" s="12">
        <v>1.01400260532195E-2</v>
      </c>
      <c r="CK36" s="12">
        <v>6.4559724010329099E-3</v>
      </c>
      <c r="CL36" s="12">
        <v>1.1379425680584599E-2</v>
      </c>
      <c r="CM36" s="12">
        <v>5.7929707304786703E-3</v>
      </c>
      <c r="CN36" s="33">
        <v>5.7938171919791103E-3</v>
      </c>
      <c r="CO36" t="b">
        <f t="shared" si="48"/>
        <v>1</v>
      </c>
      <c r="CP36" t="b">
        <f t="shared" si="13"/>
        <v>1</v>
      </c>
      <c r="CQ36" t="b">
        <f t="shared" si="14"/>
        <v>1</v>
      </c>
      <c r="CR36" t="b">
        <f t="shared" si="15"/>
        <v>1</v>
      </c>
      <c r="CS36" t="b">
        <f t="shared" si="16"/>
        <v>1</v>
      </c>
      <c r="CT36" t="b">
        <f t="shared" si="17"/>
        <v>1</v>
      </c>
      <c r="CU36" t="b">
        <f t="shared" si="18"/>
        <v>1</v>
      </c>
      <c r="CV36" t="b">
        <f t="shared" si="19"/>
        <v>1</v>
      </c>
      <c r="CW36" t="b">
        <f t="shared" si="20"/>
        <v>1</v>
      </c>
      <c r="CX36" t="b">
        <f t="shared" si="21"/>
        <v>1</v>
      </c>
      <c r="CY36" t="b">
        <f t="shared" si="22"/>
        <v>1</v>
      </c>
      <c r="EU36" s="51"/>
    </row>
    <row r="37" spans="1:151" x14ac:dyDescent="0.25">
      <c r="A37" s="1">
        <f t="shared" si="34"/>
        <v>114</v>
      </c>
      <c r="B37" s="23">
        <v>0.26055334803250496</v>
      </c>
      <c r="C37" s="8">
        <v>0.17816547220477885</v>
      </c>
      <c r="D37" s="8">
        <v>0.17816546980710693</v>
      </c>
      <c r="E37" s="8">
        <v>0.20080039933450147</v>
      </c>
      <c r="F37" s="8">
        <v>0.18177565860000766</v>
      </c>
      <c r="G37" s="8">
        <v>0.24134986694648314</v>
      </c>
      <c r="H37" s="8">
        <v>0.25627294376600696</v>
      </c>
      <c r="I37" s="8">
        <v>0.31838132916897066</v>
      </c>
      <c r="J37" s="8">
        <v>0.24180038487412459</v>
      </c>
      <c r="K37" s="8">
        <v>0.33015619943579377</v>
      </c>
      <c r="L37" s="8">
        <v>0.33012018626206729</v>
      </c>
      <c r="M37" s="32">
        <v>0.26055334803250502</v>
      </c>
      <c r="N37" s="12">
        <v>0.17816547220477899</v>
      </c>
      <c r="O37" s="12">
        <v>0.17816546980711101</v>
      </c>
      <c r="P37" s="12">
        <v>0.2008003993345</v>
      </c>
      <c r="Q37" s="12">
        <v>0.18177565860000899</v>
      </c>
      <c r="R37" s="12">
        <v>0.241349866946483</v>
      </c>
      <c r="S37" s="12">
        <v>0.25627294376600801</v>
      </c>
      <c r="T37" s="12">
        <v>0.31838132916898099</v>
      </c>
      <c r="U37" s="12">
        <v>0.24180038487414099</v>
      </c>
      <c r="V37" s="12">
        <v>0.330156199435793</v>
      </c>
      <c r="W37" s="33">
        <v>0.33012018626206802</v>
      </c>
      <c r="X37" t="b">
        <f t="shared" si="46"/>
        <v>1</v>
      </c>
      <c r="Y37" t="b">
        <f t="shared" si="50"/>
        <v>1</v>
      </c>
      <c r="Z37" t="b">
        <f t="shared" si="51"/>
        <v>1</v>
      </c>
      <c r="AA37" t="b">
        <f t="shared" si="52"/>
        <v>1</v>
      </c>
      <c r="AB37" t="b">
        <f t="shared" si="53"/>
        <v>1</v>
      </c>
      <c r="AC37" t="b">
        <f t="shared" si="54"/>
        <v>1</v>
      </c>
      <c r="AD37" t="b">
        <f t="shared" si="55"/>
        <v>1</v>
      </c>
      <c r="AE37" t="b">
        <f t="shared" si="56"/>
        <v>1</v>
      </c>
      <c r="AF37" t="b">
        <f t="shared" si="57"/>
        <v>1</v>
      </c>
      <c r="AG37" t="b">
        <f t="shared" si="1"/>
        <v>1</v>
      </c>
      <c r="AH37" t="b">
        <f t="shared" si="2"/>
        <v>1</v>
      </c>
      <c r="AJ37" s="23">
        <v>1.3449476478437845</v>
      </c>
      <c r="AK37" s="8">
        <v>1.7250425413903392</v>
      </c>
      <c r="AL37" s="8">
        <v>1.7250425548478958</v>
      </c>
      <c r="AM37" s="8">
        <v>1.6054439024489036</v>
      </c>
      <c r="AN37" s="8">
        <v>1.7049819972920375</v>
      </c>
      <c r="AO37" s="8">
        <v>1.4215076681644421</v>
      </c>
      <c r="AP37" s="8">
        <v>1.3615122158898536</v>
      </c>
      <c r="AQ37" s="8">
        <v>1.1445054662759646</v>
      </c>
      <c r="AR37" s="8">
        <v>1.4196427490983088</v>
      </c>
      <c r="AS37" s="8">
        <v>1.1081894048840704</v>
      </c>
      <c r="AT37" s="8">
        <v>1.1082984900324786</v>
      </c>
      <c r="AU37" s="32">
        <v>1.3449476478437901</v>
      </c>
      <c r="AV37" s="12">
        <v>1.7250425413903401</v>
      </c>
      <c r="AW37" s="12">
        <v>1.7250425548478701</v>
      </c>
      <c r="AX37" s="12">
        <v>1.60544390244891</v>
      </c>
      <c r="AY37" s="12">
        <v>1.7049819972920299</v>
      </c>
      <c r="AZ37" s="12">
        <v>1.4215076681644401</v>
      </c>
      <c r="BA37" s="12">
        <v>1.3615122158898501</v>
      </c>
      <c r="BB37" s="12">
        <v>1.14450546627593</v>
      </c>
      <c r="BC37" s="12">
        <v>1.41964274909824</v>
      </c>
      <c r="BD37" s="12">
        <v>1.1081894048840699</v>
      </c>
      <c r="BE37" s="33">
        <v>1.1082984900324799</v>
      </c>
      <c r="BF37" s="44" t="b">
        <f t="shared" si="47"/>
        <v>1</v>
      </c>
      <c r="BG37" t="b">
        <f t="shared" si="3"/>
        <v>1</v>
      </c>
      <c r="BH37" t="b">
        <f t="shared" si="4"/>
        <v>1</v>
      </c>
      <c r="BI37" t="b">
        <f t="shared" si="5"/>
        <v>1</v>
      </c>
      <c r="BJ37" t="b">
        <f t="shared" si="6"/>
        <v>1</v>
      </c>
      <c r="BK37" t="b">
        <f t="shared" si="7"/>
        <v>1</v>
      </c>
      <c r="BL37" t="b">
        <f t="shared" si="8"/>
        <v>1</v>
      </c>
      <c r="BM37" t="b">
        <f t="shared" si="9"/>
        <v>1</v>
      </c>
      <c r="BN37" t="b">
        <f t="shared" si="10"/>
        <v>1</v>
      </c>
      <c r="BO37" t="b">
        <f t="shared" si="11"/>
        <v>1</v>
      </c>
      <c r="BP37" s="45" t="b">
        <f t="shared" si="12"/>
        <v>1</v>
      </c>
      <c r="BR37" s="1">
        <f t="shared" si="43"/>
        <v>114</v>
      </c>
      <c r="BS37" s="23">
        <v>1.17977863845946E-2</v>
      </c>
      <c r="BT37" s="8">
        <v>1.9240571214775834E-2</v>
      </c>
      <c r="BU37" s="8">
        <v>1.9240571400794455E-2</v>
      </c>
      <c r="BV37" s="8">
        <v>1.8611586197390475E-2</v>
      </c>
      <c r="BW37" s="8">
        <v>1.7955962747496248E-2</v>
      </c>
      <c r="BX37" s="8">
        <v>1.0198387303753364E-2</v>
      </c>
      <c r="BY37" s="8">
        <v>9.8937854938403302E-3</v>
      </c>
      <c r="BZ37" s="8">
        <v>6.1891145171112973E-3</v>
      </c>
      <c r="CA37" s="8">
        <v>1.1167383066078201E-2</v>
      </c>
      <c r="CB37" s="8">
        <v>5.5255175143301893E-3</v>
      </c>
      <c r="CC37" s="8">
        <v>5.5263162986219491E-3</v>
      </c>
      <c r="CD37" s="32">
        <v>1.17977863845946E-2</v>
      </c>
      <c r="CE37" s="12">
        <v>1.9240571214775799E-2</v>
      </c>
      <c r="CF37" s="12">
        <v>1.9240571400794101E-2</v>
      </c>
      <c r="CG37" s="12">
        <v>1.86115861973906E-2</v>
      </c>
      <c r="CH37" s="12">
        <v>1.7955962747496199E-2</v>
      </c>
      <c r="CI37" s="12">
        <v>1.0198387303753401E-2</v>
      </c>
      <c r="CJ37" s="12">
        <v>9.8937854938402799E-3</v>
      </c>
      <c r="CK37" s="12">
        <v>6.1891145171111004E-3</v>
      </c>
      <c r="CL37" s="12">
        <v>1.1167383066077599E-2</v>
      </c>
      <c r="CM37" s="12">
        <v>5.5255175143301798E-3</v>
      </c>
      <c r="CN37" s="33">
        <v>5.52631629862193E-3</v>
      </c>
      <c r="CO37" t="b">
        <f t="shared" si="48"/>
        <v>1</v>
      </c>
      <c r="CP37" t="b">
        <f t="shared" si="13"/>
        <v>1</v>
      </c>
      <c r="CQ37" t="b">
        <f t="shared" si="14"/>
        <v>1</v>
      </c>
      <c r="CR37" t="b">
        <f t="shared" si="15"/>
        <v>1</v>
      </c>
      <c r="CS37" t="b">
        <f t="shared" si="16"/>
        <v>1</v>
      </c>
      <c r="CT37" t="b">
        <f t="shared" si="17"/>
        <v>1</v>
      </c>
      <c r="CU37" t="b">
        <f t="shared" si="18"/>
        <v>1</v>
      </c>
      <c r="CV37" t="b">
        <f t="shared" si="19"/>
        <v>1</v>
      </c>
      <c r="CW37" t="b">
        <f t="shared" si="20"/>
        <v>1</v>
      </c>
      <c r="CX37" t="b">
        <f t="shared" si="21"/>
        <v>1</v>
      </c>
      <c r="CY37" t="b">
        <f t="shared" si="22"/>
        <v>1</v>
      </c>
      <c r="EU37" s="51"/>
    </row>
    <row r="38" spans="1:151" x14ac:dyDescent="0.25">
      <c r="A38" s="1">
        <f t="shared" si="34"/>
        <v>120</v>
      </c>
      <c r="B38" s="23">
        <v>0.24274728258901726</v>
      </c>
      <c r="C38" s="8">
        <v>0.15861101328360661</v>
      </c>
      <c r="D38" s="8">
        <v>0.1586110109696785</v>
      </c>
      <c r="E38" s="8">
        <v>0.17927148408692603</v>
      </c>
      <c r="F38" s="8">
        <v>0.16315315226519922</v>
      </c>
      <c r="G38" s="8">
        <v>0.22725101814850351</v>
      </c>
      <c r="H38" s="8">
        <v>0.24167317409031308</v>
      </c>
      <c r="I38" s="8">
        <v>0.30700430176315763</v>
      </c>
      <c r="J38" s="8">
        <v>0.22626845260675843</v>
      </c>
      <c r="K38" s="8">
        <v>0.31962757313613399</v>
      </c>
      <c r="L38" s="8">
        <v>0.31959121900734377</v>
      </c>
      <c r="M38" s="32">
        <v>0.24274728258901701</v>
      </c>
      <c r="N38" s="12">
        <v>0.15861101328360699</v>
      </c>
      <c r="O38" s="12">
        <v>0.158611010969683</v>
      </c>
      <c r="P38" s="12">
        <v>0.179271484086925</v>
      </c>
      <c r="Q38" s="12">
        <v>0.1631531522652</v>
      </c>
      <c r="R38" s="12">
        <v>0.22725101814850299</v>
      </c>
      <c r="S38" s="12">
        <v>0.241673174090314</v>
      </c>
      <c r="T38" s="12">
        <v>0.30700430176316401</v>
      </c>
      <c r="U38" s="12">
        <v>0.226268452606769</v>
      </c>
      <c r="V38" s="12">
        <v>0.31962757313613299</v>
      </c>
      <c r="W38" s="33">
        <v>0.319591219007344</v>
      </c>
      <c r="X38" t="b">
        <f t="shared" si="46"/>
        <v>1</v>
      </c>
      <c r="Y38" t="b">
        <f t="shared" si="50"/>
        <v>1</v>
      </c>
      <c r="Z38" t="b">
        <f t="shared" si="51"/>
        <v>1</v>
      </c>
      <c r="AA38" t="b">
        <f t="shared" si="52"/>
        <v>1</v>
      </c>
      <c r="AB38" t="b">
        <f t="shared" si="53"/>
        <v>1</v>
      </c>
      <c r="AC38" t="b">
        <f t="shared" si="54"/>
        <v>1</v>
      </c>
      <c r="AD38" t="b">
        <f t="shared" si="55"/>
        <v>1</v>
      </c>
      <c r="AE38" t="b">
        <f t="shared" si="56"/>
        <v>1</v>
      </c>
      <c r="AF38" t="b">
        <f t="shared" si="57"/>
        <v>1</v>
      </c>
      <c r="AG38" t="b">
        <f t="shared" si="1"/>
        <v>1</v>
      </c>
      <c r="AH38" t="b">
        <f t="shared" si="2"/>
        <v>1</v>
      </c>
      <c r="AJ38" s="23">
        <v>1.415734366151352</v>
      </c>
      <c r="AK38" s="8">
        <v>1.8413005315642417</v>
      </c>
      <c r="AL38" s="8">
        <v>1.8413005461529393</v>
      </c>
      <c r="AM38" s="8">
        <v>1.7188539512483678</v>
      </c>
      <c r="AN38" s="8">
        <v>1.8130659348594687</v>
      </c>
      <c r="AO38" s="8">
        <v>1.4817000656331396</v>
      </c>
      <c r="AP38" s="8">
        <v>1.4201689858878435</v>
      </c>
      <c r="AQ38" s="8">
        <v>1.1808935192352683</v>
      </c>
      <c r="AR38" s="8">
        <v>1.4860331412449037</v>
      </c>
      <c r="AS38" s="8">
        <v>1.1405987949186109</v>
      </c>
      <c r="AT38" s="8">
        <v>1.1407125404131935</v>
      </c>
      <c r="AU38" s="32">
        <v>1.41573436615135</v>
      </c>
      <c r="AV38" s="12">
        <v>1.8413005315642399</v>
      </c>
      <c r="AW38" s="12">
        <v>1.8413005461529099</v>
      </c>
      <c r="AX38" s="12">
        <v>1.71885395124838</v>
      </c>
      <c r="AY38" s="12">
        <v>1.81306593485946</v>
      </c>
      <c r="AZ38" s="12">
        <v>1.4817000656331401</v>
      </c>
      <c r="BA38" s="12">
        <v>1.4201689858878399</v>
      </c>
      <c r="BB38" s="12">
        <v>1.1808935192352501</v>
      </c>
      <c r="BC38" s="12">
        <v>1.48603314124486</v>
      </c>
      <c r="BD38" s="12">
        <v>1.14059879491861</v>
      </c>
      <c r="BE38" s="33">
        <v>1.1407125404131899</v>
      </c>
      <c r="BF38" s="44" t="b">
        <f t="shared" si="47"/>
        <v>1</v>
      </c>
      <c r="BG38" t="b">
        <f t="shared" si="3"/>
        <v>1</v>
      </c>
      <c r="BH38" t="b">
        <f t="shared" si="4"/>
        <v>1</v>
      </c>
      <c r="BI38" t="b">
        <f t="shared" si="5"/>
        <v>1</v>
      </c>
      <c r="BJ38" t="b">
        <f t="shared" si="6"/>
        <v>1</v>
      </c>
      <c r="BK38" t="b">
        <f t="shared" si="7"/>
        <v>1</v>
      </c>
      <c r="BL38" t="b">
        <f t="shared" si="8"/>
        <v>1</v>
      </c>
      <c r="BM38" t="b">
        <f t="shared" si="9"/>
        <v>1</v>
      </c>
      <c r="BN38" t="b">
        <f t="shared" si="10"/>
        <v>1</v>
      </c>
      <c r="BO38" t="b">
        <f t="shared" si="11"/>
        <v>1</v>
      </c>
      <c r="BP38" s="45" t="b">
        <f t="shared" si="12"/>
        <v>1</v>
      </c>
      <c r="BR38" s="1">
        <f t="shared" si="43"/>
        <v>120</v>
      </c>
      <c r="BS38" s="23">
        <v>1.17977863845946E-2</v>
      </c>
      <c r="BT38" s="8">
        <v>1.9510411771046513E-2</v>
      </c>
      <c r="BU38" s="8">
        <v>1.9510411962049362E-2</v>
      </c>
      <c r="BV38" s="8">
        <v>1.9194762156129332E-2</v>
      </c>
      <c r="BW38" s="8">
        <v>1.8070497202667856E-2</v>
      </c>
      <c r="BX38" s="8">
        <v>9.8685196364413953E-3</v>
      </c>
      <c r="BY38" s="8">
        <v>9.6605588799480481E-3</v>
      </c>
      <c r="BZ38" s="8">
        <v>5.943574412734417E-3</v>
      </c>
      <c r="CA38" s="8">
        <v>1.0964188096289353E-2</v>
      </c>
      <c r="CB38" s="8">
        <v>5.2812218369406166E-3</v>
      </c>
      <c r="CC38" s="8">
        <v>5.2819771649420472E-3</v>
      </c>
      <c r="CD38" s="32">
        <v>1.17977863845946E-2</v>
      </c>
      <c r="CE38" s="12">
        <v>1.9510411771046399E-2</v>
      </c>
      <c r="CF38" s="12">
        <v>1.9510411962049098E-2</v>
      </c>
      <c r="CG38" s="12">
        <v>1.9194762156129402E-2</v>
      </c>
      <c r="CH38" s="12">
        <v>1.8070497202667801E-2</v>
      </c>
      <c r="CI38" s="12">
        <v>9.86851963644143E-3</v>
      </c>
      <c r="CJ38" s="12">
        <v>9.6605588799479909E-3</v>
      </c>
      <c r="CK38" s="12">
        <v>5.9435744127342904E-3</v>
      </c>
      <c r="CL38" s="12">
        <v>1.0964188096289001E-2</v>
      </c>
      <c r="CM38" s="12">
        <v>5.2812218369406201E-3</v>
      </c>
      <c r="CN38" s="33">
        <v>5.2819771649420403E-3</v>
      </c>
      <c r="CO38" t="b">
        <f t="shared" si="48"/>
        <v>1</v>
      </c>
      <c r="CP38" t="b">
        <f t="shared" si="13"/>
        <v>1</v>
      </c>
      <c r="CQ38" t="b">
        <f t="shared" si="14"/>
        <v>1</v>
      </c>
      <c r="CR38" t="b">
        <f t="shared" si="15"/>
        <v>1</v>
      </c>
      <c r="CS38" t="b">
        <f t="shared" si="16"/>
        <v>1</v>
      </c>
      <c r="CT38" t="b">
        <f t="shared" si="17"/>
        <v>1</v>
      </c>
      <c r="CU38" t="b">
        <f t="shared" si="18"/>
        <v>1</v>
      </c>
      <c r="CV38" t="b">
        <f t="shared" si="19"/>
        <v>1</v>
      </c>
      <c r="CW38" t="b">
        <f t="shared" si="20"/>
        <v>1</v>
      </c>
      <c r="CX38" t="b">
        <f t="shared" si="21"/>
        <v>1</v>
      </c>
      <c r="CY38" t="b">
        <f t="shared" si="22"/>
        <v>1</v>
      </c>
      <c r="EU38" s="51"/>
    </row>
    <row r="39" spans="1:151" x14ac:dyDescent="0.25">
      <c r="A39" s="1">
        <f t="shared" si="34"/>
        <v>126</v>
      </c>
      <c r="B39" s="23">
        <v>0.22615807338234983</v>
      </c>
      <c r="C39" s="8">
        <v>0.14097845865281172</v>
      </c>
      <c r="D39" s="8">
        <v>0.14097845643250023</v>
      </c>
      <c r="E39" s="8">
        <v>0.15948305611306535</v>
      </c>
      <c r="F39" s="8">
        <v>0.14634172768680098</v>
      </c>
      <c r="G39" s="8">
        <v>0.21438910718581256</v>
      </c>
      <c r="H39" s="8">
        <v>0.2282159279857463</v>
      </c>
      <c r="I39" s="8">
        <v>0.29645314663215183</v>
      </c>
      <c r="J39" s="8">
        <v>0.21198709718452635</v>
      </c>
      <c r="K39" s="8">
        <v>0.30986929561107412</v>
      </c>
      <c r="L39" s="8">
        <v>0.30983268467052882</v>
      </c>
      <c r="M39" s="32">
        <v>0.22615807338235</v>
      </c>
      <c r="N39" s="12">
        <v>0.140978458652812</v>
      </c>
      <c r="O39" s="12">
        <v>0.14097845643250401</v>
      </c>
      <c r="P39" s="12">
        <v>0.15948305611306399</v>
      </c>
      <c r="Q39" s="12">
        <v>0.14634172768680201</v>
      </c>
      <c r="R39" s="12">
        <v>0.214389107185812</v>
      </c>
      <c r="S39" s="12">
        <v>0.228215927985747</v>
      </c>
      <c r="T39" s="12">
        <v>0.29645314663215599</v>
      </c>
      <c r="U39" s="12">
        <v>0.21198709718453301</v>
      </c>
      <c r="V39" s="12">
        <v>0.30986929561107301</v>
      </c>
      <c r="W39" s="33">
        <v>0.30983268467052899</v>
      </c>
      <c r="X39" t="b">
        <f t="shared" si="46"/>
        <v>1</v>
      </c>
      <c r="Y39" t="b">
        <f t="shared" si="50"/>
        <v>1</v>
      </c>
      <c r="Z39" t="b">
        <f t="shared" si="51"/>
        <v>1</v>
      </c>
      <c r="AA39" t="b">
        <f t="shared" si="52"/>
        <v>1</v>
      </c>
      <c r="AB39" t="b">
        <f t="shared" si="53"/>
        <v>1</v>
      </c>
      <c r="AC39" t="b">
        <f t="shared" si="54"/>
        <v>1</v>
      </c>
      <c r="AD39" t="b">
        <f t="shared" si="55"/>
        <v>1</v>
      </c>
      <c r="AE39" t="b">
        <f t="shared" si="56"/>
        <v>1</v>
      </c>
      <c r="AF39" t="b">
        <f t="shared" si="57"/>
        <v>1</v>
      </c>
      <c r="AG39" t="b">
        <f t="shared" si="1"/>
        <v>1</v>
      </c>
      <c r="AH39" t="b">
        <f t="shared" si="2"/>
        <v>1</v>
      </c>
      <c r="AJ39" s="23">
        <v>1.4865210844589196</v>
      </c>
      <c r="AK39" s="8">
        <v>1.9591481757873097</v>
      </c>
      <c r="AL39" s="8">
        <v>1.9591481915366058</v>
      </c>
      <c r="AM39" s="8">
        <v>1.8358175936662264</v>
      </c>
      <c r="AN39" s="8">
        <v>1.9218107916180767</v>
      </c>
      <c r="AO39" s="8">
        <v>1.5399626571124827</v>
      </c>
      <c r="AP39" s="8">
        <v>1.4774630456299789</v>
      </c>
      <c r="AQ39" s="8">
        <v>1.2158660945077882</v>
      </c>
      <c r="AR39" s="8">
        <v>1.5512298684994517</v>
      </c>
      <c r="AS39" s="8">
        <v>1.1716046974736776</v>
      </c>
      <c r="AT39" s="8">
        <v>1.1717228540771834</v>
      </c>
      <c r="AU39" s="32">
        <v>1.4865210844589201</v>
      </c>
      <c r="AV39" s="12">
        <v>1.9591481757873099</v>
      </c>
      <c r="AW39" s="12">
        <v>1.95914819153658</v>
      </c>
      <c r="AX39" s="12">
        <v>1.83581759366623</v>
      </c>
      <c r="AY39" s="12">
        <v>1.92181079161807</v>
      </c>
      <c r="AZ39" s="12">
        <v>1.53996265711249</v>
      </c>
      <c r="BA39" s="12">
        <v>1.47746304562998</v>
      </c>
      <c r="BB39" s="12">
        <v>1.2158660945077699</v>
      </c>
      <c r="BC39" s="12">
        <v>1.5512298684994199</v>
      </c>
      <c r="BD39" s="12">
        <v>1.17160469747368</v>
      </c>
      <c r="BE39" s="33">
        <v>1.17172285407718</v>
      </c>
      <c r="BF39" s="44" t="b">
        <f t="shared" si="47"/>
        <v>1</v>
      </c>
      <c r="BG39" t="b">
        <f t="shared" si="3"/>
        <v>1</v>
      </c>
      <c r="BH39" t="b">
        <f t="shared" si="4"/>
        <v>1</v>
      </c>
      <c r="BI39" t="b">
        <f t="shared" si="5"/>
        <v>1</v>
      </c>
      <c r="BJ39" t="b">
        <f t="shared" si="6"/>
        <v>1</v>
      </c>
      <c r="BK39" t="b">
        <f t="shared" si="7"/>
        <v>1</v>
      </c>
      <c r="BL39" t="b">
        <f t="shared" si="8"/>
        <v>1</v>
      </c>
      <c r="BM39" t="b">
        <f t="shared" si="9"/>
        <v>1</v>
      </c>
      <c r="BN39" t="b">
        <f t="shared" si="10"/>
        <v>1</v>
      </c>
      <c r="BO39" t="b">
        <f t="shared" si="11"/>
        <v>1</v>
      </c>
      <c r="BP39" s="45" t="b">
        <f t="shared" si="12"/>
        <v>1</v>
      </c>
      <c r="BR39" s="1">
        <f t="shared" si="43"/>
        <v>126</v>
      </c>
      <c r="BS39" s="23">
        <v>1.17977863845946E-2</v>
      </c>
      <c r="BT39" s="8">
        <v>1.9770595099888835E-2</v>
      </c>
      <c r="BU39" s="8">
        <v>1.9770595295728433E-2</v>
      </c>
      <c r="BV39" s="8">
        <v>1.9796211366553674E-2</v>
      </c>
      <c r="BW39" s="8">
        <v>1.8176440068948644E-2</v>
      </c>
      <c r="BX39" s="8">
        <v>9.5550236319806858E-3</v>
      </c>
      <c r="BY39" s="8">
        <v>9.4393962094891405E-3</v>
      </c>
      <c r="BZ39" s="8">
        <v>5.7169136491572103E-3</v>
      </c>
      <c r="CA39" s="8">
        <v>1.0769423940524868E-2</v>
      </c>
      <c r="CB39" s="8">
        <v>5.0572557922397513E-3</v>
      </c>
      <c r="CC39" s="8">
        <v>5.0579714252170539E-3</v>
      </c>
      <c r="CD39" s="32">
        <v>1.17977863845946E-2</v>
      </c>
      <c r="CE39" s="12">
        <v>1.9770595099888801E-2</v>
      </c>
      <c r="CF39" s="12">
        <v>1.97705952957281E-2</v>
      </c>
      <c r="CG39" s="12">
        <v>1.9796211366553799E-2</v>
      </c>
      <c r="CH39" s="12">
        <v>1.8176440068948599E-2</v>
      </c>
      <c r="CI39" s="12">
        <v>9.5550236319807205E-3</v>
      </c>
      <c r="CJ39" s="12">
        <v>9.4393962094890902E-3</v>
      </c>
      <c r="CK39" s="12">
        <v>5.7169136491571296E-3</v>
      </c>
      <c r="CL39" s="12">
        <v>1.0769423940524801E-2</v>
      </c>
      <c r="CM39" s="12">
        <v>5.05725579223974E-3</v>
      </c>
      <c r="CN39" s="33">
        <v>5.05797142521706E-3</v>
      </c>
      <c r="CO39" t="b">
        <f t="shared" si="48"/>
        <v>1</v>
      </c>
      <c r="CP39" t="b">
        <f t="shared" si="13"/>
        <v>1</v>
      </c>
      <c r="CQ39" t="b">
        <f t="shared" si="14"/>
        <v>1</v>
      </c>
      <c r="CR39" t="b">
        <f t="shared" si="15"/>
        <v>1</v>
      </c>
      <c r="CS39" t="b">
        <f t="shared" si="16"/>
        <v>1</v>
      </c>
      <c r="CT39" t="b">
        <f t="shared" si="17"/>
        <v>1</v>
      </c>
      <c r="CU39" t="b">
        <f t="shared" si="18"/>
        <v>1</v>
      </c>
      <c r="CV39" t="b">
        <f t="shared" si="19"/>
        <v>1</v>
      </c>
      <c r="CW39" t="b">
        <f t="shared" si="20"/>
        <v>1</v>
      </c>
      <c r="CX39" t="b">
        <f t="shared" si="21"/>
        <v>1</v>
      </c>
      <c r="CY39" t="b">
        <f t="shared" si="22"/>
        <v>1</v>
      </c>
      <c r="EU39" s="51"/>
    </row>
    <row r="40" spans="1:151" x14ac:dyDescent="0.25">
      <c r="A40" s="1">
        <f t="shared" si="34"/>
        <v>132</v>
      </c>
      <c r="B40" s="23">
        <v>0.21070256115950614</v>
      </c>
      <c r="C40" s="8">
        <v>0.12511400362595657</v>
      </c>
      <c r="D40" s="8">
        <v>0.12511400150671306</v>
      </c>
      <c r="E40" s="8">
        <v>0.14135989721253034</v>
      </c>
      <c r="F40" s="8">
        <v>0.13118221892292237</v>
      </c>
      <c r="G40" s="8">
        <v>0.2026263100739559</v>
      </c>
      <c r="H40" s="8">
        <v>0.21578686300623706</v>
      </c>
      <c r="I40" s="8">
        <v>0.28663947117019362</v>
      </c>
      <c r="J40" s="8">
        <v>0.19883454427300951</v>
      </c>
      <c r="K40" s="8">
        <v>0.30079638327760083</v>
      </c>
      <c r="L40" s="8">
        <v>0.30075958616115472</v>
      </c>
      <c r="M40" s="32">
        <v>0.210702561159506</v>
      </c>
      <c r="N40" s="12">
        <v>0.12511400362595701</v>
      </c>
      <c r="O40" s="12">
        <v>0.125114001506717</v>
      </c>
      <c r="P40" s="12">
        <v>0.14135989721252901</v>
      </c>
      <c r="Q40" s="12">
        <v>0.13118221892292301</v>
      </c>
      <c r="R40" s="12">
        <v>0.20262631007395501</v>
      </c>
      <c r="S40" s="12">
        <v>0.21578686300623801</v>
      </c>
      <c r="T40" s="12">
        <v>0.286639471170197</v>
      </c>
      <c r="U40" s="12">
        <v>0.198834544273014</v>
      </c>
      <c r="V40" s="12">
        <v>0.3007963832776</v>
      </c>
      <c r="W40" s="33">
        <v>0.300759586161156</v>
      </c>
      <c r="X40" t="b">
        <f t="shared" si="46"/>
        <v>1</v>
      </c>
      <c r="Y40" t="b">
        <f t="shared" si="50"/>
        <v>1</v>
      </c>
      <c r="Z40" t="b">
        <f t="shared" si="51"/>
        <v>1</v>
      </c>
      <c r="AA40" t="b">
        <f t="shared" si="52"/>
        <v>1</v>
      </c>
      <c r="AB40" t="b">
        <f t="shared" si="53"/>
        <v>1</v>
      </c>
      <c r="AC40" t="b">
        <f t="shared" si="54"/>
        <v>1</v>
      </c>
      <c r="AD40" t="b">
        <f t="shared" si="55"/>
        <v>1</v>
      </c>
      <c r="AE40" t="b">
        <f t="shared" si="56"/>
        <v>1</v>
      </c>
      <c r="AF40" t="b">
        <f t="shared" si="57"/>
        <v>1</v>
      </c>
      <c r="AG40" t="b">
        <f t="shared" si="1"/>
        <v>1</v>
      </c>
      <c r="AH40" t="b">
        <f t="shared" si="2"/>
        <v>1</v>
      </c>
      <c r="AJ40" s="23">
        <v>1.5573078027664873</v>
      </c>
      <c r="AK40" s="8">
        <v>2.0785299283179373</v>
      </c>
      <c r="AL40" s="8">
        <v>2.0785299452564372</v>
      </c>
      <c r="AM40" s="8">
        <v>1.9564461781035982</v>
      </c>
      <c r="AN40" s="8">
        <v>2.0311679381588106</v>
      </c>
      <c r="AO40" s="8">
        <v>1.5963918334372369</v>
      </c>
      <c r="AP40" s="8">
        <v>1.5334641037931425</v>
      </c>
      <c r="AQ40" s="8">
        <v>1.2495300509139002</v>
      </c>
      <c r="AR40" s="8">
        <v>1.6152822359061296</v>
      </c>
      <c r="AS40" s="8">
        <v>1.2013217106569261</v>
      </c>
      <c r="AT40" s="8">
        <v>1.2014440504502668</v>
      </c>
      <c r="AU40" s="32">
        <v>1.5573078027664899</v>
      </c>
      <c r="AV40" s="12">
        <v>2.0785299283179302</v>
      </c>
      <c r="AW40" s="12">
        <v>2.0785299452564101</v>
      </c>
      <c r="AX40" s="12">
        <v>1.95644617810361</v>
      </c>
      <c r="AY40" s="12">
        <v>2.0311679381587999</v>
      </c>
      <c r="AZ40" s="12">
        <v>1.59639183343724</v>
      </c>
      <c r="BA40" s="12">
        <v>1.53346410379314</v>
      </c>
      <c r="BB40" s="12">
        <v>1.24953005091389</v>
      </c>
      <c r="BC40" s="12">
        <v>1.6152822359061101</v>
      </c>
      <c r="BD40" s="12">
        <v>1.2013217106569301</v>
      </c>
      <c r="BE40" s="33">
        <v>1.2014440504502599</v>
      </c>
      <c r="BF40" s="44" t="b">
        <f t="shared" si="47"/>
        <v>1</v>
      </c>
      <c r="BG40" t="b">
        <f t="shared" si="3"/>
        <v>1</v>
      </c>
      <c r="BH40" t="b">
        <f t="shared" si="4"/>
        <v>1</v>
      </c>
      <c r="BI40" t="b">
        <f t="shared" si="5"/>
        <v>1</v>
      </c>
      <c r="BJ40" t="b">
        <f t="shared" si="6"/>
        <v>1</v>
      </c>
      <c r="BK40" t="b">
        <f t="shared" si="7"/>
        <v>1</v>
      </c>
      <c r="BL40" t="b">
        <f t="shared" si="8"/>
        <v>1</v>
      </c>
      <c r="BM40" t="b">
        <f t="shared" si="9"/>
        <v>1</v>
      </c>
      <c r="BN40" t="b">
        <f t="shared" si="10"/>
        <v>1</v>
      </c>
      <c r="BO40" t="b">
        <f t="shared" si="11"/>
        <v>1</v>
      </c>
      <c r="BP40" s="45" t="b">
        <f t="shared" si="12"/>
        <v>1</v>
      </c>
      <c r="BR40" s="1">
        <f t="shared" si="43"/>
        <v>132</v>
      </c>
      <c r="BS40" s="23">
        <v>1.17977863845946E-2</v>
      </c>
      <c r="BT40" s="8">
        <v>2.0021903039209588E-2</v>
      </c>
      <c r="BU40" s="8">
        <v>2.0021903239749367E-2</v>
      </c>
      <c r="BV40" s="8">
        <v>2.0416506403239242E-2</v>
      </c>
      <c r="BW40" s="8">
        <v>1.8274739644845737E-2</v>
      </c>
      <c r="BX40" s="8">
        <v>9.257266885581681E-3</v>
      </c>
      <c r="BY40" s="8">
        <v>9.2294175661788314E-3</v>
      </c>
      <c r="BZ40" s="8">
        <v>5.5070465381510557E-3</v>
      </c>
      <c r="CA40" s="8">
        <v>1.0582663601201534E-2</v>
      </c>
      <c r="CB40" s="8">
        <v>4.851224642790101E-3</v>
      </c>
      <c r="CC40" s="8">
        <v>4.851903933854998E-3</v>
      </c>
      <c r="CD40" s="32">
        <v>1.17977863845946E-2</v>
      </c>
      <c r="CE40" s="12">
        <v>2.0021903039209501E-2</v>
      </c>
      <c r="CF40" s="12">
        <v>2.0021903239748999E-2</v>
      </c>
      <c r="CG40" s="12">
        <v>2.0416506403239301E-2</v>
      </c>
      <c r="CH40" s="12">
        <v>1.8274739644845699E-2</v>
      </c>
      <c r="CI40" s="12">
        <v>9.2572668855817192E-3</v>
      </c>
      <c r="CJ40" s="12">
        <v>9.2294175661787898E-3</v>
      </c>
      <c r="CK40" s="12">
        <v>5.5070465381509897E-3</v>
      </c>
      <c r="CL40" s="12">
        <v>1.0582663601201499E-2</v>
      </c>
      <c r="CM40" s="12">
        <v>4.8512246427900698E-3</v>
      </c>
      <c r="CN40" s="33">
        <v>4.8519039338549702E-3</v>
      </c>
      <c r="CO40" t="b">
        <f t="shared" si="48"/>
        <v>1</v>
      </c>
      <c r="CP40" t="b">
        <f t="shared" si="13"/>
        <v>1</v>
      </c>
      <c r="CQ40" t="b">
        <f t="shared" si="14"/>
        <v>1</v>
      </c>
      <c r="CR40" t="b">
        <f t="shared" si="15"/>
        <v>1</v>
      </c>
      <c r="CS40" t="b">
        <f t="shared" si="16"/>
        <v>1</v>
      </c>
      <c r="CT40" t="b">
        <f t="shared" si="17"/>
        <v>1</v>
      </c>
      <c r="CU40" t="b">
        <f t="shared" si="18"/>
        <v>1</v>
      </c>
      <c r="CV40" t="b">
        <f t="shared" si="19"/>
        <v>1</v>
      </c>
      <c r="CW40" t="b">
        <f t="shared" si="20"/>
        <v>1</v>
      </c>
      <c r="CX40" t="b">
        <f t="shared" si="21"/>
        <v>1</v>
      </c>
      <c r="CY40" t="b">
        <f t="shared" si="22"/>
        <v>1</v>
      </c>
    </row>
    <row r="41" spans="1:151" x14ac:dyDescent="0.25">
      <c r="A41" s="1">
        <f t="shared" si="34"/>
        <v>138</v>
      </c>
      <c r="B41" s="23">
        <v>0.19630326972284959</v>
      </c>
      <c r="C41" s="8">
        <v>0.11087025451914576</v>
      </c>
      <c r="D41" s="8">
        <v>0.11087025250623873</v>
      </c>
      <c r="E41" s="8">
        <v>0.12482349969240029</v>
      </c>
      <c r="F41" s="8">
        <v>0.11752619762699856</v>
      </c>
      <c r="G41" s="8">
        <v>0.19184262580416553</v>
      </c>
      <c r="H41" s="8">
        <v>0.20428549064822554</v>
      </c>
      <c r="I41" s="8">
        <v>0.27748715423522641</v>
      </c>
      <c r="J41" s="8">
        <v>0.18670284483111821</v>
      </c>
      <c r="K41" s="8">
        <v>0.29233608441674097</v>
      </c>
      <c r="L41" s="8">
        <v>0.2922991605855394</v>
      </c>
      <c r="M41" s="32">
        <v>0.19630326972285</v>
      </c>
      <c r="N41" s="12">
        <v>0.11087025451914601</v>
      </c>
      <c r="O41" s="12">
        <v>0.110870252506242</v>
      </c>
      <c r="P41" s="12">
        <v>0.124823499692399</v>
      </c>
      <c r="Q41" s="12">
        <v>0.11752619762700001</v>
      </c>
      <c r="R41" s="12">
        <v>0.191842625804165</v>
      </c>
      <c r="S41" s="12">
        <v>0.20428549064822599</v>
      </c>
      <c r="T41" s="12">
        <v>0.27748715423522902</v>
      </c>
      <c r="U41" s="12">
        <v>0.18670284483112301</v>
      </c>
      <c r="V41" s="12">
        <v>0.29233608441674103</v>
      </c>
      <c r="W41" s="33">
        <v>0.29229916058554101</v>
      </c>
      <c r="X41" t="b">
        <f t="shared" si="46"/>
        <v>1</v>
      </c>
      <c r="Y41" t="b">
        <f t="shared" si="50"/>
        <v>1</v>
      </c>
      <c r="Z41" t="b">
        <f t="shared" si="51"/>
        <v>1</v>
      </c>
      <c r="AA41" t="b">
        <f t="shared" si="52"/>
        <v>1</v>
      </c>
      <c r="AB41" t="b">
        <f t="shared" si="53"/>
        <v>1</v>
      </c>
      <c r="AC41" t="b">
        <f t="shared" si="54"/>
        <v>1</v>
      </c>
      <c r="AD41" t="b">
        <f t="shared" si="55"/>
        <v>1</v>
      </c>
      <c r="AE41" t="b">
        <f t="shared" si="56"/>
        <v>1</v>
      </c>
      <c r="AF41" t="b">
        <f t="shared" si="57"/>
        <v>1</v>
      </c>
      <c r="AG41" t="b">
        <f t="shared" si="1"/>
        <v>1</v>
      </c>
      <c r="AH41" t="b">
        <f t="shared" si="2"/>
        <v>1</v>
      </c>
      <c r="AJ41" s="23">
        <v>1.6280945210740549</v>
      </c>
      <c r="AK41" s="8">
        <v>2.1993946395466311</v>
      </c>
      <c r="AL41" s="8">
        <v>2.1993946577021504</v>
      </c>
      <c r="AM41" s="8">
        <v>2.0808545419554969</v>
      </c>
      <c r="AN41" s="8">
        <v>2.1410940117218349</v>
      </c>
      <c r="AO41" s="8">
        <v>1.6510799003270187</v>
      </c>
      <c r="AP41" s="8">
        <v>1.5882367995130624</v>
      </c>
      <c r="AQ41" s="8">
        <v>1.2819806379113405</v>
      </c>
      <c r="AR41" s="8">
        <v>1.6782369911048165</v>
      </c>
      <c r="AS41" s="8">
        <v>1.2298511645467201</v>
      </c>
      <c r="AT41" s="8">
        <v>1.2299774786256823</v>
      </c>
      <c r="AU41" s="32">
        <v>1.6280945210740601</v>
      </c>
      <c r="AV41" s="12">
        <v>2.1993946395466302</v>
      </c>
      <c r="AW41" s="12">
        <v>2.1993946577021202</v>
      </c>
      <c r="AX41" s="12">
        <v>2.0808545419555098</v>
      </c>
      <c r="AY41" s="12">
        <v>2.14109401172183</v>
      </c>
      <c r="AZ41" s="12">
        <v>1.65107990032702</v>
      </c>
      <c r="BA41" s="12">
        <v>1.58823679951306</v>
      </c>
      <c r="BB41" s="12">
        <v>1.2819806379113301</v>
      </c>
      <c r="BC41" s="12">
        <v>1.6782369911047901</v>
      </c>
      <c r="BD41" s="12">
        <v>1.2298511645467201</v>
      </c>
      <c r="BE41" s="33">
        <v>1.2299774786256801</v>
      </c>
      <c r="BF41" s="44" t="b">
        <f t="shared" si="47"/>
        <v>1</v>
      </c>
      <c r="BG41" t="b">
        <f t="shared" si="3"/>
        <v>1</v>
      </c>
      <c r="BH41" t="b">
        <f t="shared" si="4"/>
        <v>1</v>
      </c>
      <c r="BI41" t="b">
        <f t="shared" si="5"/>
        <v>1</v>
      </c>
      <c r="BJ41" t="b">
        <f t="shared" si="6"/>
        <v>1</v>
      </c>
      <c r="BK41" t="b">
        <f t="shared" si="7"/>
        <v>1</v>
      </c>
      <c r="BL41" t="b">
        <f t="shared" si="8"/>
        <v>1</v>
      </c>
      <c r="BM41" t="b">
        <f t="shared" si="9"/>
        <v>1</v>
      </c>
      <c r="BN41" t="b">
        <f t="shared" si="10"/>
        <v>1</v>
      </c>
      <c r="BO41" t="b">
        <f t="shared" si="11"/>
        <v>1</v>
      </c>
      <c r="BP41" s="45" t="b">
        <f t="shared" si="12"/>
        <v>1</v>
      </c>
      <c r="BR41" s="1">
        <f t="shared" si="43"/>
        <v>138</v>
      </c>
      <c r="BS41" s="23">
        <v>1.17977863845946E-2</v>
      </c>
      <c r="BT41" s="8">
        <v>2.0265021960666735E-2</v>
      </c>
      <c r="BU41" s="8">
        <v>2.0265022165779786E-2</v>
      </c>
      <c r="BV41" s="8">
        <v>2.1056237781829447E-2</v>
      </c>
      <c r="BW41" s="8">
        <v>1.8366207671402859E-2</v>
      </c>
      <c r="BX41" s="8">
        <v>8.9745290530435732E-3</v>
      </c>
      <c r="BY41" s="8">
        <v>9.029812698343135E-3</v>
      </c>
      <c r="BZ41" s="8">
        <v>5.3121799963652388E-3</v>
      </c>
      <c r="CA41" s="8">
        <v>1.0403483357216385E-2</v>
      </c>
      <c r="CB41" s="8">
        <v>4.6610888936153309E-3</v>
      </c>
      <c r="CC41" s="8">
        <v>4.6617348355456169E-3</v>
      </c>
      <c r="CD41" s="32">
        <v>1.17977863845946E-2</v>
      </c>
      <c r="CE41" s="12">
        <v>2.0265021960666599E-2</v>
      </c>
      <c r="CF41" s="12">
        <v>2.0265022165779498E-2</v>
      </c>
      <c r="CG41" s="12">
        <v>2.1056237781829499E-2</v>
      </c>
      <c r="CH41" s="12">
        <v>1.83662076714028E-2</v>
      </c>
      <c r="CI41" s="12">
        <v>8.9745290530436096E-3</v>
      </c>
      <c r="CJ41" s="12">
        <v>9.0298126983430899E-3</v>
      </c>
      <c r="CK41" s="12">
        <v>5.3121799963651902E-3</v>
      </c>
      <c r="CL41" s="12">
        <v>1.04034833572164E-2</v>
      </c>
      <c r="CM41" s="12">
        <v>4.6610888936153396E-3</v>
      </c>
      <c r="CN41" s="33">
        <v>4.6617348355456204E-3</v>
      </c>
      <c r="CO41" t="b">
        <f t="shared" si="48"/>
        <v>1</v>
      </c>
      <c r="CP41" t="b">
        <f t="shared" si="13"/>
        <v>1</v>
      </c>
      <c r="CQ41" t="b">
        <f t="shared" si="14"/>
        <v>1</v>
      </c>
      <c r="CR41" t="b">
        <f t="shared" si="15"/>
        <v>1</v>
      </c>
      <c r="CS41" t="b">
        <f t="shared" si="16"/>
        <v>1</v>
      </c>
      <c r="CT41" t="b">
        <f t="shared" si="17"/>
        <v>1</v>
      </c>
      <c r="CU41" t="b">
        <f t="shared" si="18"/>
        <v>1</v>
      </c>
      <c r="CV41" t="b">
        <f t="shared" si="19"/>
        <v>1</v>
      </c>
      <c r="CW41" t="b">
        <f t="shared" si="20"/>
        <v>1</v>
      </c>
      <c r="CX41" t="b">
        <f t="shared" si="21"/>
        <v>1</v>
      </c>
      <c r="CY41" t="b">
        <f t="shared" si="22"/>
        <v>1</v>
      </c>
    </row>
    <row r="42" spans="1:151" x14ac:dyDescent="0.25">
      <c r="A42" s="1">
        <f t="shared" si="34"/>
        <v>144</v>
      </c>
      <c r="B42" s="23">
        <v>0.1828880175533798</v>
      </c>
      <c r="C42" s="8">
        <v>9.8107149963114829E-2</v>
      </c>
      <c r="D42" s="8">
        <v>9.8107148059873445E-2</v>
      </c>
      <c r="E42" s="8">
        <v>0.10979271270292233</v>
      </c>
      <c r="F42" s="8">
        <v>0.10523596423908699</v>
      </c>
      <c r="G42" s="8">
        <v>0.18193338164505915</v>
      </c>
      <c r="H42" s="8">
        <v>0.19362323175250795</v>
      </c>
      <c r="I42" s="8">
        <v>0.26893028401343144</v>
      </c>
      <c r="J42" s="8">
        <v>0.17549611535863852</v>
      </c>
      <c r="K42" s="8">
        <v>0.28442574558494427</v>
      </c>
      <c r="L42" s="8">
        <v>0.28438874521338975</v>
      </c>
      <c r="M42" s="32">
        <v>0.18288801755337999</v>
      </c>
      <c r="N42" s="12">
        <v>9.81071499631153E-2</v>
      </c>
      <c r="O42" s="12">
        <v>9.8107148059876595E-2</v>
      </c>
      <c r="P42" s="12">
        <v>0.109792712702921</v>
      </c>
      <c r="Q42" s="12">
        <v>0.105235964239088</v>
      </c>
      <c r="R42" s="12">
        <v>0.18193338164505901</v>
      </c>
      <c r="S42" s="12">
        <v>0.19362323175250901</v>
      </c>
      <c r="T42" s="12">
        <v>0.268930284013433</v>
      </c>
      <c r="U42" s="12">
        <v>0.17549611535864101</v>
      </c>
      <c r="V42" s="12">
        <v>0.28442574558494299</v>
      </c>
      <c r="W42" s="33">
        <v>0.28438874521339103</v>
      </c>
      <c r="X42" t="b">
        <f t="shared" si="46"/>
        <v>1</v>
      </c>
      <c r="Y42" t="b">
        <f t="shared" si="50"/>
        <v>1</v>
      </c>
      <c r="Z42" t="b">
        <f t="shared" si="51"/>
        <v>1</v>
      </c>
      <c r="AA42" t="b">
        <f t="shared" si="52"/>
        <v>1</v>
      </c>
      <c r="AB42" t="b">
        <f t="shared" si="53"/>
        <v>1</v>
      </c>
      <c r="AC42" t="b">
        <f t="shared" si="54"/>
        <v>1</v>
      </c>
      <c r="AD42" t="b">
        <f t="shared" si="55"/>
        <v>1</v>
      </c>
      <c r="AE42" t="b">
        <f t="shared" si="56"/>
        <v>1</v>
      </c>
      <c r="AF42" t="b">
        <f t="shared" si="57"/>
        <v>1</v>
      </c>
      <c r="AG42" t="b">
        <f t="shared" si="1"/>
        <v>1</v>
      </c>
      <c r="AH42" t="b">
        <f t="shared" si="2"/>
        <v>1</v>
      </c>
      <c r="AJ42" s="23">
        <v>1.6988812393816224</v>
      </c>
      <c r="AK42" s="8">
        <v>2.3216950306313398</v>
      </c>
      <c r="AL42" s="8">
        <v>2.3216950500309594</v>
      </c>
      <c r="AM42" s="8">
        <v>2.2091611209350588</v>
      </c>
      <c r="AN42" s="8">
        <v>2.2515501717106248</v>
      </c>
      <c r="AO42" s="8">
        <v>1.7041146938297311</v>
      </c>
      <c r="AP42" s="8">
        <v>1.6418411126172991</v>
      </c>
      <c r="AQ42" s="8">
        <v>1.3133031002062441</v>
      </c>
      <c r="AR42" s="8">
        <v>1.7401383710298053</v>
      </c>
      <c r="AS42" s="8">
        <v>1.2572830591835273</v>
      </c>
      <c r="AT42" s="8">
        <v>1.2574131556286963</v>
      </c>
      <c r="AU42" s="32">
        <v>1.6988812393816199</v>
      </c>
      <c r="AV42" s="12">
        <v>2.3216950306313402</v>
      </c>
      <c r="AW42" s="12">
        <v>2.3216950500309301</v>
      </c>
      <c r="AX42" s="12">
        <v>2.2091611209350699</v>
      </c>
      <c r="AY42" s="12">
        <v>2.2515501717106199</v>
      </c>
      <c r="AZ42" s="12">
        <v>1.70411469382973</v>
      </c>
      <c r="BA42" s="12">
        <v>1.64184111261729</v>
      </c>
      <c r="BB42" s="12">
        <v>1.3133031002062401</v>
      </c>
      <c r="BC42" s="12">
        <v>1.74013837102979</v>
      </c>
      <c r="BD42" s="12">
        <v>1.25728305918353</v>
      </c>
      <c r="BE42" s="33">
        <v>1.25741315562869</v>
      </c>
      <c r="BF42" s="44" t="b">
        <f t="shared" si="47"/>
        <v>1</v>
      </c>
      <c r="BG42" t="b">
        <f t="shared" si="3"/>
        <v>1</v>
      </c>
      <c r="BH42" t="b">
        <f t="shared" si="4"/>
        <v>1</v>
      </c>
      <c r="BI42" t="b">
        <f t="shared" si="5"/>
        <v>1</v>
      </c>
      <c r="BJ42" t="b">
        <f t="shared" si="6"/>
        <v>1</v>
      </c>
      <c r="BK42" t="b">
        <f t="shared" si="7"/>
        <v>1</v>
      </c>
      <c r="BL42" t="b">
        <f t="shared" si="8"/>
        <v>1</v>
      </c>
      <c r="BM42" t="b">
        <f t="shared" si="9"/>
        <v>1</v>
      </c>
      <c r="BN42" t="b">
        <f t="shared" si="10"/>
        <v>1</v>
      </c>
      <c r="BO42" t="b">
        <f t="shared" si="11"/>
        <v>1</v>
      </c>
      <c r="BP42" s="45" t="b">
        <f t="shared" si="12"/>
        <v>1</v>
      </c>
      <c r="BR42" s="1">
        <f t="shared" si="43"/>
        <v>144</v>
      </c>
      <c r="BS42" s="23">
        <v>1.17977863845946E-2</v>
      </c>
      <c r="BT42" s="8">
        <v>2.0500558019503248E-2</v>
      </c>
      <c r="BU42" s="8">
        <v>2.0500558229071247E-2</v>
      </c>
      <c r="BV42" s="8">
        <v>2.1716014521201265E-2</v>
      </c>
      <c r="BW42" s="8">
        <v>1.845154334438729E-2</v>
      </c>
      <c r="BX42" s="8">
        <v>8.7060467205985897E-3</v>
      </c>
      <c r="BY42" s="8">
        <v>8.8398381429589615E-3</v>
      </c>
      <c r="BZ42" s="8">
        <v>5.1307649097118817E-3</v>
      </c>
      <c r="CA42" s="8">
        <v>1.0231471092448296E-2</v>
      </c>
      <c r="CB42" s="8">
        <v>4.4851021143286398E-3</v>
      </c>
      <c r="CC42" s="8">
        <v>4.4857173827330043E-3</v>
      </c>
      <c r="CD42" s="32">
        <v>1.17977863845946E-2</v>
      </c>
      <c r="CE42" s="12">
        <v>2.05005580195032E-2</v>
      </c>
      <c r="CF42" s="12">
        <v>2.05005582290709E-2</v>
      </c>
      <c r="CG42" s="12">
        <v>2.17160145212014E-2</v>
      </c>
      <c r="CH42" s="12">
        <v>1.8451543344387301E-2</v>
      </c>
      <c r="CI42" s="12">
        <v>8.7060467205986192E-3</v>
      </c>
      <c r="CJ42" s="12">
        <v>8.8398381429589095E-3</v>
      </c>
      <c r="CK42" s="12">
        <v>5.13076490971184E-3</v>
      </c>
      <c r="CL42" s="12">
        <v>1.02314710924484E-2</v>
      </c>
      <c r="CM42" s="12">
        <v>4.4851021143286398E-3</v>
      </c>
      <c r="CN42" s="33">
        <v>4.4857173827329896E-3</v>
      </c>
      <c r="CO42" t="b">
        <f t="shared" si="48"/>
        <v>1</v>
      </c>
      <c r="CP42" t="b">
        <f t="shared" si="13"/>
        <v>1</v>
      </c>
      <c r="CQ42" t="b">
        <f t="shared" si="14"/>
        <v>1</v>
      </c>
      <c r="CR42" t="b">
        <f t="shared" si="15"/>
        <v>1</v>
      </c>
      <c r="CS42" t="b">
        <f t="shared" si="16"/>
        <v>1</v>
      </c>
      <c r="CT42" t="b">
        <f t="shared" si="17"/>
        <v>1</v>
      </c>
      <c r="CU42" t="b">
        <f t="shared" si="18"/>
        <v>1</v>
      </c>
      <c r="CV42" t="b">
        <f t="shared" si="19"/>
        <v>1</v>
      </c>
      <c r="CW42" t="b">
        <f t="shared" si="20"/>
        <v>1</v>
      </c>
      <c r="CX42" t="b">
        <f t="shared" si="21"/>
        <v>1</v>
      </c>
      <c r="CY42" t="b">
        <f t="shared" si="22"/>
        <v>1</v>
      </c>
    </row>
    <row r="43" spans="1:151" x14ac:dyDescent="0.25">
      <c r="A43" s="1">
        <f t="shared" si="34"/>
        <v>150</v>
      </c>
      <c r="B43" s="23">
        <v>0.17038955597545008</v>
      </c>
      <c r="C43" s="8">
        <v>8.6692556677205115E-2</v>
      </c>
      <c r="D43" s="8">
        <v>8.6692554885260051E-2</v>
      </c>
      <c r="E43" s="8">
        <v>9.6184403347121042E-2</v>
      </c>
      <c r="F43" s="8">
        <v>9.4184327707373616E-2</v>
      </c>
      <c r="G43" s="8">
        <v>0.1728070854774035</v>
      </c>
      <c r="H43" s="8">
        <v>0.18372177605851814</v>
      </c>
      <c r="I43" s="8">
        <v>0.26091149754798137</v>
      </c>
      <c r="J43" s="8">
        <v>0.16512901727139029</v>
      </c>
      <c r="K43" s="8">
        <v>0.2770111092793438</v>
      </c>
      <c r="L43" s="8">
        <v>0.27697407479062675</v>
      </c>
      <c r="M43" s="32">
        <v>0.17038955597545</v>
      </c>
      <c r="N43" s="12">
        <v>8.6692556677205504E-2</v>
      </c>
      <c r="O43" s="12">
        <v>8.6692554885263104E-2</v>
      </c>
      <c r="P43" s="12">
        <v>9.6184403347120098E-2</v>
      </c>
      <c r="Q43" s="12">
        <v>9.4184327707374296E-2</v>
      </c>
      <c r="R43" s="12">
        <v>0.17280708547740301</v>
      </c>
      <c r="S43" s="12">
        <v>0.183721776058519</v>
      </c>
      <c r="T43" s="12">
        <v>0.26091149754798298</v>
      </c>
      <c r="U43" s="12">
        <v>0.16512901727139201</v>
      </c>
      <c r="V43" s="12">
        <v>0.27701110927934303</v>
      </c>
      <c r="W43" s="33">
        <v>0.27697407479062802</v>
      </c>
      <c r="X43" t="b">
        <f t="shared" si="46"/>
        <v>1</v>
      </c>
      <c r="Y43" t="b">
        <f t="shared" si="50"/>
        <v>1</v>
      </c>
      <c r="Z43" t="b">
        <f t="shared" si="51"/>
        <v>1</v>
      </c>
      <c r="AA43" t="b">
        <f t="shared" si="52"/>
        <v>1</v>
      </c>
      <c r="AB43" t="b">
        <f t="shared" si="53"/>
        <v>1</v>
      </c>
      <c r="AC43" t="b">
        <f t="shared" si="54"/>
        <v>1</v>
      </c>
      <c r="AD43" t="b">
        <f t="shared" si="55"/>
        <v>1</v>
      </c>
      <c r="AE43" t="b">
        <f t="shared" si="56"/>
        <v>1</v>
      </c>
      <c r="AF43" t="b">
        <f t="shared" si="57"/>
        <v>1</v>
      </c>
      <c r="AG43" t="b">
        <f t="shared" si="1"/>
        <v>1</v>
      </c>
      <c r="AH43" t="b">
        <f t="shared" si="2"/>
        <v>1</v>
      </c>
      <c r="AJ43" s="23">
        <v>1.7696679576891901</v>
      </c>
      <c r="AK43" s="8">
        <v>2.4453872503550791</v>
      </c>
      <c r="AL43" s="8">
        <v>2.4453872710251936</v>
      </c>
      <c r="AM43" s="8">
        <v>2.3414880618233429</v>
      </c>
      <c r="AN43" s="8">
        <v>2.3625014837744538</v>
      </c>
      <c r="AO43" s="8">
        <v>1.7555794195326604</v>
      </c>
      <c r="AP43" s="8">
        <v>1.694332752368364</v>
      </c>
      <c r="AQ43" s="8">
        <v>1.3435740190178855</v>
      </c>
      <c r="AR43" s="8">
        <v>1.8010281877670593</v>
      </c>
      <c r="AS43" s="8">
        <v>1.2836976678974086</v>
      </c>
      <c r="AT43" s="8">
        <v>1.2838313699885011</v>
      </c>
      <c r="AU43" s="32">
        <v>1.7696679576891901</v>
      </c>
      <c r="AV43" s="12">
        <v>2.4453872503550702</v>
      </c>
      <c r="AW43" s="12">
        <v>2.4453872710251598</v>
      </c>
      <c r="AX43" s="12">
        <v>2.34148806182335</v>
      </c>
      <c r="AY43" s="12">
        <v>2.3625014837744498</v>
      </c>
      <c r="AZ43" s="12">
        <v>1.7555794195326599</v>
      </c>
      <c r="BA43" s="12">
        <v>1.69433275236836</v>
      </c>
      <c r="BB43" s="12">
        <v>1.34357401901788</v>
      </c>
      <c r="BC43" s="12">
        <v>1.80102818776705</v>
      </c>
      <c r="BD43" s="12">
        <v>1.2836976678974099</v>
      </c>
      <c r="BE43" s="33">
        <v>1.2838313699885</v>
      </c>
      <c r="BF43" s="44" t="b">
        <f t="shared" si="47"/>
        <v>1</v>
      </c>
      <c r="BG43" t="b">
        <f t="shared" si="3"/>
        <v>1</v>
      </c>
      <c r="BH43" t="b">
        <f t="shared" si="4"/>
        <v>1</v>
      </c>
      <c r="BI43" t="b">
        <f t="shared" si="5"/>
        <v>1</v>
      </c>
      <c r="BJ43" t="b">
        <f t="shared" si="6"/>
        <v>1</v>
      </c>
      <c r="BK43" t="b">
        <f t="shared" si="7"/>
        <v>1</v>
      </c>
      <c r="BL43" t="b">
        <f t="shared" si="8"/>
        <v>1</v>
      </c>
      <c r="BM43" t="b">
        <f t="shared" si="9"/>
        <v>1</v>
      </c>
      <c r="BN43" t="b">
        <f t="shared" si="10"/>
        <v>1</v>
      </c>
      <c r="BO43" t="b">
        <f t="shared" si="11"/>
        <v>1</v>
      </c>
      <c r="BP43" s="45" t="b">
        <f t="shared" si="12"/>
        <v>1</v>
      </c>
      <c r="BR43" s="1">
        <f t="shared" si="43"/>
        <v>150</v>
      </c>
      <c r="BS43" s="23">
        <v>1.17977863845946E-2</v>
      </c>
      <c r="BT43" s="8">
        <v>2.0729049441402487E-2</v>
      </c>
      <c r="BU43" s="8">
        <v>2.0729049655314805E-2</v>
      </c>
      <c r="BV43" s="8">
        <v>2.2396464723246058E-2</v>
      </c>
      <c r="BW43" s="8">
        <v>1.8531352382351412E-2</v>
      </c>
      <c r="BX43" s="8">
        <v>8.4510439605188069E-3</v>
      </c>
      <c r="BY43" s="8">
        <v>8.6588130903088797E-3</v>
      </c>
      <c r="BZ43" s="8">
        <v>4.9614566367472031E-3</v>
      </c>
      <c r="CA43" s="8">
        <v>1.0066231252933509E-2</v>
      </c>
      <c r="CB43" s="8">
        <v>4.3217610593772379E-3</v>
      </c>
      <c r="CC43" s="8">
        <v>4.322348051015815E-3</v>
      </c>
      <c r="CD43" s="32">
        <v>1.17977863845946E-2</v>
      </c>
      <c r="CE43" s="12">
        <v>2.07290494414024E-2</v>
      </c>
      <c r="CF43" s="12">
        <v>2.07290496553145E-2</v>
      </c>
      <c r="CG43" s="12">
        <v>2.23964647232462E-2</v>
      </c>
      <c r="CH43" s="12">
        <v>1.8531352382351401E-2</v>
      </c>
      <c r="CI43" s="12">
        <v>8.4510439605188399E-3</v>
      </c>
      <c r="CJ43" s="12">
        <v>8.6588130903088294E-3</v>
      </c>
      <c r="CK43" s="12">
        <v>4.9614566367471797E-3</v>
      </c>
      <c r="CL43" s="12">
        <v>1.00662312529336E-2</v>
      </c>
      <c r="CM43" s="12">
        <v>4.32176105937723E-3</v>
      </c>
      <c r="CN43" s="33">
        <v>4.3223480510158202E-3</v>
      </c>
      <c r="CO43" t="b">
        <f t="shared" si="48"/>
        <v>1</v>
      </c>
      <c r="CP43" t="b">
        <f t="shared" si="13"/>
        <v>1</v>
      </c>
      <c r="CQ43" t="b">
        <f t="shared" si="14"/>
        <v>1</v>
      </c>
      <c r="CR43" t="b">
        <f t="shared" si="15"/>
        <v>1</v>
      </c>
      <c r="CS43" t="b">
        <f t="shared" si="16"/>
        <v>1</v>
      </c>
      <c r="CT43" t="b">
        <f t="shared" si="17"/>
        <v>1</v>
      </c>
      <c r="CU43" t="b">
        <f t="shared" si="18"/>
        <v>1</v>
      </c>
      <c r="CV43" t="b">
        <f t="shared" si="19"/>
        <v>1</v>
      </c>
      <c r="CW43" t="b">
        <f t="shared" si="20"/>
        <v>1</v>
      </c>
      <c r="CX43" t="b">
        <f t="shared" si="21"/>
        <v>1</v>
      </c>
      <c r="CY43" t="b">
        <f t="shared" si="22"/>
        <v>1</v>
      </c>
    </row>
    <row r="44" spans="1:151" x14ac:dyDescent="0.25">
      <c r="A44" s="1">
        <f t="shared" si="34"/>
        <v>156</v>
      </c>
      <c r="B44" s="23">
        <v>0.15874523204909935</v>
      </c>
      <c r="C44" s="8">
        <v>7.6502604074540417E-2</v>
      </c>
      <c r="D44" s="8">
        <v>7.6502602394056679E-2</v>
      </c>
      <c r="E44" s="8">
        <v>8.3914123803580626E-2</v>
      </c>
      <c r="F44" s="8">
        <v>8.4254238159832684E-2</v>
      </c>
      <c r="G44" s="8">
        <v>0.16438358601305555</v>
      </c>
      <c r="H44" s="8">
        <v>0.17451169500652064</v>
      </c>
      <c r="I44" s="8">
        <v>0.2533806339094915</v>
      </c>
      <c r="J44" s="8">
        <v>0.15552544348988129</v>
      </c>
      <c r="K44" s="8">
        <v>0.27004494484829156</v>
      </c>
      <c r="L44" s="8">
        <v>0.2700079121693838</v>
      </c>
      <c r="M44" s="32">
        <v>0.15874523204909899</v>
      </c>
      <c r="N44" s="12">
        <v>7.6502604074540903E-2</v>
      </c>
      <c r="O44" s="12">
        <v>7.6502602394059593E-2</v>
      </c>
      <c r="P44" s="12">
        <v>8.3914123803579696E-2</v>
      </c>
      <c r="Q44" s="12">
        <v>8.4254238159833406E-2</v>
      </c>
      <c r="R44" s="12">
        <v>0.164383586013055</v>
      </c>
      <c r="S44" s="12">
        <v>0.174511695006522</v>
      </c>
      <c r="T44" s="12">
        <v>0.253380633909493</v>
      </c>
      <c r="U44" s="12">
        <v>0.15552544348988301</v>
      </c>
      <c r="V44" s="12">
        <v>0.270044944848291</v>
      </c>
      <c r="W44" s="33">
        <v>0.27000791216938502</v>
      </c>
      <c r="X44" t="b">
        <f t="shared" si="46"/>
        <v>1</v>
      </c>
      <c r="Y44" t="b">
        <f t="shared" si="50"/>
        <v>1</v>
      </c>
      <c r="Z44" t="b">
        <f t="shared" si="51"/>
        <v>1</v>
      </c>
      <c r="AA44" t="b">
        <f t="shared" si="52"/>
        <v>1</v>
      </c>
      <c r="AB44" t="b">
        <f t="shared" si="53"/>
        <v>1</v>
      </c>
      <c r="AC44" t="b">
        <f t="shared" si="54"/>
        <v>1</v>
      </c>
      <c r="AD44" t="b">
        <f t="shared" si="55"/>
        <v>1</v>
      </c>
      <c r="AE44" t="b">
        <f t="shared" si="56"/>
        <v>1</v>
      </c>
      <c r="AF44" t="b">
        <f t="shared" si="57"/>
        <v>1</v>
      </c>
      <c r="AG44" t="b">
        <f t="shared" si="1"/>
        <v>1</v>
      </c>
      <c r="AH44" t="b">
        <f t="shared" si="2"/>
        <v>1</v>
      </c>
      <c r="AJ44" s="23">
        <v>1.8404546759967577</v>
      </c>
      <c r="AK44" s="8">
        <v>2.5704304985389301</v>
      </c>
      <c r="AL44" s="8">
        <v>2.5704305205052904</v>
      </c>
      <c r="AM44" s="8">
        <v>2.4779613387520403</v>
      </c>
      <c r="AN44" s="8">
        <v>2.4739164064471515</v>
      </c>
      <c r="AO44" s="8">
        <v>1.8055526431143138</v>
      </c>
      <c r="AP44" s="8">
        <v>1.7457635194907273</v>
      </c>
      <c r="AQ44" s="8">
        <v>1.3728624389979112</v>
      </c>
      <c r="AR44" s="8">
        <v>1.8609459370186106</v>
      </c>
      <c r="AS44" s="8">
        <v>1.3091668714360105</v>
      </c>
      <c r="AT44" s="8">
        <v>1.3093040160820748</v>
      </c>
      <c r="AU44" s="32">
        <v>1.8404546759967599</v>
      </c>
      <c r="AV44" s="12">
        <v>2.5704304985389199</v>
      </c>
      <c r="AW44" s="12">
        <v>2.57043052050525</v>
      </c>
      <c r="AX44" s="12">
        <v>2.47796133875205</v>
      </c>
      <c r="AY44" s="12">
        <v>2.4739164064471399</v>
      </c>
      <c r="AZ44" s="12">
        <v>1.8055526431143201</v>
      </c>
      <c r="BA44" s="12">
        <v>1.74576351949072</v>
      </c>
      <c r="BB44" s="12">
        <v>1.3728624389979101</v>
      </c>
      <c r="BC44" s="12">
        <v>1.8609459370185999</v>
      </c>
      <c r="BD44" s="12">
        <v>1.3091668714360101</v>
      </c>
      <c r="BE44" s="33">
        <v>1.3093040160820699</v>
      </c>
      <c r="BF44" s="44" t="b">
        <f t="shared" si="47"/>
        <v>1</v>
      </c>
      <c r="BG44" t="b">
        <f t="shared" si="3"/>
        <v>1</v>
      </c>
      <c r="BH44" t="b">
        <f t="shared" si="4"/>
        <v>1</v>
      </c>
      <c r="BI44" t="b">
        <f t="shared" si="5"/>
        <v>1</v>
      </c>
      <c r="BJ44" t="b">
        <f t="shared" si="6"/>
        <v>1</v>
      </c>
      <c r="BK44" t="b">
        <f t="shared" si="7"/>
        <v>1</v>
      </c>
      <c r="BL44" t="b">
        <f t="shared" si="8"/>
        <v>1</v>
      </c>
      <c r="BM44" t="b">
        <f t="shared" si="9"/>
        <v>1</v>
      </c>
      <c r="BN44" t="b">
        <f t="shared" si="10"/>
        <v>1</v>
      </c>
      <c r="BO44" t="b">
        <f t="shared" si="11"/>
        <v>1</v>
      </c>
      <c r="BP44" s="45" t="b">
        <f t="shared" si="12"/>
        <v>1</v>
      </c>
      <c r="BR44" s="1">
        <f t="shared" si="43"/>
        <v>156</v>
      </c>
      <c r="BS44" s="23">
        <v>1.17977863845946E-2</v>
      </c>
      <c r="BT44" s="8">
        <v>2.0950976516392671E-2</v>
      </c>
      <c r="BU44" s="8">
        <v>2.0950976734545577E-2</v>
      </c>
      <c r="BV44" s="8">
        <v>2.3098236170817313E-2</v>
      </c>
      <c r="BW44" s="8">
        <v>1.860616230869085E-2</v>
      </c>
      <c r="BX44" s="8">
        <v>8.20875281090124E-3</v>
      </c>
      <c r="BY44" s="8">
        <v>8.486114704375396E-3</v>
      </c>
      <c r="BZ44" s="8">
        <v>4.8030827814741668E-3</v>
      </c>
      <c r="CA44" s="8">
        <v>9.9073875793649346E-3</v>
      </c>
      <c r="CB44" s="8">
        <v>4.1697654272089234E-3</v>
      </c>
      <c r="CC44" s="8">
        <v>4.1703262936777525E-3</v>
      </c>
      <c r="CD44" s="32">
        <v>1.17977863845946E-2</v>
      </c>
      <c r="CE44" s="12">
        <v>2.0950976516392598E-2</v>
      </c>
      <c r="CF44" s="12">
        <v>2.0950976734545199E-2</v>
      </c>
      <c r="CG44" s="12">
        <v>2.30982361708174E-2</v>
      </c>
      <c r="CH44" s="12">
        <v>1.8606162308690801E-2</v>
      </c>
      <c r="CI44" s="12">
        <v>8.2087528109012695E-3</v>
      </c>
      <c r="CJ44" s="12">
        <v>8.4861147043753596E-3</v>
      </c>
      <c r="CK44" s="12">
        <v>4.8030827814741399E-3</v>
      </c>
      <c r="CL44" s="12">
        <v>9.9073875793650699E-3</v>
      </c>
      <c r="CM44" s="12">
        <v>4.1697654272089303E-3</v>
      </c>
      <c r="CN44" s="33">
        <v>4.1703262936777603E-3</v>
      </c>
      <c r="CO44" t="b">
        <f t="shared" si="48"/>
        <v>1</v>
      </c>
      <c r="CP44" t="b">
        <f t="shared" si="13"/>
        <v>1</v>
      </c>
      <c r="CQ44" t="b">
        <f t="shared" si="14"/>
        <v>1</v>
      </c>
      <c r="CR44" t="b">
        <f t="shared" si="15"/>
        <v>1</v>
      </c>
      <c r="CS44" t="b">
        <f t="shared" si="16"/>
        <v>1</v>
      </c>
      <c r="CT44" t="b">
        <f t="shared" si="17"/>
        <v>1</v>
      </c>
      <c r="CU44" t="b">
        <f t="shared" si="18"/>
        <v>1</v>
      </c>
      <c r="CV44" t="b">
        <f t="shared" si="19"/>
        <v>1</v>
      </c>
      <c r="CW44" t="b">
        <f t="shared" si="20"/>
        <v>1</v>
      </c>
      <c r="CX44" t="b">
        <f t="shared" si="21"/>
        <v>1</v>
      </c>
      <c r="CY44" t="b">
        <f t="shared" si="22"/>
        <v>1</v>
      </c>
    </row>
    <row r="45" spans="1:151" x14ac:dyDescent="0.25">
      <c r="A45" s="1">
        <f t="shared" si="34"/>
        <v>162</v>
      </c>
      <c r="B45" s="23">
        <v>0.14789667450012758</v>
      </c>
      <c r="C45" s="8">
        <v>6.7421811286583685E-2</v>
      </c>
      <c r="D45" s="8">
        <v>6.7421809716481124E-2</v>
      </c>
      <c r="E45" s="8">
        <v>7.2896775473787367E-2</v>
      </c>
      <c r="F45" s="8">
        <v>7.5338321172113254E-2</v>
      </c>
      <c r="G45" s="8">
        <v>0.15659250125741461</v>
      </c>
      <c r="H45" s="8">
        <v>0.16593126550513659</v>
      </c>
      <c r="I45" s="8">
        <v>0.24629363421701278</v>
      </c>
      <c r="J45" s="8">
        <v>0.14661738357822895</v>
      </c>
      <c r="K45" s="8">
        <v>0.26348593914235197</v>
      </c>
      <c r="L45" s="8">
        <v>0.26344893873463904</v>
      </c>
      <c r="M45" s="32">
        <v>0.147896674500127</v>
      </c>
      <c r="N45" s="12">
        <v>6.7421811286584102E-2</v>
      </c>
      <c r="O45" s="12">
        <v>6.7421809716483802E-2</v>
      </c>
      <c r="P45" s="12">
        <v>7.2896775473786493E-2</v>
      </c>
      <c r="Q45" s="12">
        <v>7.5338321172114003E-2</v>
      </c>
      <c r="R45" s="12">
        <v>0.156592501257414</v>
      </c>
      <c r="S45" s="12">
        <v>0.16593126550513701</v>
      </c>
      <c r="T45" s="12">
        <v>0.24629363421702299</v>
      </c>
      <c r="U45" s="12">
        <v>0.14661738357823001</v>
      </c>
      <c r="V45" s="12">
        <v>0.26348593914235102</v>
      </c>
      <c r="W45" s="33">
        <v>0.26344893873463998</v>
      </c>
      <c r="X45" t="b">
        <f t="shared" si="46"/>
        <v>1</v>
      </c>
      <c r="Y45" t="b">
        <f t="shared" si="50"/>
        <v>1</v>
      </c>
      <c r="Z45" t="b">
        <f t="shared" si="51"/>
        <v>1</v>
      </c>
      <c r="AA45" t="b">
        <f t="shared" si="52"/>
        <v>1</v>
      </c>
      <c r="AB45" t="b">
        <f t="shared" si="53"/>
        <v>1</v>
      </c>
      <c r="AC45" t="b">
        <f t="shared" si="54"/>
        <v>1</v>
      </c>
      <c r="AD45" t="b">
        <f t="shared" si="55"/>
        <v>1</v>
      </c>
      <c r="AE45" t="b">
        <f t="shared" si="56"/>
        <v>1</v>
      </c>
      <c r="AF45" t="b">
        <f t="shared" si="57"/>
        <v>1</v>
      </c>
      <c r="AG45" t="b">
        <f t="shared" si="1"/>
        <v>1</v>
      </c>
      <c r="AH45" t="b">
        <f t="shared" si="2"/>
        <v>1</v>
      </c>
      <c r="AJ45" s="23">
        <v>1.9112413943043252</v>
      </c>
      <c r="AK45" s="8">
        <v>2.6967867038209365</v>
      </c>
      <c r="AL45" s="8">
        <v>2.6967867271086909</v>
      </c>
      <c r="AM45" s="8">
        <v>2.6187108731297832</v>
      </c>
      <c r="AN45" s="8">
        <v>2.5857663603204717</v>
      </c>
      <c r="AO45" s="8">
        <v>1.8541083812627819</v>
      </c>
      <c r="AP45" s="8">
        <v>1.7961816395955092</v>
      </c>
      <c r="AQ45" s="8">
        <v>1.4012308198371817</v>
      </c>
      <c r="AR45" s="8">
        <v>1.9199289182631951</v>
      </c>
      <c r="AS45" s="8">
        <v>1.3337552743131236</v>
      </c>
      <c r="AT45" s="8">
        <v>1.3338957106718736</v>
      </c>
      <c r="AU45" s="32">
        <v>1.91124139430433</v>
      </c>
      <c r="AV45" s="12">
        <v>2.6967867038209299</v>
      </c>
      <c r="AW45" s="12">
        <v>2.6967867271086501</v>
      </c>
      <c r="AX45" s="12">
        <v>2.6187108731298001</v>
      </c>
      <c r="AY45" s="12">
        <v>2.5857663603204601</v>
      </c>
      <c r="AZ45" s="12">
        <v>1.8541083812627901</v>
      </c>
      <c r="BA45" s="12">
        <v>1.7961816395954999</v>
      </c>
      <c r="BB45" s="12">
        <v>1.4012308198371399</v>
      </c>
      <c r="BC45" s="12">
        <v>1.91992891826319</v>
      </c>
      <c r="BD45" s="12">
        <v>1.33375527431313</v>
      </c>
      <c r="BE45" s="33">
        <v>1.3338957106718701</v>
      </c>
      <c r="BF45" s="44" t="b">
        <f t="shared" si="47"/>
        <v>1</v>
      </c>
      <c r="BG45" t="b">
        <f t="shared" si="3"/>
        <v>1</v>
      </c>
      <c r="BH45" t="b">
        <f t="shared" si="4"/>
        <v>1</v>
      </c>
      <c r="BI45" t="b">
        <f t="shared" si="5"/>
        <v>1</v>
      </c>
      <c r="BJ45" t="b">
        <f t="shared" si="6"/>
        <v>1</v>
      </c>
      <c r="BK45" t="b">
        <f t="shared" si="7"/>
        <v>1</v>
      </c>
      <c r="BL45" t="b">
        <f t="shared" si="8"/>
        <v>1</v>
      </c>
      <c r="BM45" t="b">
        <f t="shared" si="9"/>
        <v>1</v>
      </c>
      <c r="BN45" t="b">
        <f t="shared" si="10"/>
        <v>1</v>
      </c>
      <c r="BO45" t="b">
        <f t="shared" si="11"/>
        <v>1</v>
      </c>
      <c r="BP45" s="45" t="b">
        <f t="shared" si="12"/>
        <v>1</v>
      </c>
      <c r="BR45" s="1">
        <f t="shared" si="43"/>
        <v>162</v>
      </c>
      <c r="BS45" s="23">
        <v>1.17977863845946E-2</v>
      </c>
      <c r="BT45" s="8">
        <v>2.1166769798595404E-2</v>
      </c>
      <c r="BU45" s="8">
        <v>2.1166770020891405E-2</v>
      </c>
      <c r="BV45" s="8">
        <v>2.3821996944414441E-2</v>
      </c>
      <c r="BW45" s="8">
        <v>1.8676434803620051E-2</v>
      </c>
      <c r="BX45" s="8">
        <v>7.9784266668721949E-3</v>
      </c>
      <c r="BY45" s="8">
        <v>8.3211733210678679E-3</v>
      </c>
      <c r="BZ45" s="8">
        <v>4.6546167669307007E-3</v>
      </c>
      <c r="CA45" s="8">
        <v>9.7545843759606447E-3</v>
      </c>
      <c r="CB45" s="8">
        <v>4.0279852091302257E-3</v>
      </c>
      <c r="CC45" s="8">
        <v>4.028521886298827E-3</v>
      </c>
      <c r="CD45" s="32">
        <v>1.17977863845946E-2</v>
      </c>
      <c r="CE45" s="12">
        <v>2.1166769798595299E-2</v>
      </c>
      <c r="CF45" s="12">
        <v>2.1166770020891099E-2</v>
      </c>
      <c r="CG45" s="12">
        <v>2.38219969444145E-2</v>
      </c>
      <c r="CH45" s="12">
        <v>1.8676434803619999E-2</v>
      </c>
      <c r="CI45" s="12">
        <v>7.9784266668722192E-3</v>
      </c>
      <c r="CJ45" s="12">
        <v>8.3211733210678193E-3</v>
      </c>
      <c r="CK45" s="12">
        <v>4.6546167669305099E-3</v>
      </c>
      <c r="CL45" s="12">
        <v>9.7545843759607904E-3</v>
      </c>
      <c r="CM45" s="12">
        <v>4.0279852091301997E-3</v>
      </c>
      <c r="CN45" s="33">
        <v>4.0285218862988097E-3</v>
      </c>
      <c r="CO45" t="b">
        <f t="shared" si="48"/>
        <v>1</v>
      </c>
      <c r="CP45" t="b">
        <f t="shared" si="13"/>
        <v>1</v>
      </c>
      <c r="CQ45" t="b">
        <f t="shared" si="14"/>
        <v>1</v>
      </c>
      <c r="CR45" t="b">
        <f t="shared" si="15"/>
        <v>1</v>
      </c>
      <c r="CS45" t="b">
        <f t="shared" si="16"/>
        <v>1</v>
      </c>
      <c r="CT45" t="b">
        <f t="shared" si="17"/>
        <v>1</v>
      </c>
      <c r="CU45" t="b">
        <f t="shared" si="18"/>
        <v>1</v>
      </c>
      <c r="CV45" t="b">
        <f t="shared" si="19"/>
        <v>1</v>
      </c>
      <c r="CW45" t="b">
        <f t="shared" si="20"/>
        <v>1</v>
      </c>
      <c r="CX45" t="b">
        <f t="shared" si="21"/>
        <v>1</v>
      </c>
      <c r="CY45" t="b">
        <f t="shared" si="22"/>
        <v>1</v>
      </c>
    </row>
    <row r="46" spans="1:151" x14ac:dyDescent="0.25">
      <c r="A46" s="1">
        <f t="shared" si="34"/>
        <v>168</v>
      </c>
      <c r="B46" s="23">
        <v>0.13778950111352828</v>
      </c>
      <c r="C46" s="8">
        <v>5.9343051216841324E-2</v>
      </c>
      <c r="D46" s="8">
        <v>5.934304975500073E-2</v>
      </c>
      <c r="E46" s="8">
        <v>6.3047261119885997E-2</v>
      </c>
      <c r="F46" s="8">
        <v>6.7338350262007185E-2</v>
      </c>
      <c r="G46" s="8">
        <v>0.14937187797079218</v>
      </c>
      <c r="H46" s="8">
        <v>0.15792546969030663</v>
      </c>
      <c r="I46" s="8">
        <v>0.23961163740899483</v>
      </c>
      <c r="J46" s="8">
        <v>0.13834394224131996</v>
      </c>
      <c r="K46" s="8">
        <v>0.2572977912766744</v>
      </c>
      <c r="L46" s="8">
        <v>0.25726084898626578</v>
      </c>
      <c r="M46" s="32">
        <v>0.137789501113528</v>
      </c>
      <c r="N46" s="12">
        <v>5.9343051216841698E-2</v>
      </c>
      <c r="O46" s="12">
        <v>5.9343049755003201E-2</v>
      </c>
      <c r="P46" s="12">
        <v>6.3047261119885095E-2</v>
      </c>
      <c r="Q46" s="12">
        <v>6.7338350262007698E-2</v>
      </c>
      <c r="R46" s="12">
        <v>0.14937187797079199</v>
      </c>
      <c r="S46" s="12">
        <v>0.15792546969030699</v>
      </c>
      <c r="T46" s="12">
        <v>0.23961163740900199</v>
      </c>
      <c r="U46" s="12">
        <v>0.138343942241312</v>
      </c>
      <c r="V46" s="12">
        <v>0.25729779127667401</v>
      </c>
      <c r="W46" s="33">
        <v>0.257260848986267</v>
      </c>
      <c r="X46" t="b">
        <f t="shared" si="46"/>
        <v>1</v>
      </c>
      <c r="Y46" t="b">
        <f t="shared" si="50"/>
        <v>1</v>
      </c>
      <c r="Z46" t="b">
        <f t="shared" si="51"/>
        <v>1</v>
      </c>
      <c r="AA46" t="b">
        <f t="shared" si="52"/>
        <v>1</v>
      </c>
      <c r="AB46" t="b">
        <f t="shared" si="53"/>
        <v>1</v>
      </c>
      <c r="AC46" t="b">
        <f t="shared" si="54"/>
        <v>1</v>
      </c>
      <c r="AD46" t="b">
        <f t="shared" si="55"/>
        <v>1</v>
      </c>
      <c r="AE46" t="b">
        <f t="shared" si="56"/>
        <v>1</v>
      </c>
      <c r="AF46" t="b">
        <f t="shared" si="57"/>
        <v>1</v>
      </c>
      <c r="AG46" t="b">
        <f t="shared" si="1"/>
        <v>1</v>
      </c>
      <c r="AH46" t="b">
        <f t="shared" si="2"/>
        <v>1</v>
      </c>
      <c r="AJ46" s="23">
        <v>1.9820281126118928</v>
      </c>
      <c r="AK46" s="8">
        <v>2.8244202462158818</v>
      </c>
      <c r="AL46" s="8">
        <v>2.8244202708496102</v>
      </c>
      <c r="AM46" s="8">
        <v>2.7638706573262275</v>
      </c>
      <c r="AN46" s="8">
        <v>2.698025364182997</v>
      </c>
      <c r="AO46" s="8">
        <v>1.9013162571287265</v>
      </c>
      <c r="AP46" s="8">
        <v>1.845632068066563</v>
      </c>
      <c r="AQ46" s="8">
        <v>1.4287358437659321</v>
      </c>
      <c r="AR46" s="8">
        <v>1.9780123594590371</v>
      </c>
      <c r="AS46" s="8">
        <v>1.3575211439649624</v>
      </c>
      <c r="AT46" s="8">
        <v>1.3576647322271407</v>
      </c>
      <c r="AU46" s="32">
        <v>1.9820281126118899</v>
      </c>
      <c r="AV46" s="12">
        <v>2.8244202462158698</v>
      </c>
      <c r="AW46" s="12">
        <v>2.8244202708495698</v>
      </c>
      <c r="AX46" s="12">
        <v>2.7638706573262399</v>
      </c>
      <c r="AY46" s="12">
        <v>2.6980253641829899</v>
      </c>
      <c r="AZ46" s="12">
        <v>1.9013162571287301</v>
      </c>
      <c r="BA46" s="12">
        <v>1.8456320680665601</v>
      </c>
      <c r="BB46" s="12">
        <v>1.4287358437658999</v>
      </c>
      <c r="BC46" s="12">
        <v>1.9780123594590899</v>
      </c>
      <c r="BD46" s="12">
        <v>1.3575211439649699</v>
      </c>
      <c r="BE46" s="33">
        <v>1.35766473222714</v>
      </c>
      <c r="BF46" s="44" t="b">
        <f t="shared" si="47"/>
        <v>1</v>
      </c>
      <c r="BG46" t="b">
        <f t="shared" si="3"/>
        <v>1</v>
      </c>
      <c r="BH46" t="b">
        <f t="shared" si="4"/>
        <v>1</v>
      </c>
      <c r="BI46" t="b">
        <f t="shared" si="5"/>
        <v>1</v>
      </c>
      <c r="BJ46" t="b">
        <f t="shared" si="6"/>
        <v>1</v>
      </c>
      <c r="BK46" t="b">
        <f t="shared" si="7"/>
        <v>1</v>
      </c>
      <c r="BL46" t="b">
        <f t="shared" si="8"/>
        <v>1</v>
      </c>
      <c r="BM46" t="b">
        <f t="shared" si="9"/>
        <v>1</v>
      </c>
      <c r="BN46" t="b">
        <f t="shared" si="10"/>
        <v>1</v>
      </c>
      <c r="BO46" t="b">
        <f t="shared" si="11"/>
        <v>1</v>
      </c>
      <c r="BP46" s="45" t="b">
        <f t="shared" si="12"/>
        <v>1</v>
      </c>
      <c r="BR46" s="1">
        <f t="shared" si="43"/>
        <v>168</v>
      </c>
      <c r="BS46" s="23">
        <v>1.17977863845946E-2</v>
      </c>
      <c r="BT46" s="8">
        <v>2.1376816887812337E-2</v>
      </c>
      <c r="BU46" s="8">
        <v>2.137681711415958E-2</v>
      </c>
      <c r="BV46" s="8">
        <v>2.4568436058189754E-2</v>
      </c>
      <c r="BW46" s="8">
        <v>1.8742575766237734E-2</v>
      </c>
      <c r="BX46" s="8">
        <v>7.7593486950977234E-3</v>
      </c>
      <c r="BY46" s="8">
        <v>8.1634677666980043E-3</v>
      </c>
      <c r="BZ46" s="8">
        <v>4.5151560562713463E-3</v>
      </c>
      <c r="CA46" s="8">
        <v>9.6074868244618306E-3</v>
      </c>
      <c r="CB46" s="8">
        <v>3.8954340451877608E-3</v>
      </c>
      <c r="CC46" s="8">
        <v>3.8959482788432477E-3</v>
      </c>
      <c r="CD46" s="32">
        <v>1.17977863845946E-2</v>
      </c>
      <c r="CE46" s="12">
        <v>2.1376816887812199E-2</v>
      </c>
      <c r="CF46" s="12">
        <v>2.1376817114159199E-2</v>
      </c>
      <c r="CG46" s="12">
        <v>2.45684360581899E-2</v>
      </c>
      <c r="CH46" s="12">
        <v>1.8742575766237699E-2</v>
      </c>
      <c r="CI46" s="12">
        <v>7.7593486950977598E-3</v>
      </c>
      <c r="CJ46" s="12">
        <v>8.1634677666979592E-3</v>
      </c>
      <c r="CK46" s="12">
        <v>4.5151560562711997E-3</v>
      </c>
      <c r="CL46" s="12">
        <v>9.6074868244625904E-3</v>
      </c>
      <c r="CM46" s="12">
        <v>3.8954340451877499E-3</v>
      </c>
      <c r="CN46" s="33">
        <v>3.8959482788432499E-3</v>
      </c>
      <c r="CO46" t="b">
        <f t="shared" si="48"/>
        <v>1</v>
      </c>
      <c r="CP46" t="b">
        <f t="shared" si="13"/>
        <v>1</v>
      </c>
      <c r="CQ46" t="b">
        <f t="shared" si="14"/>
        <v>1</v>
      </c>
      <c r="CR46" t="b">
        <f t="shared" si="15"/>
        <v>1</v>
      </c>
      <c r="CS46" t="b">
        <f t="shared" si="16"/>
        <v>1</v>
      </c>
      <c r="CT46" t="b">
        <f t="shared" si="17"/>
        <v>1</v>
      </c>
      <c r="CU46" t="b">
        <f t="shared" si="18"/>
        <v>1</v>
      </c>
      <c r="CV46" t="b">
        <f t="shared" si="19"/>
        <v>1</v>
      </c>
      <c r="CW46" t="b">
        <f t="shared" si="20"/>
        <v>1</v>
      </c>
      <c r="CX46" t="b">
        <f t="shared" si="21"/>
        <v>1</v>
      </c>
      <c r="CY46" t="b">
        <f t="shared" si="22"/>
        <v>1</v>
      </c>
    </row>
    <row r="47" spans="1:151" x14ac:dyDescent="0.25">
      <c r="A47" s="1">
        <f t="shared" si="34"/>
        <v>174</v>
      </c>
      <c r="B47" s="23">
        <v>0.1283730461234856</v>
      </c>
      <c r="C47" s="8">
        <v>5.2167388701365558E-2</v>
      </c>
      <c r="D47" s="8">
        <v>5.2167387344817961E-2</v>
      </c>
      <c r="E47" s="8">
        <v>5.4281116105099531E-2</v>
      </c>
      <c r="F47" s="8">
        <v>6.0164685048375244E-2</v>
      </c>
      <c r="G47" s="8">
        <v>0.14266704856711909</v>
      </c>
      <c r="H47" s="8">
        <v>0.1504451417978504</v>
      </c>
      <c r="I47" s="8">
        <v>0.23330023235566677</v>
      </c>
      <c r="J47" s="8">
        <v>0.13065048933255274</v>
      </c>
      <c r="K47" s="8">
        <v>0.25144846903696294</v>
      </c>
      <c r="L47" s="8">
        <v>0.25141160679937802</v>
      </c>
      <c r="M47" s="32">
        <v>0.12837304612348599</v>
      </c>
      <c r="N47" s="12">
        <v>5.2167388701365898E-2</v>
      </c>
      <c r="O47" s="12">
        <v>5.21673873448203E-2</v>
      </c>
      <c r="P47" s="12">
        <v>5.4281116105098899E-2</v>
      </c>
      <c r="Q47" s="12">
        <v>6.0164685048375702E-2</v>
      </c>
      <c r="R47" s="12">
        <v>0.14266704856711801</v>
      </c>
      <c r="S47" s="12">
        <v>0.15044514179785101</v>
      </c>
      <c r="T47" s="12">
        <v>0.23330023235567299</v>
      </c>
      <c r="U47" s="12">
        <v>0.130650489332549</v>
      </c>
      <c r="V47" s="12">
        <v>0.251448469036962</v>
      </c>
      <c r="W47" s="33">
        <v>0.25141160679937902</v>
      </c>
      <c r="X47" t="b">
        <f t="shared" si="46"/>
        <v>1</v>
      </c>
      <c r="Y47" t="b">
        <f t="shared" si="50"/>
        <v>1</v>
      </c>
      <c r="Z47" t="b">
        <f t="shared" si="51"/>
        <v>1</v>
      </c>
      <c r="AA47" t="b">
        <f t="shared" si="52"/>
        <v>1</v>
      </c>
      <c r="AB47" t="b">
        <f t="shared" si="53"/>
        <v>1</v>
      </c>
      <c r="AC47" t="b">
        <f t="shared" si="54"/>
        <v>1</v>
      </c>
      <c r="AD47" t="b">
        <f t="shared" si="55"/>
        <v>1</v>
      </c>
      <c r="AE47" t="b">
        <f t="shared" si="56"/>
        <v>1</v>
      </c>
      <c r="AF47" t="b">
        <f t="shared" si="57"/>
        <v>1</v>
      </c>
      <c r="AG47" t="b">
        <f t="shared" si="1"/>
        <v>1</v>
      </c>
      <c r="AH47" t="b">
        <f t="shared" si="2"/>
        <v>1</v>
      </c>
      <c r="AJ47" s="23">
        <v>2.0528148309194605</v>
      </c>
      <c r="AK47" s="8">
        <v>2.953297716845078</v>
      </c>
      <c r="AL47" s="8">
        <v>2.9532977428488256</v>
      </c>
      <c r="AM47" s="8">
        <v>2.9135788822316622</v>
      </c>
      <c r="AN47" s="8">
        <v>2.8106697259037641</v>
      </c>
      <c r="AO47" s="8">
        <v>1.9472416951997027</v>
      </c>
      <c r="AP47" s="8">
        <v>1.8941567675683608</v>
      </c>
      <c r="AQ47" s="8">
        <v>1.4554291040029694</v>
      </c>
      <c r="AR47" s="8">
        <v>2.0352295416528183</v>
      </c>
      <c r="AS47" s="8">
        <v>1.3805172049213228</v>
      </c>
      <c r="AT47" s="8">
        <v>1.3806638152386745</v>
      </c>
      <c r="AU47" s="32">
        <v>2.05281483091946</v>
      </c>
      <c r="AV47" s="12">
        <v>2.95329771684507</v>
      </c>
      <c r="AW47" s="12">
        <v>2.9532977428487799</v>
      </c>
      <c r="AX47" s="12">
        <v>2.9135788822316799</v>
      </c>
      <c r="AY47" s="12">
        <v>2.8106697259037601</v>
      </c>
      <c r="AZ47" s="12">
        <v>1.94724169519971</v>
      </c>
      <c r="BA47" s="12">
        <v>1.8941567675683599</v>
      </c>
      <c r="BB47" s="12">
        <v>1.4554291040029399</v>
      </c>
      <c r="BC47" s="12">
        <v>2.0352295416528499</v>
      </c>
      <c r="BD47" s="12">
        <v>1.3805172049213199</v>
      </c>
      <c r="BE47" s="33">
        <v>1.3806638152386701</v>
      </c>
      <c r="BF47" s="44" t="b">
        <f t="shared" si="47"/>
        <v>1</v>
      </c>
      <c r="BG47" t="b">
        <f t="shared" si="3"/>
        <v>1</v>
      </c>
      <c r="BH47" t="b">
        <f t="shared" si="4"/>
        <v>1</v>
      </c>
      <c r="BI47" t="b">
        <f t="shared" si="5"/>
        <v>1</v>
      </c>
      <c r="BJ47" t="b">
        <f t="shared" si="6"/>
        <v>1</v>
      </c>
      <c r="BK47" t="b">
        <f t="shared" si="7"/>
        <v>1</v>
      </c>
      <c r="BL47" t="b">
        <f t="shared" si="8"/>
        <v>1</v>
      </c>
      <c r="BM47" t="b">
        <f t="shared" si="9"/>
        <v>1</v>
      </c>
      <c r="BN47" t="b">
        <f t="shared" si="10"/>
        <v>1</v>
      </c>
      <c r="BO47" t="b">
        <f t="shared" si="11"/>
        <v>1</v>
      </c>
      <c r="BP47" s="45" t="b">
        <f t="shared" si="12"/>
        <v>1</v>
      </c>
      <c r="BR47" s="1">
        <f t="shared" si="43"/>
        <v>174</v>
      </c>
      <c r="BS47" s="23">
        <v>1.17977863845946E-2</v>
      </c>
      <c r="BT47" s="8">
        <v>2.1581468079647913E-2</v>
      </c>
      <c r="BU47" s="8">
        <v>2.1581468309959679E-2</v>
      </c>
      <c r="BV47" s="8">
        <v>2.5338264115884163E-2</v>
      </c>
      <c r="BW47" s="8">
        <v>1.8804943570786284E-2</v>
      </c>
      <c r="BX47" s="8">
        <v>7.550836768459906E-3</v>
      </c>
      <c r="BY47" s="8">
        <v>8.012520928838994E-3</v>
      </c>
      <c r="BZ47" s="8">
        <v>4.3839041141124488E-3</v>
      </c>
      <c r="CA47" s="8">
        <v>9.4657806851225958E-3</v>
      </c>
      <c r="CB47" s="8">
        <v>3.771247360304568E-3</v>
      </c>
      <c r="CC47" s="8">
        <v>3.7717407284588791E-3</v>
      </c>
      <c r="CD47" s="32">
        <v>1.17977863845946E-2</v>
      </c>
      <c r="CE47" s="12">
        <v>2.1581468079647802E-2</v>
      </c>
      <c r="CF47" s="12">
        <v>2.1581468309959301E-2</v>
      </c>
      <c r="CG47" s="12">
        <v>2.5338264115884301E-2</v>
      </c>
      <c r="CH47" s="12">
        <v>1.8804943570786301E-2</v>
      </c>
      <c r="CI47" s="12">
        <v>7.5508367684599398E-3</v>
      </c>
      <c r="CJ47" s="12">
        <v>8.0125209288389506E-3</v>
      </c>
      <c r="CK47" s="12">
        <v>4.3839041141123403E-3</v>
      </c>
      <c r="CL47" s="12">
        <v>9.4657806851230694E-3</v>
      </c>
      <c r="CM47" s="12">
        <v>3.7712473603045702E-3</v>
      </c>
      <c r="CN47" s="33">
        <v>3.77174072845887E-3</v>
      </c>
      <c r="CO47" t="b">
        <f t="shared" si="48"/>
        <v>1</v>
      </c>
      <c r="CP47" t="b">
        <f t="shared" si="13"/>
        <v>1</v>
      </c>
      <c r="CQ47" t="b">
        <f t="shared" si="14"/>
        <v>1</v>
      </c>
      <c r="CR47" t="b">
        <f t="shared" si="15"/>
        <v>1</v>
      </c>
      <c r="CS47" t="b">
        <f t="shared" si="16"/>
        <v>1</v>
      </c>
      <c r="CT47" t="b">
        <f t="shared" si="17"/>
        <v>1</v>
      </c>
      <c r="CU47" t="b">
        <f t="shared" si="18"/>
        <v>1</v>
      </c>
      <c r="CV47" t="b">
        <f t="shared" si="19"/>
        <v>1</v>
      </c>
      <c r="CW47" t="b">
        <f t="shared" si="20"/>
        <v>1</v>
      </c>
      <c r="CX47" t="b">
        <f t="shared" si="21"/>
        <v>1</v>
      </c>
      <c r="CY47" t="b">
        <f t="shared" si="22"/>
        <v>1</v>
      </c>
    </row>
    <row r="48" spans="1:151" x14ac:dyDescent="0.25">
      <c r="A48" s="1">
        <f t="shared" si="34"/>
        <v>180</v>
      </c>
      <c r="B48" s="23">
        <v>0.11960010623338105</v>
      </c>
      <c r="C48" s="8">
        <v>4.5803823503450948E-2</v>
      </c>
      <c r="D48" s="8">
        <v>4.5803822248549612E-2</v>
      </c>
      <c r="E48" s="8">
        <v>4.6515110191748935E-2</v>
      </c>
      <c r="F48" s="8">
        <v>5.3735695459262489E-2</v>
      </c>
      <c r="G48" s="8">
        <v>0.13642965596769485</v>
      </c>
      <c r="H48" s="8">
        <v>0.1434462383090005</v>
      </c>
      <c r="I48" s="8">
        <v>0.22732883568869011</v>
      </c>
      <c r="J48" s="8">
        <v>0.1234879225822646</v>
      </c>
      <c r="K48" s="8">
        <v>0.24590959423892012</v>
      </c>
      <c r="L48" s="8">
        <v>0.24587283066559018</v>
      </c>
      <c r="M48" s="32">
        <v>0.11960010623338101</v>
      </c>
      <c r="N48" s="12">
        <v>4.5803823503451399E-2</v>
      </c>
      <c r="O48" s="12">
        <v>4.5803822248551701E-2</v>
      </c>
      <c r="P48" s="12">
        <v>4.6515110191748303E-2</v>
      </c>
      <c r="Q48" s="12">
        <v>5.3735695459262899E-2</v>
      </c>
      <c r="R48" s="12">
        <v>0.13642965596769399</v>
      </c>
      <c r="S48" s="12">
        <v>0.143446238309001</v>
      </c>
      <c r="T48" s="12">
        <v>0.227328835688695</v>
      </c>
      <c r="U48" s="12">
        <v>0.123487922582261</v>
      </c>
      <c r="V48" s="12">
        <v>0.245909594238919</v>
      </c>
      <c r="W48" s="33">
        <v>0.24587283066559101</v>
      </c>
      <c r="X48" t="b">
        <f t="shared" si="46"/>
        <v>1</v>
      </c>
      <c r="Y48" t="b">
        <f t="shared" si="50"/>
        <v>1</v>
      </c>
      <c r="Z48" t="b">
        <f t="shared" si="51"/>
        <v>1</v>
      </c>
      <c r="AA48" t="b">
        <f t="shared" si="52"/>
        <v>1</v>
      </c>
      <c r="AB48" t="b">
        <f t="shared" si="53"/>
        <v>1</v>
      </c>
      <c r="AC48" t="b">
        <f t="shared" si="54"/>
        <v>1</v>
      </c>
      <c r="AD48" t="b">
        <f t="shared" si="55"/>
        <v>1</v>
      </c>
      <c r="AE48" t="b">
        <f t="shared" si="56"/>
        <v>1</v>
      </c>
      <c r="AF48" t="b">
        <f t="shared" si="57"/>
        <v>1</v>
      </c>
      <c r="AG48" t="b">
        <f t="shared" si="1"/>
        <v>1</v>
      </c>
      <c r="AH48" t="b">
        <f t="shared" si="2"/>
        <v>1</v>
      </c>
      <c r="AJ48" s="23">
        <v>2.1236015492270282</v>
      </c>
      <c r="AK48" s="8">
        <v>3.0833877087383774</v>
      </c>
      <c r="AL48" s="8">
        <v>3.0833877361356832</v>
      </c>
      <c r="AM48" s="8">
        <v>3.0679780688135678</v>
      </c>
      <c r="AN48" s="8">
        <v>2.9236777783839663</v>
      </c>
      <c r="AO48" s="8">
        <v>1.991946138086889</v>
      </c>
      <c r="AP48" s="8">
        <v>1.9417949599100912</v>
      </c>
      <c r="AQ48" s="8">
        <v>1.4813576943630984</v>
      </c>
      <c r="AR48" s="8">
        <v>2.0916119205522956</v>
      </c>
      <c r="AS48" s="8">
        <v>1.4027913136894063</v>
      </c>
      <c r="AT48" s="8">
        <v>1.4029408252275852</v>
      </c>
      <c r="AU48" s="32">
        <v>2.1236015492270299</v>
      </c>
      <c r="AV48" s="12">
        <v>3.0833877087383699</v>
      </c>
      <c r="AW48" s="12">
        <v>3.0833877361356401</v>
      </c>
      <c r="AX48" s="12">
        <v>3.0679780688135798</v>
      </c>
      <c r="AY48" s="12">
        <v>2.92367777838396</v>
      </c>
      <c r="AZ48" s="12">
        <v>1.9919461380868899</v>
      </c>
      <c r="BA48" s="12">
        <v>1.9417949599100901</v>
      </c>
      <c r="BB48" s="12">
        <v>1.48135769436308</v>
      </c>
      <c r="BC48" s="12">
        <v>2.09161192055232</v>
      </c>
      <c r="BD48" s="12">
        <v>1.4027913136894099</v>
      </c>
      <c r="BE48" s="33">
        <v>1.4029408252275799</v>
      </c>
      <c r="BF48" s="44" t="b">
        <f t="shared" si="47"/>
        <v>1</v>
      </c>
      <c r="BG48" t="b">
        <f t="shared" si="3"/>
        <v>1</v>
      </c>
      <c r="BH48" t="b">
        <f t="shared" si="4"/>
        <v>1</v>
      </c>
      <c r="BI48" t="b">
        <f t="shared" si="5"/>
        <v>1</v>
      </c>
      <c r="BJ48" t="b">
        <f t="shared" si="6"/>
        <v>1</v>
      </c>
      <c r="BK48" t="b">
        <f t="shared" si="7"/>
        <v>1</v>
      </c>
      <c r="BL48" t="b">
        <f t="shared" si="8"/>
        <v>1</v>
      </c>
      <c r="BM48" t="b">
        <f t="shared" si="9"/>
        <v>1</v>
      </c>
      <c r="BN48" t="b">
        <f t="shared" si="10"/>
        <v>1</v>
      </c>
      <c r="BO48" t="b">
        <f t="shared" si="11"/>
        <v>1</v>
      </c>
      <c r="BP48" s="45" t="b">
        <f t="shared" si="12"/>
        <v>1</v>
      </c>
      <c r="BR48" s="1">
        <f t="shared" si="43"/>
        <v>180</v>
      </c>
      <c r="BS48" s="23">
        <v>1.17977863845946E-2</v>
      </c>
      <c r="BT48" s="8">
        <v>2.1781041105101644E-2</v>
      </c>
      <c r="BU48" s="8">
        <v>2.1781041339295905E-2</v>
      </c>
      <c r="BV48" s="8">
        <v>2.6132213987315907E-2</v>
      </c>
      <c r="BW48" s="8">
        <v>1.8863855886921899E-2</v>
      </c>
      <c r="BX48" s="8">
        <v>7.3522459838659534E-3</v>
      </c>
      <c r="BY48" s="8">
        <v>7.8678956442915574E-3</v>
      </c>
      <c r="BZ48" s="8">
        <v>4.2601553923104548E-3</v>
      </c>
      <c r="CA48" s="8">
        <v>9.3291716150618372E-3</v>
      </c>
      <c r="CB48" s="8">
        <v>3.6546643255124002E-3</v>
      </c>
      <c r="CC48" s="8">
        <v>3.6551382578012639E-3</v>
      </c>
      <c r="CD48" s="32">
        <v>1.17977863845946E-2</v>
      </c>
      <c r="CE48" s="12">
        <v>2.1781041105101501E-2</v>
      </c>
      <c r="CF48" s="12">
        <v>2.1781041339295499E-2</v>
      </c>
      <c r="CG48" s="12">
        <v>2.6132213987316001E-2</v>
      </c>
      <c r="CH48" s="12">
        <v>1.8863855886921799E-2</v>
      </c>
      <c r="CI48" s="12">
        <v>7.3522459838659803E-3</v>
      </c>
      <c r="CJ48" s="12">
        <v>7.8678956442915192E-3</v>
      </c>
      <c r="CK48" s="12">
        <v>4.2601553923103698E-3</v>
      </c>
      <c r="CL48" s="12">
        <v>9.3291716150623195E-3</v>
      </c>
      <c r="CM48" s="12">
        <v>3.6546643255124002E-3</v>
      </c>
      <c r="CN48" s="33">
        <v>3.65513825780127E-3</v>
      </c>
      <c r="CO48" t="b">
        <f t="shared" si="48"/>
        <v>1</v>
      </c>
      <c r="CP48" t="b">
        <f t="shared" si="13"/>
        <v>1</v>
      </c>
      <c r="CQ48" t="b">
        <f t="shared" si="14"/>
        <v>1</v>
      </c>
      <c r="CR48" t="b">
        <f t="shared" si="15"/>
        <v>1</v>
      </c>
      <c r="CS48" t="b">
        <f t="shared" si="16"/>
        <v>1</v>
      </c>
      <c r="CT48" t="b">
        <f t="shared" si="17"/>
        <v>1</v>
      </c>
      <c r="CU48" t="b">
        <f t="shared" si="18"/>
        <v>1</v>
      </c>
      <c r="CV48" t="b">
        <f t="shared" si="19"/>
        <v>1</v>
      </c>
      <c r="CW48" t="b">
        <f t="shared" si="20"/>
        <v>1</v>
      </c>
      <c r="CX48" t="b">
        <f t="shared" si="21"/>
        <v>1</v>
      </c>
      <c r="CY48" t="b">
        <f t="shared" si="22"/>
        <v>1</v>
      </c>
    </row>
    <row r="49" spans="1:115" x14ac:dyDescent="0.25">
      <c r="A49" s="1">
        <f t="shared" si="34"/>
        <v>186</v>
      </c>
      <c r="B49" s="23">
        <v>0.11142670399264687</v>
      </c>
      <c r="C49" s="8">
        <v>4.0168963499985999E-2</v>
      </c>
      <c r="D49" s="8">
        <v>4.0168962342560573E-2</v>
      </c>
      <c r="E49" s="8">
        <v>3.9667811889350604E-2</v>
      </c>
      <c r="F49" s="8">
        <v>4.7977186953548023E-2</v>
      </c>
      <c r="G49" s="8">
        <v>0.13061682092931587</v>
      </c>
      <c r="H49" s="8">
        <v>0.13688921166901047</v>
      </c>
      <c r="I49" s="8">
        <v>0.22167017137529932</v>
      </c>
      <c r="J49" s="8">
        <v>0.11681202696893189</v>
      </c>
      <c r="K49" s="8">
        <v>0.24065593167803134</v>
      </c>
      <c r="L49" s="8">
        <v>0.24061928254644738</v>
      </c>
      <c r="M49" s="32">
        <v>0.11142670399264699</v>
      </c>
      <c r="N49" s="12">
        <v>4.0168963499986297E-2</v>
      </c>
      <c r="O49" s="12">
        <v>4.0168962342562502E-2</v>
      </c>
      <c r="P49" s="12">
        <v>3.9667811889350001E-2</v>
      </c>
      <c r="Q49" s="12">
        <v>4.7977186953548502E-2</v>
      </c>
      <c r="R49" s="12">
        <v>0.13061682092931501</v>
      </c>
      <c r="S49" s="12">
        <v>0.136889211669011</v>
      </c>
      <c r="T49" s="12">
        <v>0.22167017137530301</v>
      </c>
      <c r="U49" s="12">
        <v>0.11681202696893001</v>
      </c>
      <c r="V49" s="12">
        <v>0.24065593167803101</v>
      </c>
      <c r="W49" s="33">
        <v>0.24061928254644799</v>
      </c>
      <c r="X49" t="b">
        <f t="shared" si="46"/>
        <v>1</v>
      </c>
      <c r="Y49" t="b">
        <f t="shared" si="50"/>
        <v>1</v>
      </c>
      <c r="Z49" t="b">
        <f t="shared" si="51"/>
        <v>1</v>
      </c>
      <c r="AA49" t="b">
        <f t="shared" si="52"/>
        <v>1</v>
      </c>
      <c r="AB49" t="b">
        <f t="shared" si="53"/>
        <v>1</v>
      </c>
      <c r="AC49" t="b">
        <f t="shared" si="54"/>
        <v>1</v>
      </c>
      <c r="AD49" t="b">
        <f t="shared" si="55"/>
        <v>1</v>
      </c>
      <c r="AE49" t="b">
        <f t="shared" si="56"/>
        <v>1</v>
      </c>
      <c r="AF49" t="b">
        <f t="shared" si="57"/>
        <v>1</v>
      </c>
      <c r="AG49" t="b">
        <f t="shared" si="1"/>
        <v>1</v>
      </c>
      <c r="AH49" t="b">
        <f t="shared" si="2"/>
        <v>1</v>
      </c>
      <c r="AJ49" s="23">
        <v>2.1943882675345958</v>
      </c>
      <c r="AK49" s="8">
        <v>3.2146606337821324</v>
      </c>
      <c r="AL49" s="8">
        <v>3.2146606625960561</v>
      </c>
      <c r="AM49" s="8">
        <v>3.2272152037953821</v>
      </c>
      <c r="AN49" s="8">
        <v>3.0370296528527696</v>
      </c>
      <c r="AO49" s="8">
        <v>2.0354872731186453</v>
      </c>
      <c r="AP49" s="8">
        <v>1.9885833542560041</v>
      </c>
      <c r="AQ49" s="8">
        <v>1.5065647164037446</v>
      </c>
      <c r="AR49" s="8">
        <v>2.1471892432647044</v>
      </c>
      <c r="AS49" s="8">
        <v>1.4243870349681991</v>
      </c>
      <c r="AT49" s="8">
        <v>1.4245393350683146</v>
      </c>
      <c r="AU49" s="32">
        <v>2.1943882675345998</v>
      </c>
      <c r="AV49" s="12">
        <v>3.21466063378212</v>
      </c>
      <c r="AW49" s="12">
        <v>3.2146606625960099</v>
      </c>
      <c r="AX49" s="12">
        <v>3.2272152037953998</v>
      </c>
      <c r="AY49" s="12">
        <v>3.0370296528527598</v>
      </c>
      <c r="AZ49" s="12">
        <v>2.0354872731186502</v>
      </c>
      <c r="BA49" s="12">
        <v>1.9885833542560001</v>
      </c>
      <c r="BB49" s="12">
        <v>1.5065647164037299</v>
      </c>
      <c r="BC49" s="12">
        <v>2.1471892432647199</v>
      </c>
      <c r="BD49" s="12">
        <v>1.4243870349682</v>
      </c>
      <c r="BE49" s="33">
        <v>1.42453933506831</v>
      </c>
      <c r="BF49" s="44" t="b">
        <f t="shared" si="47"/>
        <v>1</v>
      </c>
      <c r="BG49" t="b">
        <f t="shared" si="3"/>
        <v>1</v>
      </c>
      <c r="BH49" t="b">
        <f t="shared" si="4"/>
        <v>1</v>
      </c>
      <c r="BI49" t="b">
        <f t="shared" si="5"/>
        <v>1</v>
      </c>
      <c r="BJ49" t="b">
        <f t="shared" si="6"/>
        <v>1</v>
      </c>
      <c r="BK49" t="b">
        <f t="shared" si="7"/>
        <v>1</v>
      </c>
      <c r="BL49" t="b">
        <f t="shared" si="8"/>
        <v>1</v>
      </c>
      <c r="BM49" t="b">
        <f t="shared" si="9"/>
        <v>1</v>
      </c>
      <c r="BN49" t="b">
        <f t="shared" si="10"/>
        <v>1</v>
      </c>
      <c r="BO49" t="b">
        <f t="shared" si="11"/>
        <v>1</v>
      </c>
      <c r="BP49" s="45" t="b">
        <f t="shared" si="12"/>
        <v>1</v>
      </c>
      <c r="BR49" s="1">
        <f t="shared" si="43"/>
        <v>186</v>
      </c>
      <c r="BS49" s="23">
        <v>1.17977863845946E-2</v>
      </c>
      <c r="BT49" s="8">
        <v>2.1975825131556912E-2</v>
      </c>
      <c r="BU49" s="8">
        <v>2.1975825369555915E-2</v>
      </c>
      <c r="BV49" s="8">
        <v>2.69510415060665E-2</v>
      </c>
      <c r="BW49" s="8">
        <v>1.891959534918182E-2</v>
      </c>
      <c r="BX49" s="8">
        <v>7.1629695188731258E-3</v>
      </c>
      <c r="BY49" s="8">
        <v>7.7291909281212408E-3</v>
      </c>
      <c r="BZ49" s="8">
        <v>4.1432827732246656E-3</v>
      </c>
      <c r="CA49" s="8">
        <v>9.1973842592949929E-3</v>
      </c>
      <c r="CB49" s="8">
        <v>3.5450128969006915E-3</v>
      </c>
      <c r="CC49" s="8">
        <v>3.5454686914628947E-3</v>
      </c>
      <c r="CD49" s="32">
        <v>1.17977863845946E-2</v>
      </c>
      <c r="CE49" s="12">
        <v>2.1975825131556801E-2</v>
      </c>
      <c r="CF49" s="12">
        <v>2.1975825369555502E-2</v>
      </c>
      <c r="CG49" s="12">
        <v>2.69510415060666E-2</v>
      </c>
      <c r="CH49" s="12">
        <v>1.8919595349181799E-2</v>
      </c>
      <c r="CI49" s="12">
        <v>7.1629695188731501E-3</v>
      </c>
      <c r="CJ49" s="12">
        <v>7.7291909281212001E-3</v>
      </c>
      <c r="CK49" s="12">
        <v>4.1432827732245997E-3</v>
      </c>
      <c r="CL49" s="12">
        <v>9.1973842592953103E-3</v>
      </c>
      <c r="CM49" s="12">
        <v>3.5450128969006802E-3</v>
      </c>
      <c r="CN49" s="33">
        <v>3.54546869146289E-3</v>
      </c>
      <c r="CO49" t="b">
        <f t="shared" si="48"/>
        <v>1</v>
      </c>
      <c r="CP49" t="b">
        <f t="shared" si="13"/>
        <v>1</v>
      </c>
      <c r="CQ49" t="b">
        <f t="shared" si="14"/>
        <v>1</v>
      </c>
      <c r="CR49" t="b">
        <f t="shared" si="15"/>
        <v>1</v>
      </c>
      <c r="CS49" t="b">
        <f t="shared" si="16"/>
        <v>1</v>
      </c>
      <c r="CT49" t="b">
        <f t="shared" si="17"/>
        <v>1</v>
      </c>
      <c r="CU49" t="b">
        <f t="shared" si="18"/>
        <v>1</v>
      </c>
      <c r="CV49" t="b">
        <f t="shared" si="19"/>
        <v>1</v>
      </c>
      <c r="CW49" t="b">
        <f t="shared" si="20"/>
        <v>1</v>
      </c>
      <c r="CX49" t="b">
        <f t="shared" si="21"/>
        <v>1</v>
      </c>
      <c r="CY49" t="b">
        <f t="shared" si="22"/>
        <v>1</v>
      </c>
    </row>
    <row r="50" spans="1:115" x14ac:dyDescent="0.25">
      <c r="A50" s="1">
        <f t="shared" si="34"/>
        <v>192</v>
      </c>
      <c r="B50" s="23">
        <v>0.1038118673443084</v>
      </c>
      <c r="C50" s="8">
        <v>3.5186648869698987E-2</v>
      </c>
      <c r="D50" s="8">
        <v>3.5186647805192171E-2</v>
      </c>
      <c r="E50" s="8">
        <v>3.3660108070075731E-2</v>
      </c>
      <c r="F50" s="8">
        <v>4.2821837553758457E-2</v>
      </c>
      <c r="G50" s="8">
        <v>0.12519043005760125</v>
      </c>
      <c r="H50" s="8">
        <v>0.13073847127404203</v>
      </c>
      <c r="I50" s="8">
        <v>0.21629983314011358</v>
      </c>
      <c r="J50" s="8">
        <v>0.11058291701752898</v>
      </c>
      <c r="K50" s="8">
        <v>0.23566496184303642</v>
      </c>
      <c r="L50" s="8">
        <v>0.23562844050797138</v>
      </c>
      <c r="M50" s="32">
        <v>0.103811867344308</v>
      </c>
      <c r="N50" s="12">
        <v>3.5186648869699397E-2</v>
      </c>
      <c r="O50" s="12">
        <v>3.5186647805194003E-2</v>
      </c>
      <c r="P50" s="12">
        <v>3.3660108070075197E-2</v>
      </c>
      <c r="Q50" s="12">
        <v>4.2821837553758901E-2</v>
      </c>
      <c r="R50" s="12">
        <v>0.125190430057601</v>
      </c>
      <c r="S50" s="12">
        <v>0.13073847127404301</v>
      </c>
      <c r="T50" s="12">
        <v>0.216299833140117</v>
      </c>
      <c r="U50" s="12">
        <v>0.110582917017527</v>
      </c>
      <c r="V50" s="12">
        <v>0.23566496184303501</v>
      </c>
      <c r="W50" s="33">
        <v>0.23562844050797199</v>
      </c>
      <c r="X50" t="b">
        <f t="shared" si="46"/>
        <v>1</v>
      </c>
      <c r="Y50" t="b">
        <f t="shared" si="50"/>
        <v>1</v>
      </c>
      <c r="Z50" t="b">
        <f t="shared" si="51"/>
        <v>1</v>
      </c>
      <c r="AA50" t="b">
        <f t="shared" si="52"/>
        <v>1</v>
      </c>
      <c r="AB50" t="b">
        <f t="shared" si="53"/>
        <v>1</v>
      </c>
      <c r="AC50" t="b">
        <f t="shared" si="54"/>
        <v>1</v>
      </c>
      <c r="AD50" t="b">
        <f t="shared" si="55"/>
        <v>1</v>
      </c>
      <c r="AE50" t="b">
        <f t="shared" si="56"/>
        <v>1</v>
      </c>
      <c r="AF50" t="b">
        <f t="shared" si="57"/>
        <v>1</v>
      </c>
      <c r="AG50" t="b">
        <f t="shared" si="1"/>
        <v>1</v>
      </c>
      <c r="AH50" t="b">
        <f t="shared" si="2"/>
        <v>1</v>
      </c>
      <c r="AJ50" s="23">
        <v>2.2651749858421635</v>
      </c>
      <c r="AK50" s="8">
        <v>3.3470885618025101</v>
      </c>
      <c r="AL50" s="8">
        <v>3.3470885920556563</v>
      </c>
      <c r="AM50" s="8">
        <v>3.3914418795866119</v>
      </c>
      <c r="AN50" s="8">
        <v>3.1507070832953388</v>
      </c>
      <c r="AO50" s="8">
        <v>2.0779192604772203</v>
      </c>
      <c r="AP50" s="8">
        <v>2.0345563537369418</v>
      </c>
      <c r="AQ50" s="8">
        <v>1.5310897174514677</v>
      </c>
      <c r="AR50" s="8">
        <v>2.2019896591696977</v>
      </c>
      <c r="AS50" s="8">
        <v>1.4453441358263615</v>
      </c>
      <c r="AT50" s="8">
        <v>1.4454991192611217</v>
      </c>
      <c r="AU50" s="32">
        <v>2.2651749858421599</v>
      </c>
      <c r="AV50" s="12">
        <v>3.3470885618024999</v>
      </c>
      <c r="AW50" s="12">
        <v>3.3470885920556102</v>
      </c>
      <c r="AX50" s="12">
        <v>3.3914418795866301</v>
      </c>
      <c r="AY50" s="12">
        <v>3.1507070832953299</v>
      </c>
      <c r="AZ50" s="12">
        <v>2.0779192604772301</v>
      </c>
      <c r="BA50" s="12">
        <v>2.03455635373694</v>
      </c>
      <c r="BB50" s="12">
        <v>1.5310897174514499</v>
      </c>
      <c r="BC50" s="12">
        <v>2.2019896591697101</v>
      </c>
      <c r="BD50" s="12">
        <v>1.4453441358263699</v>
      </c>
      <c r="BE50" s="33">
        <v>1.44549911926112</v>
      </c>
      <c r="BF50" s="44" t="b">
        <f t="shared" si="47"/>
        <v>1</v>
      </c>
      <c r="BG50" t="b">
        <f t="shared" si="3"/>
        <v>1</v>
      </c>
      <c r="BH50" t="b">
        <f t="shared" si="4"/>
        <v>1</v>
      </c>
      <c r="BI50" t="b">
        <f t="shared" si="5"/>
        <v>1</v>
      </c>
      <c r="BJ50" t="b">
        <f t="shared" si="6"/>
        <v>1</v>
      </c>
      <c r="BK50" t="b">
        <f t="shared" si="7"/>
        <v>1</v>
      </c>
      <c r="BL50" t="b">
        <f t="shared" si="8"/>
        <v>1</v>
      </c>
      <c r="BM50" t="b">
        <f t="shared" si="9"/>
        <v>1</v>
      </c>
      <c r="BN50" t="b">
        <f t="shared" si="10"/>
        <v>1</v>
      </c>
      <c r="BO50" t="b">
        <f t="shared" si="11"/>
        <v>1</v>
      </c>
      <c r="BP50" s="45" t="b">
        <f t="shared" si="12"/>
        <v>1</v>
      </c>
      <c r="BR50" s="1">
        <f t="shared" si="43"/>
        <v>192</v>
      </c>
      <c r="BS50" s="23">
        <v>1.17977863845946E-2</v>
      </c>
      <c r="BT50" s="8">
        <v>2.2166084160175722E-2</v>
      </c>
      <c r="BU50" s="8">
        <v>2.216608440190565E-2</v>
      </c>
      <c r="BV50" s="8">
        <v>2.7795526189027843E-2</v>
      </c>
      <c r="BW50" s="8">
        <v>1.8972414297503074E-2</v>
      </c>
      <c r="BX50" s="8">
        <v>6.9824383644274427E-3</v>
      </c>
      <c r="BY50" s="8">
        <v>7.5960385436055593E-3</v>
      </c>
      <c r="BZ50" s="8">
        <v>4.0327270195041455E-3</v>
      </c>
      <c r="CA50" s="8">
        <v>9.0701612188326605E-3</v>
      </c>
      <c r="CB50" s="8">
        <v>3.4416973444273348E-3</v>
      </c>
      <c r="CC50" s="8">
        <v>3.4421361826072706E-3</v>
      </c>
      <c r="CD50" s="32">
        <v>1.17977863845946E-2</v>
      </c>
      <c r="CE50" s="12">
        <v>2.2166084160175601E-2</v>
      </c>
      <c r="CF50" s="12">
        <v>2.21660844019053E-2</v>
      </c>
      <c r="CG50" s="12">
        <v>2.7795526189027999E-2</v>
      </c>
      <c r="CH50" s="12">
        <v>1.8972414297503001E-2</v>
      </c>
      <c r="CI50" s="12">
        <v>6.9824383644274696E-3</v>
      </c>
      <c r="CJ50" s="12">
        <v>7.5960385436055202E-3</v>
      </c>
      <c r="CK50" s="12">
        <v>4.0327270195041004E-3</v>
      </c>
      <c r="CL50" s="12">
        <v>9.0701612188330005E-3</v>
      </c>
      <c r="CM50" s="12">
        <v>3.44169734442733E-3</v>
      </c>
      <c r="CN50" s="33">
        <v>3.4421361826072801E-3</v>
      </c>
      <c r="CO50" t="b">
        <f t="shared" si="48"/>
        <v>1</v>
      </c>
      <c r="CP50" t="b">
        <f t="shared" si="13"/>
        <v>1</v>
      </c>
      <c r="CQ50" t="b">
        <f t="shared" si="14"/>
        <v>1</v>
      </c>
      <c r="CR50" t="b">
        <f t="shared" si="15"/>
        <v>1</v>
      </c>
      <c r="CS50" t="b">
        <f t="shared" si="16"/>
        <v>1</v>
      </c>
      <c r="CT50" t="b">
        <f t="shared" si="17"/>
        <v>1</v>
      </c>
      <c r="CU50" t="b">
        <f t="shared" si="18"/>
        <v>1</v>
      </c>
      <c r="CV50" t="b">
        <f t="shared" si="19"/>
        <v>1</v>
      </c>
      <c r="CW50" t="b">
        <f t="shared" si="20"/>
        <v>1</v>
      </c>
      <c r="CX50" t="b">
        <f t="shared" si="21"/>
        <v>1</v>
      </c>
      <c r="CY50" t="b">
        <f t="shared" si="22"/>
        <v>1</v>
      </c>
    </row>
    <row r="51" spans="1:115" x14ac:dyDescent="0.25">
      <c r="A51" s="1">
        <f t="shared" si="34"/>
        <v>198</v>
      </c>
      <c r="B51" s="23">
        <v>9.6717424238120381E-2</v>
      </c>
      <c r="C51" s="8">
        <v>3.078754424289748E-2</v>
      </c>
      <c r="D51" s="8">
        <v>3.0787543266484627E-2</v>
      </c>
      <c r="E51" s="8">
        <v>2.8415672466990335E-2</v>
      </c>
      <c r="F51" s="8">
        <v>3.8208654288176991E-2</v>
      </c>
      <c r="G51" s="8">
        <v>0.120116526002243</v>
      </c>
      <c r="H51" s="8">
        <v>0.12496191820307101</v>
      </c>
      <c r="I51" s="8">
        <v>0.21119591473949584</v>
      </c>
      <c r="J51" s="8">
        <v>0.10476455034200993</v>
      </c>
      <c r="K51" s="8">
        <v>0.23091652178328226</v>
      </c>
      <c r="L51" s="8">
        <v>0.23088013952308739</v>
      </c>
      <c r="M51" s="32">
        <v>9.67174242381202E-2</v>
      </c>
      <c r="N51" s="12">
        <v>3.0787544242897799E-2</v>
      </c>
      <c r="O51" s="12">
        <v>3.0787543266486299E-2</v>
      </c>
      <c r="P51" s="12">
        <v>2.84156724669898E-2</v>
      </c>
      <c r="Q51" s="12">
        <v>3.8208654288177303E-2</v>
      </c>
      <c r="R51" s="12">
        <v>0.120116526002242</v>
      </c>
      <c r="S51" s="12">
        <v>0.12496191820307199</v>
      </c>
      <c r="T51" s="12">
        <v>0.211195914739498</v>
      </c>
      <c r="U51" s="12">
        <v>0.104764550342008</v>
      </c>
      <c r="V51" s="12">
        <v>0.23091652178328201</v>
      </c>
      <c r="W51" s="33">
        <v>0.230880139523088</v>
      </c>
      <c r="X51" t="b">
        <f t="shared" si="46"/>
        <v>1</v>
      </c>
      <c r="Y51" t="b">
        <f t="shared" si="50"/>
        <v>1</v>
      </c>
      <c r="Z51" t="b">
        <f t="shared" si="51"/>
        <v>1</v>
      </c>
      <c r="AA51" t="b">
        <f t="shared" si="52"/>
        <v>1</v>
      </c>
      <c r="AB51" t="b">
        <f t="shared" si="53"/>
        <v>1</v>
      </c>
      <c r="AC51" t="b">
        <f t="shared" si="54"/>
        <v>1</v>
      </c>
      <c r="AD51" t="b">
        <f t="shared" si="55"/>
        <v>1</v>
      </c>
      <c r="AE51" t="b">
        <f t="shared" si="56"/>
        <v>1</v>
      </c>
      <c r="AF51" t="b">
        <f t="shared" si="57"/>
        <v>1</v>
      </c>
      <c r="AG51" t="b">
        <f t="shared" si="1"/>
        <v>1</v>
      </c>
      <c r="AH51" t="b">
        <f t="shared" si="2"/>
        <v>1</v>
      </c>
      <c r="AJ51" s="23">
        <v>2.3359617041497307</v>
      </c>
      <c r="AK51" s="8">
        <v>3.4806450784955882</v>
      </c>
      <c r="AL51" s="8">
        <v>3.4806451102101303</v>
      </c>
      <c r="AM51" s="8">
        <v>3.5608144385975362</v>
      </c>
      <c r="AN51" s="8">
        <v>3.2646932369821289</v>
      </c>
      <c r="AO51" s="8">
        <v>2.1192929573454773</v>
      </c>
      <c r="AP51" s="8">
        <v>2.0797462424718396</v>
      </c>
      <c r="AQ51" s="8">
        <v>1.554969070426619</v>
      </c>
      <c r="AR51" s="8">
        <v>2.2560398244133708</v>
      </c>
      <c r="AS51" s="8">
        <v>1.4656990113344988</v>
      </c>
      <c r="AT51" s="8">
        <v>1.4658565796467824</v>
      </c>
      <c r="AU51" s="32">
        <v>2.3359617041497298</v>
      </c>
      <c r="AV51" s="12">
        <v>3.4806450784955798</v>
      </c>
      <c r="AW51" s="12">
        <v>3.4806451102100802</v>
      </c>
      <c r="AX51" s="12">
        <v>3.56081443859755</v>
      </c>
      <c r="AY51" s="12">
        <v>3.26469323698212</v>
      </c>
      <c r="AZ51" s="12">
        <v>2.11929295734548</v>
      </c>
      <c r="BA51" s="12">
        <v>2.0797462424718298</v>
      </c>
      <c r="BB51" s="12">
        <v>1.5549690704266099</v>
      </c>
      <c r="BC51" s="12">
        <v>2.2560398244133899</v>
      </c>
      <c r="BD51" s="12">
        <v>1.4656990113345001</v>
      </c>
      <c r="BE51" s="33">
        <v>1.46585657964678</v>
      </c>
      <c r="BF51" s="44" t="b">
        <f t="shared" si="47"/>
        <v>1</v>
      </c>
      <c r="BG51" t="b">
        <f t="shared" si="3"/>
        <v>1</v>
      </c>
      <c r="BH51" t="b">
        <f t="shared" si="4"/>
        <v>1</v>
      </c>
      <c r="BI51" t="b">
        <f t="shared" si="5"/>
        <v>1</v>
      </c>
      <c r="BJ51" t="b">
        <f t="shared" si="6"/>
        <v>1</v>
      </c>
      <c r="BK51" t="b">
        <f t="shared" si="7"/>
        <v>1</v>
      </c>
      <c r="BL51" t="b">
        <f t="shared" si="8"/>
        <v>1</v>
      </c>
      <c r="BM51" t="b">
        <f t="shared" si="9"/>
        <v>1</v>
      </c>
      <c r="BN51" t="b">
        <f t="shared" si="10"/>
        <v>1</v>
      </c>
      <c r="BO51" t="b">
        <f t="shared" si="11"/>
        <v>1</v>
      </c>
      <c r="BP51" s="45" t="b">
        <f t="shared" si="12"/>
        <v>1</v>
      </c>
      <c r="BR51" s="1">
        <f t="shared" si="43"/>
        <v>198</v>
      </c>
      <c r="BS51" s="23">
        <v>1.17977863845946E-2</v>
      </c>
      <c r="BT51" s="8">
        <v>2.2352059926615878E-2</v>
      </c>
      <c r="BU51" s="8">
        <v>2.2352060172006541E-2</v>
      </c>
      <c r="BV51" s="8">
        <v>2.8666471978495808E-2</v>
      </c>
      <c r="BW51" s="8">
        <v>1.9022538762792678E-2</v>
      </c>
      <c r="BX51" s="8">
        <v>6.8101203153279185E-3</v>
      </c>
      <c r="BY51" s="8">
        <v>7.4680998991900997E-3</v>
      </c>
      <c r="BZ51" s="8">
        <v>3.9279878700734672E-3</v>
      </c>
      <c r="CA51" s="8">
        <v>8.9472619655603484E-3</v>
      </c>
      <c r="CB51" s="8">
        <v>3.344187805744287E-3</v>
      </c>
      <c r="CC51" s="8">
        <v>3.3446107649179341E-3</v>
      </c>
      <c r="CD51" s="32">
        <v>1.17977863845946E-2</v>
      </c>
      <c r="CE51" s="12">
        <v>2.2352059926615701E-2</v>
      </c>
      <c r="CF51" s="12">
        <v>2.2352060172006201E-2</v>
      </c>
      <c r="CG51" s="12">
        <v>2.8666471978495901E-2</v>
      </c>
      <c r="CH51" s="12">
        <v>1.9022538762792699E-2</v>
      </c>
      <c r="CI51" s="12">
        <v>6.8101203153279402E-3</v>
      </c>
      <c r="CJ51" s="12">
        <v>7.4680998991900598E-3</v>
      </c>
      <c r="CK51" s="12">
        <v>3.9279878700734299E-3</v>
      </c>
      <c r="CL51" s="12">
        <v>8.9472619655606295E-3</v>
      </c>
      <c r="CM51" s="12">
        <v>3.3441878057442901E-3</v>
      </c>
      <c r="CN51" s="33">
        <v>3.3446107649179099E-3</v>
      </c>
      <c r="CO51" t="b">
        <f t="shared" si="48"/>
        <v>1</v>
      </c>
      <c r="CP51" t="b">
        <f t="shared" si="13"/>
        <v>1</v>
      </c>
      <c r="CQ51" t="b">
        <f t="shared" si="14"/>
        <v>1</v>
      </c>
      <c r="CR51" t="b">
        <f t="shared" si="15"/>
        <v>1</v>
      </c>
      <c r="CS51" t="b">
        <f t="shared" si="16"/>
        <v>1</v>
      </c>
      <c r="CT51" t="b">
        <f t="shared" si="17"/>
        <v>1</v>
      </c>
      <c r="CU51" t="b">
        <f t="shared" si="18"/>
        <v>1</v>
      </c>
      <c r="CV51" t="b">
        <f t="shared" si="19"/>
        <v>1</v>
      </c>
      <c r="CW51" t="b">
        <f t="shared" si="20"/>
        <v>1</v>
      </c>
      <c r="CX51" t="b">
        <f t="shared" si="21"/>
        <v>1</v>
      </c>
      <c r="CY51" t="b">
        <f t="shared" si="22"/>
        <v>1</v>
      </c>
    </row>
    <row r="52" spans="1:115" x14ac:dyDescent="0.25">
      <c r="A52" s="1">
        <f t="shared" si="34"/>
        <v>204</v>
      </c>
      <c r="B52" s="23">
        <v>9.0107811279722727E-2</v>
      </c>
      <c r="C52" s="8">
        <v>2.6908712515221967E-2</v>
      </c>
      <c r="D52" s="8">
        <v>2.6908711621914612E-2</v>
      </c>
      <c r="E52" s="8">
        <v>2.3861377721817702E-2</v>
      </c>
      <c r="F52" s="8">
        <v>3.4082454189939382E-2</v>
      </c>
      <c r="G52" s="8">
        <v>0.11536478419119281</v>
      </c>
      <c r="H52" s="8">
        <v>0.11953054245133676</v>
      </c>
      <c r="I52" s="8">
        <v>0.20633869611395361</v>
      </c>
      <c r="J52" s="8">
        <v>9.9324302485696903E-2</v>
      </c>
      <c r="K52" s="8">
        <v>0.22639250175659098</v>
      </c>
      <c r="L52" s="8">
        <v>0.22635626806584397</v>
      </c>
      <c r="M52" s="32">
        <v>9.0107811279722602E-2</v>
      </c>
      <c r="N52" s="12">
        <v>2.69087125152223E-2</v>
      </c>
      <c r="O52" s="12">
        <v>2.69087116219161E-2</v>
      </c>
      <c r="P52" s="12">
        <v>2.38613777218173E-2</v>
      </c>
      <c r="Q52" s="12">
        <v>3.4082454189939701E-2</v>
      </c>
      <c r="R52" s="12">
        <v>0.115364784191192</v>
      </c>
      <c r="S52" s="12">
        <v>0.119530542451338</v>
      </c>
      <c r="T52" s="12">
        <v>0.206338696113956</v>
      </c>
      <c r="U52" s="12">
        <v>9.9324302485695598E-2</v>
      </c>
      <c r="V52" s="12">
        <v>0.22639250175659001</v>
      </c>
      <c r="W52" s="33">
        <v>0.226356268065845</v>
      </c>
      <c r="X52" t="b">
        <f t="shared" si="46"/>
        <v>1</v>
      </c>
      <c r="Y52" t="b">
        <f t="shared" si="50"/>
        <v>1</v>
      </c>
      <c r="Z52" t="b">
        <f t="shared" si="51"/>
        <v>1</v>
      </c>
      <c r="AA52" t="b">
        <f t="shared" si="52"/>
        <v>1</v>
      </c>
      <c r="AB52" t="b">
        <f t="shared" si="53"/>
        <v>1</v>
      </c>
      <c r="AC52" t="b">
        <f t="shared" si="54"/>
        <v>1</v>
      </c>
      <c r="AD52" t="b">
        <f t="shared" si="55"/>
        <v>1</v>
      </c>
      <c r="AE52" t="b">
        <f t="shared" si="56"/>
        <v>1</v>
      </c>
      <c r="AF52" t="b">
        <f t="shared" si="57"/>
        <v>1</v>
      </c>
      <c r="AG52" t="b">
        <f t="shared" si="1"/>
        <v>1</v>
      </c>
      <c r="AH52" t="b">
        <f t="shared" si="2"/>
        <v>1</v>
      </c>
      <c r="AJ52" s="23">
        <v>2.4067484224572984</v>
      </c>
      <c r="AK52" s="8">
        <v>3.6153051594896359</v>
      </c>
      <c r="AL52" s="8">
        <v>3.6153051926873361</v>
      </c>
      <c r="AM52" s="8">
        <v>3.7354941220758584</v>
      </c>
      <c r="AN52" s="8">
        <v>3.3789725669982138</v>
      </c>
      <c r="AO52" s="8">
        <v>2.1596561344677681</v>
      </c>
      <c r="AP52" s="8">
        <v>2.1241833549001123</v>
      </c>
      <c r="AQ52" s="8">
        <v>1.5782363044441812</v>
      </c>
      <c r="AR52" s="8">
        <v>2.3093649998513439</v>
      </c>
      <c r="AS52" s="8">
        <v>1.4854850526512569</v>
      </c>
      <c r="AT52" s="8">
        <v>1.4856451135646793</v>
      </c>
      <c r="AU52" s="32">
        <v>2.4067484224573001</v>
      </c>
      <c r="AV52" s="12">
        <v>3.6153051594896199</v>
      </c>
      <c r="AW52" s="12">
        <v>3.6153051926872801</v>
      </c>
      <c r="AX52" s="12">
        <v>3.7354941220758802</v>
      </c>
      <c r="AY52" s="12">
        <v>3.3789725669982</v>
      </c>
      <c r="AZ52" s="12">
        <v>2.1596561344677698</v>
      </c>
      <c r="BA52" s="12">
        <v>2.1241833549001101</v>
      </c>
      <c r="BB52" s="12">
        <v>1.5782363044441701</v>
      </c>
      <c r="BC52" s="12">
        <v>2.3093649998513599</v>
      </c>
      <c r="BD52" s="12">
        <v>1.48548505265126</v>
      </c>
      <c r="BE52" s="33">
        <v>1.48564511356468</v>
      </c>
      <c r="BF52" s="44" t="b">
        <f t="shared" si="47"/>
        <v>1</v>
      </c>
      <c r="BG52" t="b">
        <f t="shared" si="3"/>
        <v>1</v>
      </c>
      <c r="BH52" t="b">
        <f t="shared" si="4"/>
        <v>1</v>
      </c>
      <c r="BI52" t="b">
        <f t="shared" si="5"/>
        <v>1</v>
      </c>
      <c r="BJ52" t="b">
        <f t="shared" si="6"/>
        <v>1</v>
      </c>
      <c r="BK52" t="b">
        <f t="shared" si="7"/>
        <v>1</v>
      </c>
      <c r="BL52" t="b">
        <f t="shared" si="8"/>
        <v>1</v>
      </c>
      <c r="BM52" t="b">
        <f t="shared" si="9"/>
        <v>1</v>
      </c>
      <c r="BN52" t="b">
        <f t="shared" si="10"/>
        <v>1</v>
      </c>
      <c r="BO52" t="b">
        <f t="shared" si="11"/>
        <v>1</v>
      </c>
      <c r="BP52" s="45" t="b">
        <f t="shared" si="12"/>
        <v>1</v>
      </c>
      <c r="BR52" s="1">
        <f t="shared" si="43"/>
        <v>204</v>
      </c>
      <c r="BS52" s="23">
        <v>1.17977863845946E-2</v>
      </c>
      <c r="BT52" s="8">
        <v>2.2533974390407756E-2</v>
      </c>
      <c r="BU52" s="8">
        <v>2.2533974639392294E-2</v>
      </c>
      <c r="BV52" s="8">
        <v>2.9564708007516472E-2</v>
      </c>
      <c r="BW52" s="8">
        <v>1.9070171835063585E-2</v>
      </c>
      <c r="BX52" s="8">
        <v>6.6455184887500972E-3</v>
      </c>
      <c r="BY52" s="8">
        <v>7.3450632512738062E-3</v>
      </c>
      <c r="BZ52" s="8">
        <v>3.8286164930665272E-3</v>
      </c>
      <c r="CA52" s="8">
        <v>8.8284617498651571E-3</v>
      </c>
      <c r="CB52" s="8">
        <v>3.2520114954947888E-3</v>
      </c>
      <c r="CC52" s="8">
        <v>3.2524195602780196E-3</v>
      </c>
      <c r="CD52" s="32">
        <v>1.17977863845946E-2</v>
      </c>
      <c r="CE52" s="12">
        <v>2.25339743904076E-2</v>
      </c>
      <c r="CF52" s="12">
        <v>2.2533974639391899E-2</v>
      </c>
      <c r="CG52" s="12">
        <v>2.95647080075166E-2</v>
      </c>
      <c r="CH52" s="12">
        <v>1.9070171835063598E-2</v>
      </c>
      <c r="CI52" s="12">
        <v>6.6455184887501198E-3</v>
      </c>
      <c r="CJ52" s="12">
        <v>7.3450632512737602E-3</v>
      </c>
      <c r="CK52" s="12">
        <v>3.8286164930664899E-3</v>
      </c>
      <c r="CL52" s="12">
        <v>8.8284617498654502E-3</v>
      </c>
      <c r="CM52" s="12">
        <v>3.2520114954947602E-3</v>
      </c>
      <c r="CN52" s="33">
        <v>3.2524195602779901E-3</v>
      </c>
      <c r="CO52" t="b">
        <f t="shared" si="48"/>
        <v>1</v>
      </c>
      <c r="CP52" t="b">
        <f t="shared" si="13"/>
        <v>1</v>
      </c>
      <c r="CQ52" t="b">
        <f t="shared" si="14"/>
        <v>1</v>
      </c>
      <c r="CR52" t="b">
        <f t="shared" si="15"/>
        <v>1</v>
      </c>
      <c r="CS52" t="b">
        <f t="shared" si="16"/>
        <v>1</v>
      </c>
      <c r="CT52" t="b">
        <f t="shared" si="17"/>
        <v>1</v>
      </c>
      <c r="CU52" t="b">
        <f t="shared" si="18"/>
        <v>1</v>
      </c>
      <c r="CV52" t="b">
        <f t="shared" si="19"/>
        <v>1</v>
      </c>
      <c r="CW52" t="b">
        <f t="shared" si="20"/>
        <v>1</v>
      </c>
      <c r="CX52" t="b">
        <f t="shared" si="21"/>
        <v>1</v>
      </c>
      <c r="CY52" t="b">
        <f t="shared" si="22"/>
        <v>1</v>
      </c>
    </row>
    <row r="53" spans="1:115" x14ac:dyDescent="0.25">
      <c r="A53" s="1">
        <f t="shared" si="34"/>
        <v>210</v>
      </c>
      <c r="B53" s="23">
        <v>8.3949895456602988E-2</v>
      </c>
      <c r="C53" s="8">
        <v>2.3493181278807541E-2</v>
      </c>
      <c r="D53" s="8">
        <v>2.3493180463541798E-2</v>
      </c>
      <c r="E53" s="8">
        <v>1.9927646827460566E-2</v>
      </c>
      <c r="F53" s="8">
        <v>3.0393373132099444E-2</v>
      </c>
      <c r="G53" s="8">
        <v>0.11090806291462441</v>
      </c>
      <c r="H53" s="8">
        <v>0.11441807329261222</v>
      </c>
      <c r="I53" s="8">
        <v>0.20171037579839735</v>
      </c>
      <c r="J53" s="8">
        <v>9.4232594589999219E-2</v>
      </c>
      <c r="K53" s="8">
        <v>0.22207658778614758</v>
      </c>
      <c r="L53" s="8">
        <v>0.2220405106237956</v>
      </c>
      <c r="M53" s="32">
        <v>8.3949895456602905E-2</v>
      </c>
      <c r="N53" s="12">
        <v>2.3493181278807802E-2</v>
      </c>
      <c r="O53" s="12">
        <v>2.3493180463543099E-2</v>
      </c>
      <c r="P53" s="12">
        <v>1.9927646827460201E-2</v>
      </c>
      <c r="Q53" s="12">
        <v>3.0393373132099801E-2</v>
      </c>
      <c r="R53" s="12">
        <v>0.110908062914624</v>
      </c>
      <c r="S53" s="12">
        <v>0.114418073292613</v>
      </c>
      <c r="T53" s="12">
        <v>0.20171037579839901</v>
      </c>
      <c r="U53" s="12">
        <v>9.4232594589998997E-2</v>
      </c>
      <c r="V53" s="12">
        <v>0.222076587786146</v>
      </c>
      <c r="W53" s="33">
        <v>0.22204051062379601</v>
      </c>
      <c r="X53" t="b">
        <f t="shared" si="46"/>
        <v>1</v>
      </c>
      <c r="Y53" t="b">
        <f t="shared" si="50"/>
        <v>1</v>
      </c>
      <c r="Z53" t="b">
        <f t="shared" si="51"/>
        <v>1</v>
      </c>
      <c r="AA53" t="b">
        <f t="shared" si="52"/>
        <v>1</v>
      </c>
      <c r="AB53" t="b">
        <f t="shared" si="53"/>
        <v>1</v>
      </c>
      <c r="AC53" t="b">
        <f t="shared" si="54"/>
        <v>1</v>
      </c>
      <c r="AD53" t="b">
        <f t="shared" si="55"/>
        <v>1</v>
      </c>
      <c r="AE53" t="b">
        <f t="shared" si="56"/>
        <v>1</v>
      </c>
      <c r="AF53" t="b">
        <f t="shared" si="57"/>
        <v>1</v>
      </c>
      <c r="AG53" t="b">
        <f t="shared" si="1"/>
        <v>1</v>
      </c>
      <c r="AH53" t="b">
        <f t="shared" si="2"/>
        <v>1</v>
      </c>
      <c r="AJ53" s="23">
        <v>2.477535140764866</v>
      </c>
      <c r="AK53" s="8">
        <v>3.7510450582847175</v>
      </c>
      <c r="AL53" s="8">
        <v>3.7510450929869465</v>
      </c>
      <c r="AM53" s="8">
        <v>3.9156472236070132</v>
      </c>
      <c r="AN53" s="8">
        <v>3.4935306834087094</v>
      </c>
      <c r="AO53" s="8">
        <v>2.1990536828987279</v>
      </c>
      <c r="AP53" s="8">
        <v>2.1678962291874613</v>
      </c>
      <c r="AQ53" s="8">
        <v>1.6009223936078314</v>
      </c>
      <c r="AR53" s="8">
        <v>2.3619891424932895</v>
      </c>
      <c r="AS53" s="8">
        <v>1.5047329665775422</v>
      </c>
      <c r="AT53" s="8">
        <v>1.5048954334699924</v>
      </c>
      <c r="AU53" s="32">
        <v>2.47753514076487</v>
      </c>
      <c r="AV53" s="12">
        <v>3.7510450582847099</v>
      </c>
      <c r="AW53" s="12">
        <v>3.7510450929868902</v>
      </c>
      <c r="AX53" s="12">
        <v>3.9156472236070301</v>
      </c>
      <c r="AY53" s="12">
        <v>3.4935306834087001</v>
      </c>
      <c r="AZ53" s="12">
        <v>2.1990536828987302</v>
      </c>
      <c r="BA53" s="12">
        <v>2.1678962291874502</v>
      </c>
      <c r="BB53" s="12">
        <v>1.6009223936078201</v>
      </c>
      <c r="BC53" s="12">
        <v>2.36198914249329</v>
      </c>
      <c r="BD53" s="12">
        <v>1.50473296657755</v>
      </c>
      <c r="BE53" s="33">
        <v>1.50489543346999</v>
      </c>
      <c r="BF53" s="44" t="b">
        <f t="shared" si="47"/>
        <v>1</v>
      </c>
      <c r="BG53" t="b">
        <f t="shared" si="3"/>
        <v>1</v>
      </c>
      <c r="BH53" t="b">
        <f t="shared" si="4"/>
        <v>1</v>
      </c>
      <c r="BI53" t="b">
        <f t="shared" si="5"/>
        <v>1</v>
      </c>
      <c r="BJ53" t="b">
        <f t="shared" si="6"/>
        <v>1</v>
      </c>
      <c r="BK53" t="b">
        <f t="shared" si="7"/>
        <v>1</v>
      </c>
      <c r="BL53" t="b">
        <f t="shared" si="8"/>
        <v>1</v>
      </c>
      <c r="BM53" t="b">
        <f t="shared" si="9"/>
        <v>1</v>
      </c>
      <c r="BN53" t="b">
        <f t="shared" si="10"/>
        <v>1</v>
      </c>
      <c r="BO53" t="b">
        <f t="shared" si="11"/>
        <v>1</v>
      </c>
      <c r="BP53" s="45" t="b">
        <f t="shared" si="12"/>
        <v>1</v>
      </c>
      <c r="BR53" s="1">
        <f t="shared" si="43"/>
        <v>210</v>
      </c>
      <c r="BS53" s="23">
        <v>1.17977863845946E-2</v>
      </c>
      <c r="BT53" s="8">
        <v>2.2712031881606011E-2</v>
      </c>
      <c r="BU53" s="8">
        <v>2.2712032134120659E-2</v>
      </c>
      <c r="BV53" s="8">
        <v>3.0491089389213813E-2</v>
      </c>
      <c r="BW53" s="8">
        <v>1.911549652359357E-2</v>
      </c>
      <c r="BX53" s="8">
        <v>6.4881695614652487E-3</v>
      </c>
      <c r="BY53" s="8">
        <v>7.2266411883498893E-3</v>
      </c>
      <c r="BZ53" s="8">
        <v>3.7342090624208815E-3</v>
      </c>
      <c r="CA53" s="8">
        <v>8.713550530709371E-3</v>
      </c>
      <c r="CB53" s="8">
        <v>3.1647452747515402E-3</v>
      </c>
      <c r="CC53" s="8">
        <v>3.1651393468140436E-3</v>
      </c>
      <c r="CD53" s="32">
        <v>1.17977863845946E-2</v>
      </c>
      <c r="CE53" s="12">
        <v>2.27120318816059E-2</v>
      </c>
      <c r="CF53" s="12">
        <v>2.2712032134120302E-2</v>
      </c>
      <c r="CG53" s="12">
        <v>3.0491089389214E-2</v>
      </c>
      <c r="CH53" s="12">
        <v>1.9115496523593501E-2</v>
      </c>
      <c r="CI53" s="12">
        <v>6.4881695614652703E-3</v>
      </c>
      <c r="CJ53" s="12">
        <v>7.2266411883498399E-3</v>
      </c>
      <c r="CK53" s="12">
        <v>3.7342090624208498E-3</v>
      </c>
      <c r="CL53" s="12">
        <v>8.7135505307095896E-3</v>
      </c>
      <c r="CM53" s="12">
        <v>3.1647452747515402E-3</v>
      </c>
      <c r="CN53" s="33">
        <v>3.1651393468140302E-3</v>
      </c>
      <c r="CO53" t="b">
        <f t="shared" si="48"/>
        <v>1</v>
      </c>
      <c r="CP53" t="b">
        <f t="shared" si="13"/>
        <v>1</v>
      </c>
      <c r="CQ53" t="b">
        <f t="shared" si="14"/>
        <v>1</v>
      </c>
      <c r="CR53" t="b">
        <f t="shared" si="15"/>
        <v>1</v>
      </c>
      <c r="CS53" t="b">
        <f t="shared" si="16"/>
        <v>1</v>
      </c>
      <c r="CT53" t="b">
        <f t="shared" si="17"/>
        <v>1</v>
      </c>
      <c r="CU53" t="b">
        <f t="shared" si="18"/>
        <v>1</v>
      </c>
      <c r="CV53" t="b">
        <f t="shared" si="19"/>
        <v>1</v>
      </c>
      <c r="CW53" t="b">
        <f t="shared" si="20"/>
        <v>1</v>
      </c>
      <c r="CX53" t="b">
        <f t="shared" si="21"/>
        <v>1</v>
      </c>
      <c r="CY53" t="b">
        <f t="shared" si="22"/>
        <v>1</v>
      </c>
    </row>
    <row r="54" spans="1:115" x14ac:dyDescent="0.25">
      <c r="A54" s="1">
        <f t="shared" si="34"/>
        <v>216</v>
      </c>
      <c r="B54" s="23">
        <v>7.8212808047203264E-2</v>
      </c>
      <c r="C54" s="8">
        <v>2.048951051092654E-2</v>
      </c>
      <c r="D54" s="8">
        <v>2.0489509768637594E-2</v>
      </c>
      <c r="E54" s="8">
        <v>1.6548741084994576E-2</v>
      </c>
      <c r="F54" s="8">
        <v>2.7096404361544479E-2</v>
      </c>
      <c r="G54" s="8">
        <v>0.10672201565441765</v>
      </c>
      <c r="H54" s="8">
        <v>0.10960067493543368</v>
      </c>
      <c r="I54" s="8">
        <v>0.19729484181698864</v>
      </c>
      <c r="J54" s="8">
        <v>8.9462566674068711E-2</v>
      </c>
      <c r="K54" s="8">
        <v>0.21795404220258496</v>
      </c>
      <c r="L54" s="8">
        <v>0.21791812820302781</v>
      </c>
      <c r="M54" s="32">
        <v>7.8212808047203194E-2</v>
      </c>
      <c r="N54" s="12">
        <v>2.04895105109268E-2</v>
      </c>
      <c r="O54" s="12">
        <v>2.0489509768638801E-2</v>
      </c>
      <c r="P54" s="12">
        <v>1.6548741084994299E-2</v>
      </c>
      <c r="Q54" s="12">
        <v>2.7096404361544601E-2</v>
      </c>
      <c r="R54" s="12">
        <v>0.106722015654417</v>
      </c>
      <c r="S54" s="12">
        <v>0.109600674935434</v>
      </c>
      <c r="T54" s="12">
        <v>0.19729484181699</v>
      </c>
      <c r="U54" s="12">
        <v>8.9462566674068295E-2</v>
      </c>
      <c r="V54" s="12">
        <v>0.21795404220258499</v>
      </c>
      <c r="W54" s="33">
        <v>0.217918128203029</v>
      </c>
      <c r="X54" t="b">
        <f t="shared" si="46"/>
        <v>1</v>
      </c>
      <c r="Y54" t="b">
        <f t="shared" si="50"/>
        <v>1</v>
      </c>
      <c r="Z54" t="b">
        <f t="shared" si="51"/>
        <v>1</v>
      </c>
      <c r="AA54" t="b">
        <f t="shared" si="52"/>
        <v>1</v>
      </c>
      <c r="AB54" t="b">
        <f t="shared" si="53"/>
        <v>1</v>
      </c>
      <c r="AC54" t="b">
        <f t="shared" si="54"/>
        <v>1</v>
      </c>
      <c r="AD54" t="b">
        <f t="shared" si="55"/>
        <v>1</v>
      </c>
      <c r="AE54" t="b">
        <f t="shared" si="56"/>
        <v>1</v>
      </c>
      <c r="AF54" t="b">
        <f t="shared" si="57"/>
        <v>1</v>
      </c>
      <c r="AG54" t="b">
        <f t="shared" si="1"/>
        <v>1</v>
      </c>
      <c r="AH54" t="b">
        <f t="shared" si="2"/>
        <v>1</v>
      </c>
      <c r="AJ54" s="23">
        <v>2.5483218590724337</v>
      </c>
      <c r="AK54" s="8">
        <v>3.8878422061857112</v>
      </c>
      <c r="AL54" s="8">
        <v>3.8878422424134658</v>
      </c>
      <c r="AM54" s="8">
        <v>4.1014452474242633</v>
      </c>
      <c r="AN54" s="8">
        <v>3.6083542402851156</v>
      </c>
      <c r="AO54" s="8">
        <v>2.2375278096766795</v>
      </c>
      <c r="AP54" s="8">
        <v>2.2109117463171679</v>
      </c>
      <c r="AQ54" s="8">
        <v>1.623056010152452</v>
      </c>
      <c r="AR54" s="8">
        <v>2.4139349906437717</v>
      </c>
      <c r="AS54" s="8">
        <v>1.5234710540022496</v>
      </c>
      <c r="AT54" s="8">
        <v>1.5236358454345864</v>
      </c>
      <c r="AU54" s="32">
        <v>2.5483218590724399</v>
      </c>
      <c r="AV54" s="12">
        <v>3.8878422061857001</v>
      </c>
      <c r="AW54" s="12">
        <v>3.8878422424134098</v>
      </c>
      <c r="AX54" s="12">
        <v>4.1014452474242802</v>
      </c>
      <c r="AY54" s="12">
        <v>3.6083542402851099</v>
      </c>
      <c r="AZ54" s="12">
        <v>2.2375278096766902</v>
      </c>
      <c r="BA54" s="12">
        <v>2.2109117463171599</v>
      </c>
      <c r="BB54" s="12">
        <v>1.6230560101524401</v>
      </c>
      <c r="BC54" s="12">
        <v>2.4139349906437801</v>
      </c>
      <c r="BD54" s="12">
        <v>1.52347105400225</v>
      </c>
      <c r="BE54" s="33">
        <v>1.52363584543458</v>
      </c>
      <c r="BF54" s="44" t="b">
        <f t="shared" si="47"/>
        <v>1</v>
      </c>
      <c r="BG54" t="b">
        <f t="shared" si="3"/>
        <v>1</v>
      </c>
      <c r="BH54" t="b">
        <f t="shared" si="4"/>
        <v>1</v>
      </c>
      <c r="BI54" t="b">
        <f t="shared" si="5"/>
        <v>1</v>
      </c>
      <c r="BJ54" t="b">
        <f t="shared" si="6"/>
        <v>1</v>
      </c>
      <c r="BK54" t="b">
        <f t="shared" si="7"/>
        <v>1</v>
      </c>
      <c r="BL54" t="b">
        <f t="shared" si="8"/>
        <v>1</v>
      </c>
      <c r="BM54" t="b">
        <f t="shared" si="9"/>
        <v>1</v>
      </c>
      <c r="BN54" t="b">
        <f t="shared" si="10"/>
        <v>1</v>
      </c>
      <c r="BO54" t="b">
        <f t="shared" si="11"/>
        <v>1</v>
      </c>
      <c r="BP54" s="45" t="b">
        <f t="shared" si="12"/>
        <v>1</v>
      </c>
      <c r="BR54" s="1">
        <f t="shared" si="43"/>
        <v>216</v>
      </c>
      <c r="BS54" s="23">
        <v>1.17977863845946E-2</v>
      </c>
      <c r="BT54" s="8">
        <v>2.2886420960267127E-2</v>
      </c>
      <c r="BU54" s="8">
        <v>2.2886421216250993E-2</v>
      </c>
      <c r="BV54" s="8">
        <v>3.144649803085018E-2</v>
      </c>
      <c r="BW54" s="8">
        <v>1.9158678196818001E-2</v>
      </c>
      <c r="BX54" s="8">
        <v>6.3376418592359218E-3</v>
      </c>
      <c r="BY54" s="8">
        <v>7.1125683711502326E-3</v>
      </c>
      <c r="BZ54" s="8">
        <v>3.6444012691011461E-3</v>
      </c>
      <c r="CA54" s="8">
        <v>8.6023319466958046E-3</v>
      </c>
      <c r="CB54" s="8">
        <v>3.0820093433476499E-3</v>
      </c>
      <c r="CC54" s="8">
        <v>3.08239025002339E-3</v>
      </c>
      <c r="CD54" s="32">
        <v>1.17977863845946E-2</v>
      </c>
      <c r="CE54" s="12">
        <v>2.2886420960266999E-2</v>
      </c>
      <c r="CF54" s="12">
        <v>2.2886421216250601E-2</v>
      </c>
      <c r="CG54" s="12">
        <v>3.1446498030850298E-2</v>
      </c>
      <c r="CH54" s="12">
        <v>1.9158678196818001E-2</v>
      </c>
      <c r="CI54" s="12">
        <v>6.33764185923594E-3</v>
      </c>
      <c r="CJ54" s="12">
        <v>7.1125683711501997E-3</v>
      </c>
      <c r="CK54" s="12">
        <v>3.6444012691011201E-3</v>
      </c>
      <c r="CL54" s="12">
        <v>8.6023319466960093E-3</v>
      </c>
      <c r="CM54" s="12">
        <v>3.0820093433476499E-3</v>
      </c>
      <c r="CN54" s="33">
        <v>3.08239025002338E-3</v>
      </c>
      <c r="CO54" t="b">
        <f t="shared" si="48"/>
        <v>1</v>
      </c>
      <c r="CP54" t="b">
        <f t="shared" si="13"/>
        <v>1</v>
      </c>
      <c r="CQ54" t="b">
        <f t="shared" si="14"/>
        <v>1</v>
      </c>
      <c r="CR54" t="b">
        <f t="shared" si="15"/>
        <v>1</v>
      </c>
      <c r="CS54" t="b">
        <f t="shared" si="16"/>
        <v>1</v>
      </c>
      <c r="CT54" t="b">
        <f t="shared" si="17"/>
        <v>1</v>
      </c>
      <c r="CU54" t="b">
        <f t="shared" si="18"/>
        <v>1</v>
      </c>
      <c r="CV54" t="b">
        <f t="shared" si="19"/>
        <v>1</v>
      </c>
      <c r="CW54" t="b">
        <f t="shared" si="20"/>
        <v>1</v>
      </c>
      <c r="CX54" t="b">
        <f t="shared" si="21"/>
        <v>1</v>
      </c>
      <c r="CY54" t="b">
        <f t="shared" si="22"/>
        <v>1</v>
      </c>
    </row>
    <row r="55" spans="1:115" x14ac:dyDescent="0.25">
      <c r="A55" s="1">
        <f t="shared" si="34"/>
        <v>222</v>
      </c>
      <c r="B55" s="23">
        <v>7.2867789880583109E-2</v>
      </c>
      <c r="C55" s="8">
        <v>1.7851368221206684E-2</v>
      </c>
      <c r="D55" s="8">
        <v>1.7851367546890557E-2</v>
      </c>
      <c r="E55" s="8">
        <v>1.3662983029833705E-2</v>
      </c>
      <c r="F55" s="8">
        <v>2.4150967530998324E-2</v>
      </c>
      <c r="G55" s="8">
        <v>0.10278475631505628</v>
      </c>
      <c r="H55" s="8">
        <v>0.10505668090533549</v>
      </c>
      <c r="I55" s="8">
        <v>0.19307747474718462</v>
      </c>
      <c r="J55" s="8">
        <v>8.4989790368200313E-2</v>
      </c>
      <c r="K55" s="8">
        <v>0.21401151577360378</v>
      </c>
      <c r="L55" s="8">
        <v>0.21397577042678284</v>
      </c>
      <c r="M55" s="32">
        <v>7.2867789880582998E-2</v>
      </c>
      <c r="N55" s="12">
        <v>1.7851368221206899E-2</v>
      </c>
      <c r="O55" s="12">
        <v>1.7851367546891601E-2</v>
      </c>
      <c r="P55" s="12">
        <v>1.36629830298335E-2</v>
      </c>
      <c r="Q55" s="12">
        <v>2.4150967530998501E-2</v>
      </c>
      <c r="R55" s="12">
        <v>0.102784756315056</v>
      </c>
      <c r="S55" s="12">
        <v>0.105056680905336</v>
      </c>
      <c r="T55" s="12">
        <v>0.19307747474718601</v>
      </c>
      <c r="U55" s="12">
        <v>8.4989790368199994E-2</v>
      </c>
      <c r="V55" s="12">
        <v>0.214011515773603</v>
      </c>
      <c r="W55" s="33">
        <v>0.21397577042678401</v>
      </c>
      <c r="X55" t="b">
        <f t="shared" si="46"/>
        <v>1</v>
      </c>
      <c r="Y55" t="b">
        <f t="shared" si="50"/>
        <v>1</v>
      </c>
      <c r="Z55" t="b">
        <f t="shared" si="51"/>
        <v>1</v>
      </c>
      <c r="AA55" t="b">
        <f t="shared" si="52"/>
        <v>1</v>
      </c>
      <c r="AB55" t="b">
        <f t="shared" si="53"/>
        <v>1</v>
      </c>
      <c r="AC55" t="b">
        <f t="shared" si="54"/>
        <v>1</v>
      </c>
      <c r="AD55" t="b">
        <f t="shared" si="55"/>
        <v>1</v>
      </c>
      <c r="AE55" t="b">
        <f t="shared" si="56"/>
        <v>1</v>
      </c>
      <c r="AF55" t="b">
        <f t="shared" si="57"/>
        <v>1</v>
      </c>
      <c r="AG55" t="b">
        <f t="shared" si="1"/>
        <v>1</v>
      </c>
      <c r="AH55" t="b">
        <f t="shared" si="2"/>
        <v>1</v>
      </c>
      <c r="AJ55" s="23">
        <v>2.6191085773800014</v>
      </c>
      <c r="AK55" s="8">
        <v>4.025675122646037</v>
      </c>
      <c r="AL55" s="8">
        <v>4.0256751604199561</v>
      </c>
      <c r="AM55" s="8">
        <v>4.2930650716792762</v>
      </c>
      <c r="AN55" s="8">
        <v>3.7234308362906958</v>
      </c>
      <c r="AO55" s="8">
        <v>2.2751182218293544</v>
      </c>
      <c r="AP55" s="8">
        <v>2.2532552563279631</v>
      </c>
      <c r="AQ55" s="8">
        <v>1.6446637470655916</v>
      </c>
      <c r="AR55" s="8">
        <v>2.4652241430212931</v>
      </c>
      <c r="AS55" s="8">
        <v>1.5417254533819149</v>
      </c>
      <c r="AT55" s="8">
        <v>1.5418924926751676</v>
      </c>
      <c r="AU55" s="32">
        <v>2.61910857738</v>
      </c>
      <c r="AV55" s="12">
        <v>4.0256751226460201</v>
      </c>
      <c r="AW55" s="12">
        <v>4.0256751604198904</v>
      </c>
      <c r="AX55" s="12">
        <v>4.2930650716792904</v>
      </c>
      <c r="AY55" s="12">
        <v>3.72343083629069</v>
      </c>
      <c r="AZ55" s="12">
        <v>2.2751182218293602</v>
      </c>
      <c r="BA55" s="12">
        <v>2.25325525632796</v>
      </c>
      <c r="BB55" s="12">
        <v>1.6446637470655801</v>
      </c>
      <c r="BC55" s="12">
        <v>2.4652241430213002</v>
      </c>
      <c r="BD55" s="12">
        <v>1.54172545338192</v>
      </c>
      <c r="BE55" s="33">
        <v>1.54189249267516</v>
      </c>
      <c r="BF55" s="44" t="b">
        <f t="shared" si="47"/>
        <v>1</v>
      </c>
      <c r="BG55" t="b">
        <f t="shared" si="3"/>
        <v>1</v>
      </c>
      <c r="BH55" t="b">
        <f t="shared" si="4"/>
        <v>1</v>
      </c>
      <c r="BI55" t="b">
        <f t="shared" si="5"/>
        <v>1</v>
      </c>
      <c r="BJ55" t="b">
        <f t="shared" si="6"/>
        <v>1</v>
      </c>
      <c r="BK55" t="b">
        <f t="shared" si="7"/>
        <v>1</v>
      </c>
      <c r="BL55" t="b">
        <f t="shared" si="8"/>
        <v>1</v>
      </c>
      <c r="BM55" t="b">
        <f t="shared" si="9"/>
        <v>1</v>
      </c>
      <c r="BN55" t="b">
        <f t="shared" si="10"/>
        <v>1</v>
      </c>
      <c r="BO55" t="b">
        <f t="shared" si="11"/>
        <v>1</v>
      </c>
      <c r="BP55" s="45" t="b">
        <f t="shared" si="12"/>
        <v>1</v>
      </c>
      <c r="BR55" s="1">
        <f t="shared" si="43"/>
        <v>222</v>
      </c>
      <c r="BS55" s="23">
        <v>1.17977863845946E-2</v>
      </c>
      <c r="BT55" s="8">
        <v>2.3057316034018165E-2</v>
      </c>
      <c r="BU55" s="8">
        <v>2.3057316293413007E-2</v>
      </c>
      <c r="BV55" s="8">
        <v>3.2431843473394562E-2</v>
      </c>
      <c r="BW55" s="8">
        <v>1.9199866672687728E-2</v>
      </c>
      <c r="BX55" s="8">
        <v>6.1935333908574421E-3</v>
      </c>
      <c r="BY55" s="8">
        <v>7.0025995039849085E-3</v>
      </c>
      <c r="BZ55" s="8">
        <v>3.5588636130746143E-3</v>
      </c>
      <c r="CA55" s="8">
        <v>8.4946223390442947E-3</v>
      </c>
      <c r="CB55" s="8">
        <v>3.0034618635481733E-3</v>
      </c>
      <c r="CC55" s="8">
        <v>3.0038303654061909E-3</v>
      </c>
      <c r="CD55" s="32">
        <v>1.17977863845946E-2</v>
      </c>
      <c r="CE55" s="12">
        <v>2.3057316034018002E-2</v>
      </c>
      <c r="CF55" s="12">
        <v>2.3057316293412601E-2</v>
      </c>
      <c r="CG55" s="12">
        <v>3.24318434733947E-2</v>
      </c>
      <c r="CH55" s="12">
        <v>1.91998666726877E-2</v>
      </c>
      <c r="CI55" s="12">
        <v>6.1935333908574699E-3</v>
      </c>
      <c r="CJ55" s="12">
        <v>7.0025995039848703E-3</v>
      </c>
      <c r="CK55" s="12">
        <v>3.55886361307459E-3</v>
      </c>
      <c r="CL55" s="12">
        <v>8.4946223390445601E-3</v>
      </c>
      <c r="CM55" s="12">
        <v>3.0034618635481499E-3</v>
      </c>
      <c r="CN55" s="33">
        <v>3.00383036540617E-3</v>
      </c>
      <c r="CO55" t="b">
        <f t="shared" si="48"/>
        <v>1</v>
      </c>
      <c r="CP55" t="b">
        <f t="shared" si="13"/>
        <v>1</v>
      </c>
      <c r="CQ55" t="b">
        <f t="shared" si="14"/>
        <v>1</v>
      </c>
      <c r="CR55" t="b">
        <f t="shared" si="15"/>
        <v>1</v>
      </c>
      <c r="CS55" t="b">
        <f t="shared" si="16"/>
        <v>1</v>
      </c>
      <c r="CT55" t="b">
        <f t="shared" si="17"/>
        <v>1</v>
      </c>
      <c r="CU55" t="b">
        <f t="shared" si="18"/>
        <v>1</v>
      </c>
      <c r="CV55" t="b">
        <f t="shared" si="19"/>
        <v>1</v>
      </c>
      <c r="CW55" t="b">
        <f t="shared" si="20"/>
        <v>1</v>
      </c>
      <c r="CX55" t="b">
        <f t="shared" si="21"/>
        <v>1</v>
      </c>
      <c r="CY55" t="b">
        <f t="shared" si="22"/>
        <v>1</v>
      </c>
    </row>
    <row r="56" spans="1:115" x14ac:dyDescent="0.25">
      <c r="A56" s="1">
        <f t="shared" si="34"/>
        <v>228</v>
      </c>
      <c r="B56" s="23">
        <v>6.7888047170947638E-2</v>
      </c>
      <c r="C56" s="8">
        <v>1.5537119141073065E-2</v>
      </c>
      <c r="D56" s="8">
        <v>1.553711852983688E-2</v>
      </c>
      <c r="E56" s="8">
        <v>1.1212914138740836E-2</v>
      </c>
      <c r="F56" s="8">
        <v>2.15205082391694E-2</v>
      </c>
      <c r="G56" s="8">
        <v>9.9076569491634889E-2</v>
      </c>
      <c r="H56" s="8">
        <v>0.10076636163135388</v>
      </c>
      <c r="I56" s="8">
        <v>0.18904497779518592</v>
      </c>
      <c r="J56" s="8">
        <v>8.0792015841027576E-2</v>
      </c>
      <c r="K56" s="8">
        <v>0.21023688622689218</v>
      </c>
      <c r="L56" s="8">
        <v>0.21020131403238984</v>
      </c>
      <c r="M56" s="32">
        <v>6.7888047170947499E-2</v>
      </c>
      <c r="N56" s="12">
        <v>1.5537119141073299E-2</v>
      </c>
      <c r="O56" s="12">
        <v>1.55371185298379E-2</v>
      </c>
      <c r="P56" s="12">
        <v>1.12129141387406E-2</v>
      </c>
      <c r="Q56" s="12">
        <v>2.1520508239169601E-2</v>
      </c>
      <c r="R56" s="12">
        <v>9.9076569491634195E-2</v>
      </c>
      <c r="S56" s="12">
        <v>0.10076636163135499</v>
      </c>
      <c r="T56" s="12">
        <v>0.189044977795187</v>
      </c>
      <c r="U56" s="12">
        <v>8.0792015841027603E-2</v>
      </c>
      <c r="V56" s="12">
        <v>0.21023688622689099</v>
      </c>
      <c r="W56" s="33">
        <v>0.21020131403239001</v>
      </c>
      <c r="X56" t="b">
        <f t="shared" si="46"/>
        <v>1</v>
      </c>
      <c r="Y56" t="b">
        <f t="shared" si="50"/>
        <v>1</v>
      </c>
      <c r="Z56" t="b">
        <f t="shared" si="51"/>
        <v>1</v>
      </c>
      <c r="AA56" t="b">
        <f t="shared" si="52"/>
        <v>1</v>
      </c>
      <c r="AB56" t="b">
        <f t="shared" si="53"/>
        <v>1</v>
      </c>
      <c r="AC56" t="b">
        <f t="shared" si="54"/>
        <v>1</v>
      </c>
      <c r="AD56" t="b">
        <f t="shared" si="55"/>
        <v>1</v>
      </c>
      <c r="AE56" t="b">
        <f t="shared" si="56"/>
        <v>1</v>
      </c>
      <c r="AF56" t="b">
        <f t="shared" si="57"/>
        <v>1</v>
      </c>
      <c r="AG56" t="b">
        <f t="shared" si="1"/>
        <v>1</v>
      </c>
      <c r="AH56" t="b">
        <f t="shared" si="2"/>
        <v>1</v>
      </c>
      <c r="AJ56" s="23">
        <v>2.689895295687569</v>
      </c>
      <c r="AK56" s="8">
        <v>4.1645233346856045</v>
      </c>
      <c r="AL56" s="8">
        <v>4.1645233740259862</v>
      </c>
      <c r="AM56" s="8">
        <v>4.4906891168286318</v>
      </c>
      <c r="AN56" s="8">
        <v>3.8387489269056565</v>
      </c>
      <c r="AO56" s="8">
        <v>2.3118622985813535</v>
      </c>
      <c r="AP56" s="8">
        <v>2.2949506930144321</v>
      </c>
      <c r="AQ56" s="8">
        <v>1.6657703144824019</v>
      </c>
      <c r="AR56" s="8">
        <v>2.5158771321861662</v>
      </c>
      <c r="AS56" s="8">
        <v>1.559520354360199</v>
      </c>
      <c r="AT56" s="8">
        <v>1.5596895692153918</v>
      </c>
      <c r="AU56" s="32">
        <v>2.6898952956875699</v>
      </c>
      <c r="AV56" s="12">
        <v>4.1645233346855903</v>
      </c>
      <c r="AW56" s="12">
        <v>4.1645233740259204</v>
      </c>
      <c r="AX56" s="12">
        <v>4.4906891168286496</v>
      </c>
      <c r="AY56" s="12">
        <v>3.8387489269056498</v>
      </c>
      <c r="AZ56" s="12">
        <v>2.3118622985813602</v>
      </c>
      <c r="BA56" s="12">
        <v>2.2949506930144201</v>
      </c>
      <c r="BB56" s="12">
        <v>1.6657703144823901</v>
      </c>
      <c r="BC56" s="12">
        <v>2.5158771321861702</v>
      </c>
      <c r="BD56" s="12">
        <v>1.5595203543602001</v>
      </c>
      <c r="BE56" s="33">
        <v>1.55968956921539</v>
      </c>
      <c r="BF56" s="44" t="b">
        <f t="shared" si="47"/>
        <v>1</v>
      </c>
      <c r="BG56" t="b">
        <f t="shared" si="3"/>
        <v>1</v>
      </c>
      <c r="BH56" t="b">
        <f t="shared" si="4"/>
        <v>1</v>
      </c>
      <c r="BI56" t="b">
        <f t="shared" si="5"/>
        <v>1</v>
      </c>
      <c r="BJ56" t="b">
        <f t="shared" si="6"/>
        <v>1</v>
      </c>
      <c r="BK56" t="b">
        <f t="shared" si="7"/>
        <v>1</v>
      </c>
      <c r="BL56" t="b">
        <f t="shared" si="8"/>
        <v>1</v>
      </c>
      <c r="BM56" t="b">
        <f t="shared" si="9"/>
        <v>1</v>
      </c>
      <c r="BN56" t="b">
        <f t="shared" si="10"/>
        <v>1</v>
      </c>
      <c r="BO56" t="b">
        <f t="shared" si="11"/>
        <v>1</v>
      </c>
      <c r="BP56" s="45" t="b">
        <f t="shared" si="12"/>
        <v>1</v>
      </c>
      <c r="BR56" s="1">
        <f t="shared" si="43"/>
        <v>228</v>
      </c>
      <c r="BS56" s="23">
        <v>1.17977863845946E-2</v>
      </c>
      <c r="BT56" s="8">
        <v>2.3224878770825328E-2</v>
      </c>
      <c r="BU56" s="8">
        <v>2.3224879033575386E-2</v>
      </c>
      <c r="BV56" s="8">
        <v>3.3448063757397929E-2</v>
      </c>
      <c r="BW56" s="8">
        <v>1.9239198016868395E-2</v>
      </c>
      <c r="BX56" s="8">
        <v>6.0554698899013418E-3</v>
      </c>
      <c r="BY56" s="8">
        <v>6.8965075138073201E-3</v>
      </c>
      <c r="BZ56" s="8">
        <v>3.4772973502137806E-3</v>
      </c>
      <c r="CA56" s="8">
        <v>8.3902498322105269E-3</v>
      </c>
      <c r="CB56" s="8">
        <v>2.9287943596437425E-3</v>
      </c>
      <c r="CC56" s="8">
        <v>2.929151157159303E-3</v>
      </c>
      <c r="CD56" s="32">
        <v>1.17977863845946E-2</v>
      </c>
      <c r="CE56" s="12">
        <v>2.32248787708252E-2</v>
      </c>
      <c r="CF56" s="12">
        <v>2.3224879033575001E-2</v>
      </c>
      <c r="CG56" s="12">
        <v>3.3448063757398103E-2</v>
      </c>
      <c r="CH56" s="12">
        <v>1.9239198016868301E-2</v>
      </c>
      <c r="CI56" s="12">
        <v>6.0554698899013704E-3</v>
      </c>
      <c r="CJ56" s="12">
        <v>6.8965075138072802E-3</v>
      </c>
      <c r="CK56" s="12">
        <v>3.4772973502137602E-3</v>
      </c>
      <c r="CL56" s="12">
        <v>8.3902498322107194E-3</v>
      </c>
      <c r="CM56" s="12">
        <v>2.9287943596437499E-3</v>
      </c>
      <c r="CN56" s="33">
        <v>2.92915115715929E-3</v>
      </c>
      <c r="CO56" t="b">
        <f t="shared" si="48"/>
        <v>1</v>
      </c>
      <c r="CP56" t="b">
        <f t="shared" si="13"/>
        <v>1</v>
      </c>
      <c r="CQ56" t="b">
        <f t="shared" si="14"/>
        <v>1</v>
      </c>
      <c r="CR56" t="b">
        <f t="shared" si="15"/>
        <v>1</v>
      </c>
      <c r="CS56" t="b">
        <f t="shared" si="16"/>
        <v>1</v>
      </c>
      <c r="CT56" t="b">
        <f t="shared" si="17"/>
        <v>1</v>
      </c>
      <c r="CU56" t="b">
        <f t="shared" si="18"/>
        <v>1</v>
      </c>
      <c r="CV56" t="b">
        <f t="shared" si="19"/>
        <v>1</v>
      </c>
      <c r="CW56" t="b">
        <f t="shared" si="20"/>
        <v>1</v>
      </c>
      <c r="CX56" t="b">
        <f t="shared" si="21"/>
        <v>1</v>
      </c>
      <c r="CY56" t="b">
        <f t="shared" si="22"/>
        <v>1</v>
      </c>
    </row>
    <row r="57" spans="1:115" x14ac:dyDescent="0.25">
      <c r="A57" s="1">
        <f t="shared" si="34"/>
        <v>234</v>
      </c>
      <c r="B57" s="23">
        <v>6.3248617204361021E-2</v>
      </c>
      <c r="C57" s="8">
        <v>1.3509430197519618E-2</v>
      </c>
      <c r="D57" s="8">
        <v>1.3509429644621705E-2</v>
      </c>
      <c r="E57" s="8">
        <v>9.1453884681224114E-3</v>
      </c>
      <c r="F57" s="8">
        <v>1.9172127513403137E-2</v>
      </c>
      <c r="G57" s="8">
        <v>9.557965915159812E-2</v>
      </c>
      <c r="H57" s="8">
        <v>9.6711720581278526E-2</v>
      </c>
      <c r="I57" s="8">
        <v>0.18518522964939366</v>
      </c>
      <c r="J57" s="8">
        <v>7.684894841993406E-2</v>
      </c>
      <c r="K57" s="8">
        <v>0.20661911892692186</v>
      </c>
      <c r="L57" s="8">
        <v>0.20658372352616627</v>
      </c>
      <c r="M57" s="32">
        <v>6.3248617204360896E-2</v>
      </c>
      <c r="N57" s="12">
        <v>1.35094301975198E-2</v>
      </c>
      <c r="O57" s="12">
        <v>1.3509429644622701E-2</v>
      </c>
      <c r="P57" s="12">
        <v>9.1453884681221807E-3</v>
      </c>
      <c r="Q57" s="12">
        <v>1.9172127513403199E-2</v>
      </c>
      <c r="R57" s="12">
        <v>9.5579659151597496E-2</v>
      </c>
      <c r="S57" s="12">
        <v>9.6711720581279303E-2</v>
      </c>
      <c r="T57" s="12">
        <v>0.18518522964939499</v>
      </c>
      <c r="U57" s="12">
        <v>7.6848948419934199E-2</v>
      </c>
      <c r="V57" s="12">
        <v>0.206619118926921</v>
      </c>
      <c r="W57" s="33">
        <v>0.206583723526167</v>
      </c>
      <c r="X57" t="b">
        <f t="shared" si="46"/>
        <v>1</v>
      </c>
      <c r="Y57" t="b">
        <f t="shared" si="50"/>
        <v>1</v>
      </c>
      <c r="Z57" t="b">
        <f t="shared" si="51"/>
        <v>1</v>
      </c>
      <c r="AA57" t="b">
        <f t="shared" si="52"/>
        <v>1</v>
      </c>
      <c r="AB57" t="b">
        <f t="shared" si="53"/>
        <v>1</v>
      </c>
      <c r="AC57" t="b">
        <f t="shared" si="54"/>
        <v>1</v>
      </c>
      <c r="AD57" t="b">
        <f t="shared" si="55"/>
        <v>1</v>
      </c>
      <c r="AE57" t="b">
        <f t="shared" si="56"/>
        <v>1</v>
      </c>
      <c r="AF57" t="b">
        <f t="shared" si="57"/>
        <v>1</v>
      </c>
      <c r="AG57" t="b">
        <f t="shared" si="1"/>
        <v>1</v>
      </c>
      <c r="AH57" t="b">
        <f t="shared" si="2"/>
        <v>1</v>
      </c>
      <c r="AJ57" s="23">
        <v>2.7606820139951367</v>
      </c>
      <c r="AK57" s="8">
        <v>4.3043673042488759</v>
      </c>
      <c r="AL57" s="8">
        <v>4.304367345175689</v>
      </c>
      <c r="AM57" s="8">
        <v>4.6945055192965714</v>
      </c>
      <c r="AN57" s="8">
        <v>3.9542977466843823</v>
      </c>
      <c r="AO57" s="8">
        <v>2.3477952519443832</v>
      </c>
      <c r="AP57" s="8">
        <v>2.3360206782701907</v>
      </c>
      <c r="AQ57" s="8">
        <v>1.6863987134635319</v>
      </c>
      <c r="AR57" s="8">
        <v>2.5659134926313731</v>
      </c>
      <c r="AS57" s="8">
        <v>1.5768781857896474</v>
      </c>
      <c r="AT57" s="8">
        <v>1.5770495079452844</v>
      </c>
      <c r="AU57" s="32">
        <v>2.7606820139951398</v>
      </c>
      <c r="AV57" s="12">
        <v>4.3043673042488599</v>
      </c>
      <c r="AW57" s="12">
        <v>4.3043673451756197</v>
      </c>
      <c r="AX57" s="12">
        <v>4.6945055192965901</v>
      </c>
      <c r="AY57" s="12">
        <v>3.9542977466843801</v>
      </c>
      <c r="AZ57" s="12">
        <v>2.3477952519443899</v>
      </c>
      <c r="BA57" s="12">
        <v>2.33602067827018</v>
      </c>
      <c r="BB57" s="12">
        <v>1.6863987134635301</v>
      </c>
      <c r="BC57" s="12">
        <v>2.56591349263137</v>
      </c>
      <c r="BD57" s="12">
        <v>1.5768781857896501</v>
      </c>
      <c r="BE57" s="33">
        <v>1.57704950794528</v>
      </c>
      <c r="BF57" s="44" t="b">
        <f t="shared" si="47"/>
        <v>1</v>
      </c>
      <c r="BG57" t="b">
        <f t="shared" si="3"/>
        <v>1</v>
      </c>
      <c r="BH57" t="b">
        <f t="shared" si="4"/>
        <v>1</v>
      </c>
      <c r="BI57" t="b">
        <f t="shared" si="5"/>
        <v>1</v>
      </c>
      <c r="BJ57" t="b">
        <f t="shared" si="6"/>
        <v>1</v>
      </c>
      <c r="BK57" t="b">
        <f t="shared" si="7"/>
        <v>1</v>
      </c>
      <c r="BL57" t="b">
        <f t="shared" si="8"/>
        <v>1</v>
      </c>
      <c r="BM57" t="b">
        <f t="shared" si="9"/>
        <v>1</v>
      </c>
      <c r="BN57" t="b">
        <f t="shared" si="10"/>
        <v>1</v>
      </c>
      <c r="BO57" t="b">
        <f t="shared" si="11"/>
        <v>1</v>
      </c>
      <c r="BP57" s="45" t="b">
        <f t="shared" si="12"/>
        <v>1</v>
      </c>
      <c r="BR57" s="1">
        <f t="shared" si="43"/>
        <v>234</v>
      </c>
      <c r="BS57" s="23">
        <v>1.17977863845946E-2</v>
      </c>
      <c r="BT57" s="8">
        <v>2.3389259337558862E-2</v>
      </c>
      <c r="BU57" s="8">
        <v>2.3389259603610688E-2</v>
      </c>
      <c r="BV57" s="8">
        <v>3.4496126315999943E-2</v>
      </c>
      <c r="BW57" s="8">
        <v>1.9276796095590455E-2</v>
      </c>
      <c r="BX57" s="8">
        <v>5.9231029061551903E-3</v>
      </c>
      <c r="BY57" s="8">
        <v>6.7940819152762701E-3</v>
      </c>
      <c r="BZ57" s="8">
        <v>3.3994309907855475E-3</v>
      </c>
      <c r="CA57" s="8">
        <v>8.2890534743874436E-3</v>
      </c>
      <c r="CB57" s="8">
        <v>2.8577277667635697E-3</v>
      </c>
      <c r="CC57" s="8">
        <v>2.8580735062093258E-3</v>
      </c>
      <c r="CD57" s="32">
        <v>1.17977863845946E-2</v>
      </c>
      <c r="CE57" s="12">
        <v>2.3389259337558699E-2</v>
      </c>
      <c r="CF57" s="12">
        <v>2.33892596036103E-2</v>
      </c>
      <c r="CG57" s="12">
        <v>3.4496126316000103E-2</v>
      </c>
      <c r="CH57" s="12">
        <v>1.92767960955905E-2</v>
      </c>
      <c r="CI57" s="12">
        <v>5.9231029061552103E-3</v>
      </c>
      <c r="CJ57" s="12">
        <v>6.7940819152762302E-3</v>
      </c>
      <c r="CK57" s="12">
        <v>3.3994309907855302E-3</v>
      </c>
      <c r="CL57" s="12">
        <v>8.2890534743876396E-3</v>
      </c>
      <c r="CM57" s="12">
        <v>2.8577277667635702E-3</v>
      </c>
      <c r="CN57" s="33">
        <v>2.8580735062093002E-3</v>
      </c>
      <c r="CO57" t="b">
        <f t="shared" si="48"/>
        <v>1</v>
      </c>
      <c r="CP57" t="b">
        <f t="shared" si="13"/>
        <v>1</v>
      </c>
      <c r="CQ57" t="b">
        <f t="shared" si="14"/>
        <v>1</v>
      </c>
      <c r="CR57" t="b">
        <f t="shared" si="15"/>
        <v>1</v>
      </c>
      <c r="CS57" t="b">
        <f t="shared" si="16"/>
        <v>1</v>
      </c>
      <c r="CT57" t="b">
        <f t="shared" si="17"/>
        <v>1</v>
      </c>
      <c r="CU57" t="b">
        <f t="shared" si="18"/>
        <v>1</v>
      </c>
      <c r="CV57" t="b">
        <f t="shared" si="19"/>
        <v>1</v>
      </c>
      <c r="CW57" t="b">
        <f t="shared" si="20"/>
        <v>1</v>
      </c>
      <c r="CX57" t="b">
        <f t="shared" si="21"/>
        <v>1</v>
      </c>
      <c r="CY57" t="b">
        <f t="shared" si="22"/>
        <v>1</v>
      </c>
    </row>
    <row r="58" spans="1:115" x14ac:dyDescent="0.25">
      <c r="A58" s="1">
        <f t="shared" si="34"/>
        <v>240</v>
      </c>
      <c r="B58" s="25">
        <v>5.8926243204352198E-2</v>
      </c>
      <c r="C58" s="26">
        <v>1.1734895408088043E-2</v>
      </c>
      <c r="D58" s="26">
        <v>1.1734894908968922E-2</v>
      </c>
      <c r="E58" s="26">
        <v>7.4116046543138943E-3</v>
      </c>
      <c r="F58" s="26">
        <v>1.7076240259215059E-2</v>
      </c>
      <c r="G58" s="26">
        <v>9.2277930145990311E-2</v>
      </c>
      <c r="H58" s="26">
        <v>9.2876315009237098E-2</v>
      </c>
      <c r="I58" s="26">
        <v>0.18148715662064441</v>
      </c>
      <c r="J58" s="26">
        <v>7.3142051047303092E-2</v>
      </c>
      <c r="K58" s="26">
        <v>0.20314814622788591</v>
      </c>
      <c r="L58" s="26">
        <v>0.20311293051787038</v>
      </c>
      <c r="M58" s="34">
        <v>5.8926243204352101E-2</v>
      </c>
      <c r="N58" s="35">
        <v>1.17348954080883E-2</v>
      </c>
      <c r="O58" s="35">
        <v>1.1734894908969701E-2</v>
      </c>
      <c r="P58" s="35">
        <v>7.4116046543137902E-3</v>
      </c>
      <c r="Q58" s="35">
        <v>1.7076240259215301E-2</v>
      </c>
      <c r="R58" s="35">
        <v>9.2277930145989701E-2</v>
      </c>
      <c r="S58" s="35">
        <v>9.2876315009237806E-2</v>
      </c>
      <c r="T58" s="35">
        <v>0.18148715662064599</v>
      </c>
      <c r="U58" s="35">
        <v>7.3142051047308601E-2</v>
      </c>
      <c r="V58" s="35">
        <v>0.20314814622788499</v>
      </c>
      <c r="W58" s="36">
        <v>0.20311293051787099</v>
      </c>
      <c r="X58" t="b">
        <f t="shared" si="46"/>
        <v>1</v>
      </c>
      <c r="Y58" t="b">
        <f t="shared" si="50"/>
        <v>1</v>
      </c>
      <c r="Z58" t="b">
        <f t="shared" si="51"/>
        <v>1</v>
      </c>
      <c r="AA58" t="b">
        <f t="shared" si="52"/>
        <v>1</v>
      </c>
      <c r="AB58" t="b">
        <f t="shared" si="53"/>
        <v>1</v>
      </c>
      <c r="AC58" t="b">
        <f t="shared" si="54"/>
        <v>1</v>
      </c>
      <c r="AD58" t="b">
        <f t="shared" si="55"/>
        <v>1</v>
      </c>
      <c r="AE58" t="b">
        <f t="shared" si="56"/>
        <v>1</v>
      </c>
      <c r="AF58" t="b">
        <f t="shared" si="57"/>
        <v>1</v>
      </c>
      <c r="AG58" t="b">
        <f t="shared" si="1"/>
        <v>1</v>
      </c>
      <c r="AH58" t="b">
        <f t="shared" si="2"/>
        <v>1</v>
      </c>
      <c r="AJ58" s="25">
        <v>2.8314687323027039</v>
      </c>
      <c r="AK58" s="26">
        <v>4.4451883625362498</v>
      </c>
      <c r="AL58" s="26">
        <v>4.4451884050691497</v>
      </c>
      <c r="AM58" s="26">
        <v>4.904708310579271</v>
      </c>
      <c r="AN58" s="26">
        <v>4.0700672401915483</v>
      </c>
      <c r="AO58" s="26">
        <v>2.382950276075626</v>
      </c>
      <c r="AP58" s="26">
        <v>2.3764866171293808</v>
      </c>
      <c r="AQ58" s="26">
        <v>1.7065703902017018</v>
      </c>
      <c r="AR58" s="26">
        <v>2.6153518238963254</v>
      </c>
      <c r="AS58" s="26">
        <v>1.5938197817296571</v>
      </c>
      <c r="AT58" s="26">
        <v>1.5939931466524591</v>
      </c>
      <c r="AU58" s="34">
        <v>2.8314687323027101</v>
      </c>
      <c r="AV58" s="35">
        <v>4.4451883625362303</v>
      </c>
      <c r="AW58" s="35">
        <v>4.4451884050690804</v>
      </c>
      <c r="AX58" s="35">
        <v>4.9047083105792897</v>
      </c>
      <c r="AY58" s="35">
        <v>4.0700672401915403</v>
      </c>
      <c r="AZ58" s="35">
        <v>2.38295027607563</v>
      </c>
      <c r="BA58" s="35">
        <v>2.3764866171293701</v>
      </c>
      <c r="BB58" s="35">
        <v>1.7065703902017</v>
      </c>
      <c r="BC58" s="35">
        <v>2.6153518238962499</v>
      </c>
      <c r="BD58" s="35">
        <v>1.59381978172966</v>
      </c>
      <c r="BE58" s="36">
        <v>1.59399314665245</v>
      </c>
      <c r="BF58" s="46" t="b">
        <f t="shared" si="47"/>
        <v>1</v>
      </c>
      <c r="BG58" s="3" t="b">
        <f t="shared" si="3"/>
        <v>1</v>
      </c>
      <c r="BH58" s="3" t="b">
        <f t="shared" si="4"/>
        <v>1</v>
      </c>
      <c r="BI58" s="3" t="b">
        <f t="shared" si="5"/>
        <v>1</v>
      </c>
      <c r="BJ58" s="3" t="b">
        <f t="shared" si="6"/>
        <v>1</v>
      </c>
      <c r="BK58" s="3" t="b">
        <f t="shared" si="7"/>
        <v>1</v>
      </c>
      <c r="BL58" s="3" t="b">
        <f t="shared" si="8"/>
        <v>1</v>
      </c>
      <c r="BM58" s="3" t="b">
        <f t="shared" si="9"/>
        <v>1</v>
      </c>
      <c r="BN58" s="3" t="b">
        <f t="shared" si="10"/>
        <v>1</v>
      </c>
      <c r="BO58" s="3" t="b">
        <f t="shared" si="11"/>
        <v>1</v>
      </c>
      <c r="BP58" s="47" t="b">
        <f t="shared" si="12"/>
        <v>1</v>
      </c>
      <c r="BR58" s="1">
        <f t="shared" si="43"/>
        <v>240</v>
      </c>
      <c r="BS58" s="25">
        <v>1.17977863845946E-2</v>
      </c>
      <c r="BT58" s="26">
        <v>2.3550597489717925E-2</v>
      </c>
      <c r="BU58" s="26">
        <v>2.3550597759020228E-2</v>
      </c>
      <c r="BV58" s="26">
        <v>3.5577028895917108E-2</v>
      </c>
      <c r="BW58" s="26">
        <v>1.9312773921538792E-2</v>
      </c>
      <c r="BX58" s="26">
        <v>5.7961079737190828E-3</v>
      </c>
      <c r="BY58" s="26">
        <v>6.6951273419858731E-3</v>
      </c>
      <c r="BZ58" s="26">
        <v>3.3250172642909897E-3</v>
      </c>
      <c r="CA58" s="26">
        <v>8.1908824378128589E-3</v>
      </c>
      <c r="CB58" s="26">
        <v>2.7900090251401499E-3</v>
      </c>
      <c r="CC58" s="26">
        <v>2.7903443037999368E-3</v>
      </c>
      <c r="CD58" s="34">
        <v>1.17977863845946E-2</v>
      </c>
      <c r="CE58" s="35">
        <v>2.3550597489717801E-2</v>
      </c>
      <c r="CF58" s="35">
        <v>2.3550597759019801E-2</v>
      </c>
      <c r="CG58" s="35">
        <v>3.5577028895917302E-2</v>
      </c>
      <c r="CH58" s="35">
        <v>1.9312773921538701E-2</v>
      </c>
      <c r="CI58" s="35">
        <v>5.7961079737191097E-3</v>
      </c>
      <c r="CJ58" s="35">
        <v>6.6951273419858298E-3</v>
      </c>
      <c r="CK58" s="35">
        <v>3.3250172642909801E-3</v>
      </c>
      <c r="CL58" s="35">
        <v>8.1908824378124495E-3</v>
      </c>
      <c r="CM58" s="35">
        <v>2.79000902514013E-3</v>
      </c>
      <c r="CN58" s="36">
        <v>2.7903443037999198E-3</v>
      </c>
      <c r="CO58" t="b">
        <f t="shared" si="48"/>
        <v>1</v>
      </c>
      <c r="CP58" t="b">
        <f t="shared" si="13"/>
        <v>1</v>
      </c>
      <c r="CQ58" t="b">
        <f t="shared" si="14"/>
        <v>1</v>
      </c>
      <c r="CR58" t="b">
        <f t="shared" si="15"/>
        <v>1</v>
      </c>
      <c r="CS58" t="b">
        <f t="shared" si="16"/>
        <v>1</v>
      </c>
      <c r="CT58" t="b">
        <f t="shared" si="17"/>
        <v>1</v>
      </c>
      <c r="CU58" t="b">
        <f t="shared" si="18"/>
        <v>1</v>
      </c>
      <c r="CV58" t="b">
        <f t="shared" si="19"/>
        <v>1</v>
      </c>
      <c r="CW58" t="b">
        <f t="shared" si="20"/>
        <v>1</v>
      </c>
      <c r="CX58" t="b">
        <f t="shared" si="21"/>
        <v>1</v>
      </c>
      <c r="CY58" t="b">
        <f t="shared" si="22"/>
        <v>1</v>
      </c>
    </row>
    <row r="61" spans="1:115" x14ac:dyDescent="0.25">
      <c r="CC61" t="s">
        <v>714</v>
      </c>
      <c r="CD61" t="s">
        <v>728</v>
      </c>
      <c r="CE61" t="s">
        <v>729</v>
      </c>
      <c r="CF61" t="s">
        <v>730</v>
      </c>
      <c r="CG61" t="s">
        <v>731</v>
      </c>
      <c r="CH61" t="s">
        <v>732</v>
      </c>
      <c r="CI61" t="s">
        <v>733</v>
      </c>
      <c r="CJ61" t="s">
        <v>734</v>
      </c>
      <c r="CK61" t="s">
        <v>735</v>
      </c>
      <c r="CL61" t="s">
        <v>748</v>
      </c>
      <c r="CM61" t="s">
        <v>736</v>
      </c>
      <c r="CN61" t="s">
        <v>749</v>
      </c>
      <c r="CZ61" t="s">
        <v>772</v>
      </c>
      <c r="DA61" t="s">
        <v>728</v>
      </c>
      <c r="DB61" t="s">
        <v>729</v>
      </c>
      <c r="DC61" t="s">
        <v>730</v>
      </c>
      <c r="DD61" t="s">
        <v>731</v>
      </c>
      <c r="DE61" t="s">
        <v>732</v>
      </c>
      <c r="DF61" t="s">
        <v>733</v>
      </c>
      <c r="DG61" t="s">
        <v>734</v>
      </c>
      <c r="DH61" t="s">
        <v>735</v>
      </c>
      <c r="DI61" t="s">
        <v>748</v>
      </c>
      <c r="DJ61" t="s">
        <v>736</v>
      </c>
      <c r="DK61" t="s">
        <v>749</v>
      </c>
    </row>
    <row r="62" spans="1:115" x14ac:dyDescent="0.25">
      <c r="AU62" t="s">
        <v>714</v>
      </c>
      <c r="AV62" t="s">
        <v>728</v>
      </c>
      <c r="AW62" t="s">
        <v>729</v>
      </c>
      <c r="AX62" t="s">
        <v>730</v>
      </c>
      <c r="AY62" t="s">
        <v>731</v>
      </c>
      <c r="AZ62" t="s">
        <v>732</v>
      </c>
      <c r="BA62" t="s">
        <v>733</v>
      </c>
      <c r="BB62" t="s">
        <v>734</v>
      </c>
      <c r="BC62" t="s">
        <v>735</v>
      </c>
      <c r="BD62" t="s">
        <v>748</v>
      </c>
      <c r="BE62" t="s">
        <v>736</v>
      </c>
      <c r="BF62" t="s">
        <v>749</v>
      </c>
      <c r="CC62">
        <v>0</v>
      </c>
      <c r="CD62">
        <v>1.17977863845946E-2</v>
      </c>
      <c r="CE62">
        <v>0</v>
      </c>
      <c r="CF62">
        <v>0</v>
      </c>
      <c r="CG62">
        <v>1.03560894673995E-2</v>
      </c>
      <c r="CH62">
        <v>0</v>
      </c>
      <c r="CI62">
        <v>0</v>
      </c>
      <c r="CJ62">
        <v>0</v>
      </c>
      <c r="CL62">
        <v>0</v>
      </c>
      <c r="CZ62">
        <v>12</v>
      </c>
      <c r="DA62">
        <v>11.189265923299001</v>
      </c>
      <c r="DB62">
        <v>11.4954942315469</v>
      </c>
      <c r="DC62">
        <v>11.495494230867999</v>
      </c>
      <c r="DD62">
        <v>11.270136378738499</v>
      </c>
      <c r="DE62">
        <v>11.556872689877</v>
      </c>
      <c r="DF62">
        <v>11.554605113737701</v>
      </c>
      <c r="DG62">
        <v>11.6401765617082</v>
      </c>
      <c r="DH62">
        <v>11.680988825913101</v>
      </c>
      <c r="DI62">
        <v>11.6257420971851</v>
      </c>
      <c r="DJ62">
        <v>11.689129370894699</v>
      </c>
      <c r="DK62">
        <v>11.689129132020099</v>
      </c>
    </row>
    <row r="63" spans="1:115" x14ac:dyDescent="0.25"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CC63">
        <v>6</v>
      </c>
      <c r="CD63">
        <v>1.17977863845946E-2</v>
      </c>
      <c r="CE63">
        <v>8.6499083382611495E-3</v>
      </c>
      <c r="CF63">
        <v>8.6499083614349197E-3</v>
      </c>
      <c r="CG63">
        <v>1.06805874623519E-2</v>
      </c>
      <c r="CH63">
        <v>8.1733035500925998E-3</v>
      </c>
      <c r="CI63">
        <v>8.5162067440352103E-3</v>
      </c>
      <c r="CJ63">
        <v>8.4611002250023493E-3</v>
      </c>
      <c r="CK63">
        <v>8.5346056896690396E-3</v>
      </c>
      <c r="CL63">
        <v>8.3665690683425806E-3</v>
      </c>
      <c r="CM63">
        <v>8.0545978729859198E-3</v>
      </c>
      <c r="CN63">
        <v>8.0535863952968193E-3</v>
      </c>
      <c r="CZ63">
        <v>24</v>
      </c>
      <c r="DA63">
        <v>20.9014528888999</v>
      </c>
      <c r="DB63">
        <v>21.6675657211564</v>
      </c>
      <c r="DC63">
        <v>21.667565714672801</v>
      </c>
      <c r="DD63">
        <v>21.145284460182999</v>
      </c>
      <c r="DE63">
        <v>21.783341715108801</v>
      </c>
      <c r="DF63">
        <v>21.672194153649102</v>
      </c>
      <c r="DG63">
        <v>21.747232459401701</v>
      </c>
      <c r="DH63">
        <v>21.639663552598901</v>
      </c>
      <c r="DI63">
        <v>21.7732982339712</v>
      </c>
      <c r="DJ63">
        <v>21.642034528881901</v>
      </c>
      <c r="DK63">
        <v>21.642133093998002</v>
      </c>
    </row>
    <row r="64" spans="1:115" x14ac:dyDescent="0.25">
      <c r="AU64">
        <v>6</v>
      </c>
      <c r="AV64">
        <v>7.0786718307567595E-2</v>
      </c>
      <c r="AW64">
        <v>4.0816875133455902E-2</v>
      </c>
      <c r="AX64">
        <v>4.0816875166612497E-2</v>
      </c>
      <c r="AY64">
        <v>6.3105024978154206E-2</v>
      </c>
      <c r="AZ64">
        <v>3.4546558228275799E-2</v>
      </c>
      <c r="BA64">
        <v>3.3911389693340503E-2</v>
      </c>
      <c r="BB64">
        <v>2.3645387099972701E-2</v>
      </c>
      <c r="BC64">
        <v>1.62760758385425E-2</v>
      </c>
      <c r="BD64">
        <v>2.5860687529598001E-2</v>
      </c>
      <c r="BE64">
        <v>1.56911192492056E-2</v>
      </c>
      <c r="BF64">
        <v>1.5694382436051101E-2</v>
      </c>
      <c r="CC64">
        <v>12</v>
      </c>
      <c r="CD64">
        <v>1.17977863845946E-2</v>
      </c>
      <c r="CE64">
        <v>1.04411179009379E-2</v>
      </c>
      <c r="CF64">
        <v>1.0441117946088801E-2</v>
      </c>
      <c r="CG64">
        <v>1.10152532864892E-2</v>
      </c>
      <c r="CH64">
        <v>1.0558880189036999E-2</v>
      </c>
      <c r="CI64">
        <v>1.1586693859178199E-2</v>
      </c>
      <c r="CJ64">
        <v>1.28387736293706E-2</v>
      </c>
      <c r="CK64">
        <v>1.52828905167502E-2</v>
      </c>
      <c r="CL64">
        <v>1.22038784184695E-2</v>
      </c>
      <c r="CM64">
        <v>1.5485806324228499E-2</v>
      </c>
      <c r="CN64">
        <v>1.54842922351318E-2</v>
      </c>
      <c r="CZ64">
        <v>36</v>
      </c>
      <c r="DA64">
        <v>29.331547999381002</v>
      </c>
      <c r="DB64">
        <v>30.419887771925499</v>
      </c>
      <c r="DC64">
        <v>30.4198877526572</v>
      </c>
      <c r="DD64">
        <v>29.725696008561801</v>
      </c>
      <c r="DE64">
        <v>30.531590412910798</v>
      </c>
      <c r="DF64">
        <v>30.213775585072199</v>
      </c>
      <c r="DG64">
        <v>30.239934453024201</v>
      </c>
      <c r="DH64">
        <v>29.935016754335301</v>
      </c>
      <c r="DI64">
        <v>30.337374417628901</v>
      </c>
      <c r="DJ64">
        <v>29.9028918315806</v>
      </c>
      <c r="DK64">
        <v>29.902973992041598</v>
      </c>
    </row>
    <row r="65" spans="47:115" x14ac:dyDescent="0.25">
      <c r="AU65">
        <v>12</v>
      </c>
      <c r="AV65">
        <v>0.141573436615135</v>
      </c>
      <c r="AW65">
        <v>9.85383402807119E-2</v>
      </c>
      <c r="AX65">
        <v>9.8538340522878395E-2</v>
      </c>
      <c r="AY65">
        <v>0.12818738456135301</v>
      </c>
      <c r="AZ65">
        <v>9.1416126477761095E-2</v>
      </c>
      <c r="BA65">
        <v>9.5112062666784403E-2</v>
      </c>
      <c r="BB65">
        <v>8.9828480670000196E-2</v>
      </c>
      <c r="BC65">
        <v>9.2714233201683899E-2</v>
      </c>
      <c r="BD65">
        <v>8.9364037231884505E-2</v>
      </c>
      <c r="BE65">
        <v>9.1126022344094698E-2</v>
      </c>
      <c r="BF65">
        <v>9.1118335505506604E-2</v>
      </c>
      <c r="CC65">
        <v>18</v>
      </c>
      <c r="CD65">
        <v>1.17977863845946E-2</v>
      </c>
      <c r="CE65">
        <v>1.1656259275933299E-2</v>
      </c>
      <c r="CF65">
        <v>1.1656259337557101E-2</v>
      </c>
      <c r="CG65">
        <v>1.13604055388534E-2</v>
      </c>
      <c r="CH65">
        <v>1.20543935317412E-2</v>
      </c>
      <c r="CI65">
        <v>1.33364803789831E-2</v>
      </c>
      <c r="CJ65">
        <v>1.4302039487998099E-2</v>
      </c>
      <c r="CK65">
        <v>1.6081594197462998E-2</v>
      </c>
      <c r="CL65">
        <v>1.3722179695752601E-2</v>
      </c>
      <c r="CM65">
        <v>1.65253893396555E-2</v>
      </c>
      <c r="CN65">
        <v>1.6525617479635799E-2</v>
      </c>
      <c r="CZ65">
        <v>48</v>
      </c>
      <c r="DA65">
        <v>36.648798386194201</v>
      </c>
      <c r="DB65">
        <v>37.816409294576601</v>
      </c>
      <c r="DC65">
        <v>37.816409255911999</v>
      </c>
      <c r="DD65">
        <v>37.114781738932997</v>
      </c>
      <c r="DE65">
        <v>37.880631999086901</v>
      </c>
      <c r="DF65">
        <v>37.365168375379199</v>
      </c>
      <c r="DG65">
        <v>37.396580484267297</v>
      </c>
      <c r="DH65">
        <v>37.013449978399599</v>
      </c>
      <c r="DI65">
        <v>37.547981235178703</v>
      </c>
      <c r="DJ65">
        <v>36.955675951932001</v>
      </c>
      <c r="DK65">
        <v>36.9556019891563</v>
      </c>
    </row>
    <row r="66" spans="47:115" x14ac:dyDescent="0.25">
      <c r="AU66">
        <v>18</v>
      </c>
      <c r="AV66">
        <v>0.21236015492270299</v>
      </c>
      <c r="AW66">
        <v>0.165009406152135</v>
      </c>
      <c r="AX66">
        <v>0.16500940671646799</v>
      </c>
      <c r="AY66">
        <v>0.19530903660702101</v>
      </c>
      <c r="AZ66">
        <v>0.159540908445088</v>
      </c>
      <c r="BA66">
        <v>0.170368314269114</v>
      </c>
      <c r="BB66">
        <v>0.17208375429657299</v>
      </c>
      <c r="BC66">
        <v>0.188211909289449</v>
      </c>
      <c r="BD66">
        <v>0.16782998570997301</v>
      </c>
      <c r="BE66">
        <v>0.18885999529359099</v>
      </c>
      <c r="BF66">
        <v>0.188848710298123</v>
      </c>
      <c r="CC66">
        <v>24</v>
      </c>
      <c r="CD66">
        <v>1.17977863845946E-2</v>
      </c>
      <c r="CE66">
        <v>1.2603248353404E-2</v>
      </c>
      <c r="CF66">
        <v>1.26032484286403E-2</v>
      </c>
      <c r="CG66">
        <v>1.1716372801477699E-2</v>
      </c>
      <c r="CH66">
        <v>1.3121155636711899E-2</v>
      </c>
      <c r="CI66">
        <v>1.43028593059643E-2</v>
      </c>
      <c r="CJ66">
        <v>1.46653640914946E-2</v>
      </c>
      <c r="CK66">
        <v>1.5327689002065201E-2</v>
      </c>
      <c r="CL66">
        <v>1.42981388685462E-2</v>
      </c>
      <c r="CM66">
        <v>1.5651067809272098E-2</v>
      </c>
      <c r="CN66">
        <v>1.5652272062086199E-2</v>
      </c>
      <c r="CZ66">
        <v>60</v>
      </c>
      <c r="DA66">
        <v>43.000109106904702</v>
      </c>
      <c r="DB66">
        <v>43.981060246597799</v>
      </c>
      <c r="DC66">
        <v>43.9810601832407</v>
      </c>
      <c r="DD66">
        <v>43.417743688200297</v>
      </c>
      <c r="DE66">
        <v>43.981149322678498</v>
      </c>
      <c r="DF66">
        <v>43.374017356739998</v>
      </c>
      <c r="DG66">
        <v>43.481809570482497</v>
      </c>
      <c r="DH66">
        <v>43.190326499145499</v>
      </c>
      <c r="DI66">
        <v>43.6474251875904</v>
      </c>
      <c r="DJ66">
        <v>43.1337941099044</v>
      </c>
      <c r="DK66">
        <v>43.133462410738701</v>
      </c>
    </row>
    <row r="67" spans="47:115" x14ac:dyDescent="0.25">
      <c r="AU67">
        <v>24</v>
      </c>
      <c r="AV67">
        <v>0.28314687323027099</v>
      </c>
      <c r="AW67">
        <v>0.23788701299474599</v>
      </c>
      <c r="AX67">
        <v>0.23788701397076101</v>
      </c>
      <c r="AY67">
        <v>0.26453388036180497</v>
      </c>
      <c r="AZ67">
        <v>0.235226047075</v>
      </c>
      <c r="BA67">
        <v>0.25359696024171102</v>
      </c>
      <c r="BB67">
        <v>0.259319823053694</v>
      </c>
      <c r="BC67">
        <v>0.28277307991651002</v>
      </c>
      <c r="BD67">
        <v>0.25219414962303399</v>
      </c>
      <c r="BE67">
        <v>0.285807162506301</v>
      </c>
      <c r="BF67">
        <v>0.28580055490355399</v>
      </c>
      <c r="CC67">
        <v>30</v>
      </c>
      <c r="CD67">
        <v>1.17977863845946E-2</v>
      </c>
      <c r="CE67">
        <v>1.33904584539669E-2</v>
      </c>
      <c r="CF67">
        <v>1.3390458540994901E-2</v>
      </c>
      <c r="CG67">
        <v>1.2083493952194199E-2</v>
      </c>
      <c r="CH67">
        <v>1.3934156891695901E-2</v>
      </c>
      <c r="CI67">
        <v>1.4759494377018701E-2</v>
      </c>
      <c r="CJ67">
        <v>1.45734383937135E-2</v>
      </c>
      <c r="CK67">
        <v>1.4243267156582501E-2</v>
      </c>
      <c r="CL67">
        <v>1.44411437053155E-2</v>
      </c>
      <c r="CM67">
        <v>1.4368495181069099E-2</v>
      </c>
      <c r="CN67">
        <v>1.43701010348225E-2</v>
      </c>
      <c r="CZ67">
        <v>72</v>
      </c>
      <c r="DA67">
        <v>48.5129924907976</v>
      </c>
      <c r="DB67">
        <v>49.060346341255901</v>
      </c>
      <c r="DC67">
        <v>49.060346249560403</v>
      </c>
      <c r="DD67">
        <v>48.740146213960998</v>
      </c>
      <c r="DE67">
        <v>49.0021509901649</v>
      </c>
      <c r="DF67">
        <v>48.465690942988097</v>
      </c>
      <c r="DG67">
        <v>48.706039132698201</v>
      </c>
      <c r="DH67">
        <v>48.676264405889199</v>
      </c>
      <c r="DI67">
        <v>48.840133581157403</v>
      </c>
      <c r="DJ67">
        <v>48.652798757791302</v>
      </c>
      <c r="DK67">
        <v>48.652141113956098</v>
      </c>
    </row>
    <row r="68" spans="47:115" x14ac:dyDescent="0.25">
      <c r="AU68">
        <v>30</v>
      </c>
      <c r="AV68">
        <v>0.35393359153783799</v>
      </c>
      <c r="AW68">
        <v>0.31593205923218398</v>
      </c>
      <c r="AX68">
        <v>0.31593206069573998</v>
      </c>
      <c r="AY68">
        <v>0.33592781729312399</v>
      </c>
      <c r="AZ68">
        <v>0.31649240060400402</v>
      </c>
      <c r="BA68">
        <v>0.34098934394076702</v>
      </c>
      <c r="BB68">
        <v>0.34718000506547703</v>
      </c>
      <c r="BC68">
        <v>0.371530797812897</v>
      </c>
      <c r="BD68">
        <v>0.33855873404046799</v>
      </c>
      <c r="BE68">
        <v>0.37591648203040701</v>
      </c>
      <c r="BF68">
        <v>0.37591850561392398</v>
      </c>
      <c r="CC68">
        <v>36</v>
      </c>
      <c r="CD68">
        <v>1.17977863845946E-2</v>
      </c>
      <c r="CE68">
        <v>1.4070019314029699E-2</v>
      </c>
      <c r="CF68">
        <v>1.40700194115633E-2</v>
      </c>
      <c r="CG68">
        <v>1.24621184872418E-2</v>
      </c>
      <c r="CH68">
        <v>1.45802163338444E-2</v>
      </c>
      <c r="CI68">
        <v>1.4878528757736299E-2</v>
      </c>
      <c r="CJ68">
        <v>1.4283648294886601E-2</v>
      </c>
      <c r="CK68">
        <v>1.3162904008519501E-2</v>
      </c>
      <c r="CL68">
        <v>1.43695028946741E-2</v>
      </c>
      <c r="CM68">
        <v>1.31030053486937E-2</v>
      </c>
      <c r="CN68">
        <v>1.31047274131658E-2</v>
      </c>
      <c r="CZ68">
        <v>84</v>
      </c>
      <c r="DA68">
        <v>53.298128145523897</v>
      </c>
      <c r="DB68">
        <v>53.204165281091797</v>
      </c>
      <c r="DC68">
        <v>53.204165159055698</v>
      </c>
      <c r="DD68">
        <v>53.186467256002402</v>
      </c>
      <c r="DE68">
        <v>53.107971142396401</v>
      </c>
      <c r="DF68">
        <v>52.823861707193998</v>
      </c>
      <c r="DG68">
        <v>53.231581993877803</v>
      </c>
      <c r="DH68">
        <v>53.616162066261502</v>
      </c>
      <c r="DI68">
        <v>53.290276692058299</v>
      </c>
      <c r="DJ68">
        <v>53.657033826937401</v>
      </c>
      <c r="DK68">
        <v>53.656005169186002</v>
      </c>
    </row>
    <row r="69" spans="47:115" x14ac:dyDescent="0.25">
      <c r="AU69">
        <v>36</v>
      </c>
      <c r="AV69">
        <v>0.42472030984540599</v>
      </c>
      <c r="AW69">
        <v>0.39835859457084799</v>
      </c>
      <c r="AX69">
        <v>0.39835859658863998</v>
      </c>
      <c r="AY69">
        <v>0.40955881382680498</v>
      </c>
      <c r="AZ69">
        <v>0.40210433165014597</v>
      </c>
      <c r="BA69">
        <v>0.43003933729305999</v>
      </c>
      <c r="BB69">
        <v>0.43381392481939202</v>
      </c>
      <c r="BC69">
        <v>0.45371397227920801</v>
      </c>
      <c r="BD69">
        <v>0.42506546707078102</v>
      </c>
      <c r="BE69">
        <v>0.45828087051966798</v>
      </c>
      <c r="BF69">
        <v>0.45829297204519298</v>
      </c>
      <c r="CC69">
        <v>42</v>
      </c>
      <c r="CD69">
        <v>1.17977863845946E-2</v>
      </c>
      <c r="CE69">
        <v>1.46714165632884E-2</v>
      </c>
      <c r="CF69">
        <v>1.4671416670359099E-2</v>
      </c>
      <c r="CG69">
        <v>1.28526068539847E-2</v>
      </c>
      <c r="CH69">
        <v>1.5108907757061E-2</v>
      </c>
      <c r="CI69">
        <v>1.4775217093278101E-2</v>
      </c>
      <c r="CJ69">
        <v>1.39097000261735E-2</v>
      </c>
      <c r="CK69">
        <v>1.2176413928130301E-2</v>
      </c>
      <c r="CL69">
        <v>1.4187459548848E-2</v>
      </c>
      <c r="CM69">
        <v>1.1964776858572199E-2</v>
      </c>
      <c r="CN69">
        <v>1.19664838505497E-2</v>
      </c>
      <c r="CZ69">
        <v>96</v>
      </c>
      <c r="DA69">
        <v>57.451585020876401</v>
      </c>
      <c r="DB69">
        <v>56.555373588763899</v>
      </c>
      <c r="DC69">
        <v>56.555373435837801</v>
      </c>
      <c r="DD69">
        <v>56.858675611805701</v>
      </c>
      <c r="DE69">
        <v>56.448332703330301</v>
      </c>
      <c r="DF69">
        <v>56.592474353691998</v>
      </c>
      <c r="DG69">
        <v>57.183754008478303</v>
      </c>
      <c r="DH69">
        <v>58.113429669562599</v>
      </c>
      <c r="DI69">
        <v>57.128284576377801</v>
      </c>
      <c r="DJ69">
        <v>58.247350906755102</v>
      </c>
      <c r="DK69">
        <v>58.245921634511603</v>
      </c>
    </row>
    <row r="70" spans="47:115" x14ac:dyDescent="0.25">
      <c r="AU70">
        <v>42</v>
      </c>
      <c r="AV70">
        <v>0.49550702815297298</v>
      </c>
      <c r="AW70">
        <v>0.484616655036751</v>
      </c>
      <c r="AX70">
        <v>0.48461665766878098</v>
      </c>
      <c r="AY70">
        <v>0.48549696605054998</v>
      </c>
      <c r="AZ70">
        <v>0.49122143342049202</v>
      </c>
      <c r="BA70">
        <v>0.51908938486211398</v>
      </c>
      <c r="BB70">
        <v>0.51841912615908703</v>
      </c>
      <c r="BC70">
        <v>0.52967756558310097</v>
      </c>
      <c r="BD70">
        <v>0.51077508277609995</v>
      </c>
      <c r="BE70">
        <v>0.533412394393314</v>
      </c>
      <c r="BF70">
        <v>0.53343482527650798</v>
      </c>
      <c r="CC70">
        <v>48</v>
      </c>
      <c r="CD70">
        <v>1.17977863845946E-2</v>
      </c>
      <c r="CE70">
        <v>1.52131094165034E-2</v>
      </c>
      <c r="CF70">
        <v>1.52131095323491E-2</v>
      </c>
      <c r="CG70">
        <v>1.32553307940548E-2</v>
      </c>
      <c r="CH70">
        <v>1.55511721630645E-2</v>
      </c>
      <c r="CI70">
        <v>1.45281391926959E-2</v>
      </c>
      <c r="CJ70">
        <v>1.35053688289704E-2</v>
      </c>
      <c r="CK70">
        <v>1.13000278106397E-2</v>
      </c>
      <c r="CL70">
        <v>1.3948713115985599E-2</v>
      </c>
      <c r="CM70">
        <v>1.0969715847366199E-2</v>
      </c>
      <c r="CN70">
        <v>1.09713505215104E-2</v>
      </c>
      <c r="CZ70">
        <v>108</v>
      </c>
      <c r="DA70">
        <v>61.0567501410586</v>
      </c>
      <c r="DB70">
        <v>59.244332861874803</v>
      </c>
      <c r="DC70">
        <v>59.244332678688501</v>
      </c>
      <c r="DD70">
        <v>59.854882004830898</v>
      </c>
      <c r="DE70">
        <v>59.154733672587298</v>
      </c>
      <c r="DF70">
        <v>59.883045549457997</v>
      </c>
      <c r="DG70">
        <v>60.6602321535334</v>
      </c>
      <c r="DH70">
        <v>62.244345029301897</v>
      </c>
      <c r="DI70">
        <v>60.457940973072198</v>
      </c>
      <c r="DJ70">
        <v>62.496918401792499</v>
      </c>
      <c r="DK70">
        <v>62.495069304110103</v>
      </c>
    </row>
    <row r="71" spans="47:115" x14ac:dyDescent="0.25">
      <c r="AU71">
        <v>48</v>
      </c>
      <c r="AV71">
        <v>0.56629374646054098</v>
      </c>
      <c r="AW71">
        <v>0.57429657116560695</v>
      </c>
      <c r="AX71">
        <v>0.57429657446672699</v>
      </c>
      <c r="AY71">
        <v>0.56381456644481998</v>
      </c>
      <c r="AZ71">
        <v>0.58323903447068104</v>
      </c>
      <c r="BA71">
        <v>0.60705603389117602</v>
      </c>
      <c r="BB71">
        <v>0.60067125409244304</v>
      </c>
      <c r="BC71">
        <v>0.60005242917499402</v>
      </c>
      <c r="BD71">
        <v>0.59520311224899303</v>
      </c>
      <c r="BE71">
        <v>0.60214607393443798</v>
      </c>
      <c r="BF71">
        <v>0.60217854729884701</v>
      </c>
      <c r="CC71">
        <v>54</v>
      </c>
      <c r="CD71">
        <v>1.17977863845946E-2</v>
      </c>
      <c r="CE71">
        <v>1.5707493651325202E-2</v>
      </c>
      <c r="CF71">
        <v>1.5707493775327E-2</v>
      </c>
      <c r="CG71">
        <v>1.36706736972463E-2</v>
      </c>
      <c r="CH71">
        <v>1.59275614120955E-2</v>
      </c>
      <c r="CI71">
        <v>1.41910625949901E-2</v>
      </c>
      <c r="CJ71">
        <v>1.30971001043054E-2</v>
      </c>
      <c r="CK71">
        <v>1.0527448414875899E-2</v>
      </c>
      <c r="CL71">
        <v>1.36824326333036E-2</v>
      </c>
      <c r="CM71">
        <v>1.01061666644995E-2</v>
      </c>
      <c r="CN71">
        <v>1.0107706955223301E-2</v>
      </c>
      <c r="CZ71">
        <v>120</v>
      </c>
      <c r="DA71">
        <v>64.186002727726205</v>
      </c>
      <c r="DB71">
        <v>61.386479958844497</v>
      </c>
      <c r="DC71">
        <v>61.386479746911199</v>
      </c>
      <c r="DD71">
        <v>62.268111224467702</v>
      </c>
      <c r="DE71">
        <v>61.340002324700599</v>
      </c>
      <c r="DF71">
        <v>62.782033271956699</v>
      </c>
      <c r="DG71">
        <v>63.738052251337599</v>
      </c>
      <c r="DH71">
        <v>66.066777984659197</v>
      </c>
      <c r="DI71">
        <v>63.362320771312604</v>
      </c>
      <c r="DJ71">
        <v>66.460532074562096</v>
      </c>
      <c r="DK71">
        <v>66.458251019655194</v>
      </c>
    </row>
    <row r="72" spans="47:115" x14ac:dyDescent="0.25">
      <c r="AU72">
        <v>54</v>
      </c>
      <c r="AV72">
        <v>0.63708046476810898</v>
      </c>
      <c r="AW72">
        <v>0.66707958484461605</v>
      </c>
      <c r="AX72">
        <v>0.66707958886555896</v>
      </c>
      <c r="AY72">
        <v>0.64458617270466501</v>
      </c>
      <c r="AZ72">
        <v>0.67770415239626103</v>
      </c>
      <c r="BA72">
        <v>0.69324817528106297</v>
      </c>
      <c r="BB72">
        <v>0.68047651155952404</v>
      </c>
      <c r="BC72">
        <v>0.66548583996458699</v>
      </c>
      <c r="BD72">
        <v>0.67810537926294501</v>
      </c>
      <c r="BE72">
        <v>0.66531233827444602</v>
      </c>
      <c r="BF72">
        <v>0.66535434226923196</v>
      </c>
      <c r="CC72">
        <v>60</v>
      </c>
      <c r="CD72">
        <v>1.17977863845946E-2</v>
      </c>
      <c r="CE72">
        <v>1.6163333760087498E-2</v>
      </c>
      <c r="CF72">
        <v>1.6163333891730101E-2</v>
      </c>
      <c r="CG72">
        <v>1.40990309665002E-2</v>
      </c>
      <c r="CH72">
        <v>1.6252374618484899E-2</v>
      </c>
      <c r="CI72">
        <v>1.3800708245342699E-2</v>
      </c>
      <c r="CJ72">
        <v>1.2698029996370101E-2</v>
      </c>
      <c r="CK72">
        <v>9.8463825135097494E-3</v>
      </c>
      <c r="CL72">
        <v>1.34050378099357E-2</v>
      </c>
      <c r="CM72">
        <v>9.3561009659850307E-3</v>
      </c>
      <c r="CN72">
        <v>9.3575415052474693E-3</v>
      </c>
      <c r="CZ72">
        <v>132</v>
      </c>
      <c r="DA72">
        <v>66.902167324408893</v>
      </c>
      <c r="DB72">
        <v>63.081757329323601</v>
      </c>
      <c r="DC72">
        <v>63.0817570907614</v>
      </c>
      <c r="DD72">
        <v>64.185239293202898</v>
      </c>
      <c r="DE72">
        <v>63.099406203464397</v>
      </c>
      <c r="DF72">
        <v>65.356899603840802</v>
      </c>
      <c r="DG72">
        <v>66.478698806144394</v>
      </c>
      <c r="DH72">
        <v>69.625689863930702</v>
      </c>
      <c r="DI72">
        <v>65.908422603432598</v>
      </c>
      <c r="DJ72">
        <v>70.180333517916907</v>
      </c>
      <c r="DK72">
        <v>70.177613272846003</v>
      </c>
    </row>
    <row r="73" spans="47:115" x14ac:dyDescent="0.25">
      <c r="AU73">
        <v>60</v>
      </c>
      <c r="AV73">
        <v>0.70786718307567598</v>
      </c>
      <c r="AW73">
        <v>0.76270955717258804</v>
      </c>
      <c r="AX73">
        <v>0.76270956196070006</v>
      </c>
      <c r="AY73">
        <v>0.72788867871802299</v>
      </c>
      <c r="AZ73">
        <v>0.77426687805468497</v>
      </c>
      <c r="BA73">
        <v>0.77724300096755505</v>
      </c>
      <c r="BB73">
        <v>0.75785528186003304</v>
      </c>
      <c r="BC73">
        <v>0.72656484404028998</v>
      </c>
      <c r="BD73">
        <v>0.75937052063277999</v>
      </c>
      <c r="BE73">
        <v>0.72364698473206901</v>
      </c>
      <c r="BF73">
        <v>0.72369793140669303</v>
      </c>
      <c r="CC73">
        <v>66</v>
      </c>
      <c r="CD73">
        <v>1.17977863845946E-2</v>
      </c>
      <c r="CE73">
        <v>1.6587076948068699E-2</v>
      </c>
      <c r="CF73">
        <v>1.6587077086915002E-2</v>
      </c>
      <c r="CG73">
        <v>1.4540810394324E-2</v>
      </c>
      <c r="CH73">
        <v>1.65359261495222E-2</v>
      </c>
      <c r="CI73">
        <v>1.3382034647760201E-2</v>
      </c>
      <c r="CJ73">
        <v>1.2314500367888699E-2</v>
      </c>
      <c r="CK73">
        <v>9.2440530399107105E-3</v>
      </c>
      <c r="CL73">
        <v>1.3125965797898801E-2</v>
      </c>
      <c r="CM73">
        <v>8.7018503671655693E-3</v>
      </c>
      <c r="CN73">
        <v>8.7031935746547801E-3</v>
      </c>
      <c r="CZ73">
        <v>144</v>
      </c>
      <c r="DA73">
        <v>69.259775096028406</v>
      </c>
      <c r="DB73">
        <v>64.415161271188097</v>
      </c>
      <c r="DC73">
        <v>64.415161008477696</v>
      </c>
      <c r="DD73">
        <v>65.686133375705296</v>
      </c>
      <c r="DE73">
        <v>64.512451501981403</v>
      </c>
      <c r="DF73">
        <v>67.660759127013193</v>
      </c>
      <c r="DG73">
        <v>68.931802221773395</v>
      </c>
      <c r="DH73">
        <v>72.956726017624206</v>
      </c>
      <c r="DI73">
        <v>68.150705968097398</v>
      </c>
      <c r="DJ73">
        <v>73.689465872448295</v>
      </c>
      <c r="DK73">
        <v>73.686302641655502</v>
      </c>
    </row>
    <row r="74" spans="47:115" x14ac:dyDescent="0.25">
      <c r="AU74">
        <v>66</v>
      </c>
      <c r="AV74">
        <v>0.77865390138324397</v>
      </c>
      <c r="AW74">
        <v>0.86097549749283497</v>
      </c>
      <c r="AX74">
        <v>0.86097550309261495</v>
      </c>
      <c r="AY74">
        <v>0.813801387768051</v>
      </c>
      <c r="AZ74">
        <v>0.87265029768597802</v>
      </c>
      <c r="BA74">
        <v>0.85880056858199705</v>
      </c>
      <c r="BB74">
        <v>0.83288417978171603</v>
      </c>
      <c r="BC74">
        <v>0.783799810469199</v>
      </c>
      <c r="BD74">
        <v>0.83896273403460997</v>
      </c>
      <c r="BE74">
        <v>0.77777701834630097</v>
      </c>
      <c r="BF74">
        <v>0.77783631392578001</v>
      </c>
      <c r="CC74">
        <v>72</v>
      </c>
      <c r="CD74">
        <v>1.17977863845946E-2</v>
      </c>
      <c r="CE74">
        <v>1.6983617025910499E-2</v>
      </c>
      <c r="CF74">
        <v>1.6983617171583702E-2</v>
      </c>
      <c r="CG74">
        <v>1.49964325510072E-2</v>
      </c>
      <c r="CH74">
        <v>1.6785875049994899E-2</v>
      </c>
      <c r="CI74">
        <v>1.2951876486775499E-2</v>
      </c>
      <c r="CJ74">
        <v>1.19492739235686E-2</v>
      </c>
      <c r="CK74">
        <v>8.7089347804094504E-3</v>
      </c>
      <c r="CL74">
        <v>1.2850672315697399E-2</v>
      </c>
      <c r="CM74">
        <v>8.1280090549462804E-3</v>
      </c>
      <c r="CN74">
        <v>8.1292607716041097E-3</v>
      </c>
      <c r="CZ74">
        <v>156</v>
      </c>
      <c r="DA74">
        <v>71.306158626048799</v>
      </c>
      <c r="DB74">
        <v>65.457920826918496</v>
      </c>
      <c r="DC74">
        <v>65.457920542705196</v>
      </c>
      <c r="DD74">
        <v>66.843023143614701</v>
      </c>
      <c r="DE74">
        <v>65.644905951293197</v>
      </c>
      <c r="DF74">
        <v>69.735849111486402</v>
      </c>
      <c r="DG74">
        <v>71.137845760020895</v>
      </c>
      <c r="DH74">
        <v>76.088639407627596</v>
      </c>
      <c r="DI74">
        <v>70.133780679858205</v>
      </c>
      <c r="DJ74">
        <v>77.014495714832705</v>
      </c>
      <c r="DK74">
        <v>77.010888141966305</v>
      </c>
    </row>
    <row r="75" spans="47:115" x14ac:dyDescent="0.25">
      <c r="AU75">
        <v>72</v>
      </c>
      <c r="AV75">
        <v>0.84944061969081197</v>
      </c>
      <c r="AW75">
        <v>0.961700145276281</v>
      </c>
      <c r="AX75">
        <v>0.96170015172979595</v>
      </c>
      <c r="AY75">
        <v>0.90240608802918598</v>
      </c>
      <c r="AZ75">
        <v>0.97263090665961804</v>
      </c>
      <c r="BA75">
        <v>0.93780481561299101</v>
      </c>
      <c r="BB75">
        <v>0.90566601473169595</v>
      </c>
      <c r="BC75">
        <v>0.83762778978865704</v>
      </c>
      <c r="BD75">
        <v>0.91688981807971603</v>
      </c>
      <c r="BE75">
        <v>0.82822983538885997</v>
      </c>
      <c r="BF75">
        <v>0.82829691237105996</v>
      </c>
      <c r="CC75">
        <v>78</v>
      </c>
      <c r="CD75">
        <v>1.17977863845946E-2</v>
      </c>
      <c r="CE75">
        <v>1.7356764685856001E-2</v>
      </c>
      <c r="CF75">
        <v>1.7356764838027401E-2</v>
      </c>
      <c r="CG75">
        <v>1.5466331185000201E-2</v>
      </c>
      <c r="CH75">
        <v>1.7008046178903901E-2</v>
      </c>
      <c r="CI75">
        <v>1.2521458048861201E-2</v>
      </c>
      <c r="CJ75">
        <v>1.16031968150563E-2</v>
      </c>
      <c r="CK75">
        <v>8.2311531373463805E-3</v>
      </c>
      <c r="CL75">
        <v>1.25822720760921E-2</v>
      </c>
      <c r="CM75">
        <v>7.6217054232218702E-3</v>
      </c>
      <c r="CN75">
        <v>7.6228727525796697E-3</v>
      </c>
      <c r="CZ75">
        <v>168</v>
      </c>
      <c r="DA75">
        <v>73.082402191001904</v>
      </c>
      <c r="DB75">
        <v>66.268986256359</v>
      </c>
      <c r="DC75">
        <v>66.268985953300202</v>
      </c>
      <c r="DD75">
        <v>67.720120986504995</v>
      </c>
      <c r="DE75">
        <v>66.550797204921693</v>
      </c>
      <c r="DF75">
        <v>71.616099584279297</v>
      </c>
      <c r="DG75">
        <v>73.130169817050998</v>
      </c>
      <c r="DH75">
        <v>79.044972709184705</v>
      </c>
      <c r="DI75">
        <v>71.894458102813203</v>
      </c>
      <c r="DJ75">
        <v>80.177068398189306</v>
      </c>
      <c r="DK75">
        <v>80.173016872081106</v>
      </c>
    </row>
    <row r="76" spans="47:115" x14ac:dyDescent="0.25">
      <c r="AU76">
        <v>78</v>
      </c>
      <c r="AV76">
        <v>0.92022733799837897</v>
      </c>
      <c r="AW76">
        <v>1.06473216820181</v>
      </c>
      <c r="AX76">
        <v>1.06473217554901</v>
      </c>
      <c r="AY76">
        <v>0.99378713042878797</v>
      </c>
      <c r="AZ76">
        <v>1.07402532840867</v>
      </c>
      <c r="BA76">
        <v>1.01422281988341</v>
      </c>
      <c r="BB76">
        <v>0.97631383092135504</v>
      </c>
      <c r="BC76">
        <v>0.88842159442934299</v>
      </c>
      <c r="BD76">
        <v>0.99318467928712595</v>
      </c>
      <c r="BE76">
        <v>0.87544804906112295</v>
      </c>
      <c r="BF76">
        <v>0.87552237951427103</v>
      </c>
      <c r="CC76">
        <v>84</v>
      </c>
      <c r="CD76">
        <v>1.17977863845946E-2</v>
      </c>
      <c r="CE76">
        <v>1.77095506819973E-2</v>
      </c>
      <c r="CF76">
        <v>1.7709550840376901E-2</v>
      </c>
      <c r="CG76">
        <v>1.5950953635839399E-2</v>
      </c>
      <c r="CH76">
        <v>1.7206959295554099E-2</v>
      </c>
      <c r="CI76">
        <v>1.2098131012616999E-2</v>
      </c>
      <c r="CJ76">
        <v>1.12760897520359E-2</v>
      </c>
      <c r="CK76">
        <v>7.80241957686394E-3</v>
      </c>
      <c r="CL76">
        <v>1.23224718617696E-2</v>
      </c>
      <c r="CM76">
        <v>7.1723568088452204E-3</v>
      </c>
      <c r="CN76">
        <v>7.1734470566918703E-3</v>
      </c>
      <c r="CZ76">
        <v>180</v>
      </c>
      <c r="DA76">
        <v>74.624166590616696</v>
      </c>
      <c r="DB76">
        <v>66.896618799396805</v>
      </c>
      <c r="DC76">
        <v>66.896618480052197</v>
      </c>
      <c r="DD76">
        <v>68.373495529972701</v>
      </c>
      <c r="DE76">
        <v>67.274262369282198</v>
      </c>
      <c r="DF76">
        <v>73.329038699330098</v>
      </c>
      <c r="DG76">
        <v>74.936474064630502</v>
      </c>
      <c r="DH76">
        <v>81.8452552768115</v>
      </c>
      <c r="DI76">
        <v>73.463325425835293</v>
      </c>
      <c r="DJ76">
        <v>83.195070695337094</v>
      </c>
      <c r="DK76">
        <v>83.190576859573497</v>
      </c>
    </row>
    <row r="77" spans="47:115" x14ac:dyDescent="0.25">
      <c r="AU77">
        <v>84</v>
      </c>
      <c r="AV77">
        <v>0.99101405630594697</v>
      </c>
      <c r="AW77">
        <v>1.16994063616032</v>
      </c>
      <c r="AX77">
        <v>1.1699406444393099</v>
      </c>
      <c r="AY77">
        <v>1.08803150894852</v>
      </c>
      <c r="AZ77">
        <v>1.1766810074070899</v>
      </c>
      <c r="BA77">
        <v>1.0880766701390201</v>
      </c>
      <c r="BB77">
        <v>1.0449423506628099</v>
      </c>
      <c r="BC77">
        <v>0.93649963141702197</v>
      </c>
      <c r="BD77">
        <v>1.06789433871581</v>
      </c>
      <c r="BE77">
        <v>0.91980408263707603</v>
      </c>
      <c r="BF77">
        <v>0.91988518221473403</v>
      </c>
      <c r="CC77">
        <v>90</v>
      </c>
      <c r="CD77">
        <v>1.17977863845946E-2</v>
      </c>
      <c r="CE77">
        <v>1.8044428849338399E-2</v>
      </c>
      <c r="CF77">
        <v>1.80444290136678E-2</v>
      </c>
      <c r="CG77">
        <v>1.6450761260010899E-2</v>
      </c>
      <c r="CH77">
        <v>1.7386182091619198E-2</v>
      </c>
      <c r="CI77">
        <v>1.1686576956098401E-2</v>
      </c>
      <c r="CJ77">
        <v>1.09672383335837E-2</v>
      </c>
      <c r="CK77">
        <v>7.4158270962491699E-3</v>
      </c>
      <c r="CL77">
        <v>1.20721187636638E-2</v>
      </c>
      <c r="CM77">
        <v>6.7713013996382604E-3</v>
      </c>
      <c r="CN77">
        <v>6.7723215701512903E-3</v>
      </c>
      <c r="CZ77">
        <v>192</v>
      </c>
      <c r="DA77">
        <v>75.962405093289306</v>
      </c>
      <c r="DB77">
        <v>67.3799512010645</v>
      </c>
      <c r="DC77">
        <v>67.379950867821606</v>
      </c>
      <c r="DD77">
        <v>68.851189341503499</v>
      </c>
      <c r="DE77">
        <v>67.851194602829196</v>
      </c>
      <c r="DF77">
        <v>74.897213188578405</v>
      </c>
      <c r="DG77">
        <v>76.579956943986303</v>
      </c>
      <c r="DH77">
        <v>84.505873803025494</v>
      </c>
      <c r="DI77">
        <v>74.865963072347199</v>
      </c>
      <c r="DJ77">
        <v>86.083467087963399</v>
      </c>
      <c r="DK77">
        <v>86.078533489312505</v>
      </c>
    </row>
    <row r="78" spans="47:115" x14ac:dyDescent="0.25">
      <c r="AU78">
        <v>90</v>
      </c>
      <c r="AV78">
        <v>1.0618007746135101</v>
      </c>
      <c r="AW78">
        <v>1.2772109895202</v>
      </c>
      <c r="AX78">
        <v>1.27721099876745</v>
      </c>
      <c r="AY78">
        <v>1.1852289434418899</v>
      </c>
      <c r="AZ78">
        <v>1.28046950606085</v>
      </c>
      <c r="BA78">
        <v>1.15942405847807</v>
      </c>
      <c r="BB78">
        <v>1.1116634357092201</v>
      </c>
      <c r="BC78">
        <v>0.98213483461935402</v>
      </c>
      <c r="BD78">
        <v>1.1410732701614601</v>
      </c>
      <c r="BE78">
        <v>0.96161281331535997</v>
      </c>
      <c r="BF78">
        <v>0.96170024076459604</v>
      </c>
      <c r="CC78">
        <v>96</v>
      </c>
      <c r="CD78">
        <v>1.17977863845946E-2</v>
      </c>
      <c r="CE78">
        <v>1.8363416448585301E-2</v>
      </c>
      <c r="CF78">
        <v>1.8363416618632802E-2</v>
      </c>
      <c r="CG78">
        <v>1.69662298701574E-2</v>
      </c>
      <c r="CH78">
        <v>1.7548572787235501E-2</v>
      </c>
      <c r="CI78">
        <v>1.1289640474904199E-2</v>
      </c>
      <c r="CJ78">
        <v>1.06756675468866E-2</v>
      </c>
      <c r="CK78">
        <v>7.0656249724267099E-3</v>
      </c>
      <c r="CL78">
        <v>1.1831530925647E-2</v>
      </c>
      <c r="CM78">
        <v>6.41144194295277E-3</v>
      </c>
      <c r="CN78">
        <v>6.4123985196055701E-3</v>
      </c>
      <c r="CZ78">
        <v>204</v>
      </c>
      <c r="DA78">
        <v>77.123984870606193</v>
      </c>
      <c r="DB78">
        <v>67.750442093758807</v>
      </c>
      <c r="DC78">
        <v>67.7504417487891</v>
      </c>
      <c r="DD78">
        <v>69.193558588925399</v>
      </c>
      <c r="DE78">
        <v>68.310672163264201</v>
      </c>
      <c r="DF78">
        <v>76.339255642505705</v>
      </c>
      <c r="DG78">
        <v>78.080190136310407</v>
      </c>
      <c r="DH78">
        <v>87.040718036818802</v>
      </c>
      <c r="DI78">
        <v>76.123893721416295</v>
      </c>
      <c r="DJ78">
        <v>88.854914054598396</v>
      </c>
      <c r="DK78">
        <v>88.849543887802696</v>
      </c>
    </row>
    <row r="79" spans="47:115" x14ac:dyDescent="0.25">
      <c r="AU79">
        <v>96</v>
      </c>
      <c r="AV79">
        <v>1.13258749292108</v>
      </c>
      <c r="AW79">
        <v>1.38644202346539</v>
      </c>
      <c r="AX79">
        <v>1.38644203371587</v>
      </c>
      <c r="AY79">
        <v>1.2854719650467701</v>
      </c>
      <c r="AZ79">
        <v>1.3852815638371601</v>
      </c>
      <c r="BA79">
        <v>1.22834491131919</v>
      </c>
      <c r="BB79">
        <v>1.1765837784674</v>
      </c>
      <c r="BC79">
        <v>1.0255622741189601</v>
      </c>
      <c r="BD79">
        <v>1.2127793154954001</v>
      </c>
      <c r="BE79">
        <v>1.0011420078292901</v>
      </c>
      <c r="BF79">
        <v>1.0012353624244199</v>
      </c>
      <c r="CC79">
        <v>102</v>
      </c>
      <c r="CD79">
        <v>1.17977863845946E-2</v>
      </c>
      <c r="CE79">
        <v>1.8668193848883002E-2</v>
      </c>
      <c r="CF79">
        <v>1.8668194024439099E-2</v>
      </c>
      <c r="CG79">
        <v>1.7497850188048399E-2</v>
      </c>
      <c r="CH79">
        <v>1.7696451086594601E-2</v>
      </c>
      <c r="CI79">
        <v>1.0908907265668301E-2</v>
      </c>
      <c r="CJ79">
        <v>1.0400296622961E-2</v>
      </c>
      <c r="CK79">
        <v>6.7470138876160003E-3</v>
      </c>
      <c r="CL79">
        <v>1.16007013645725E-2</v>
      </c>
      <c r="CM79">
        <v>6.08694069247037E-3</v>
      </c>
      <c r="CN79">
        <v>6.0878395644427697E-3</v>
      </c>
      <c r="CZ79">
        <v>216</v>
      </c>
      <c r="DA79">
        <v>78.132226397174804</v>
      </c>
      <c r="DB79">
        <v>68.033183870744196</v>
      </c>
      <c r="DC79">
        <v>68.033183515981094</v>
      </c>
      <c r="DD79">
        <v>69.433800924274493</v>
      </c>
      <c r="DE79">
        <v>68.676176669344699</v>
      </c>
      <c r="DF79">
        <v>77.670693613695803</v>
      </c>
      <c r="DG79">
        <v>79.453797016548407</v>
      </c>
      <c r="DH79">
        <v>89.461668005797407</v>
      </c>
      <c r="DI79">
        <v>77.255328066778006</v>
      </c>
      <c r="DJ79">
        <v>91.520219737821606</v>
      </c>
      <c r="DK79">
        <v>91.5144166583394</v>
      </c>
    </row>
    <row r="80" spans="47:115" x14ac:dyDescent="0.25">
      <c r="AU80">
        <v>102</v>
      </c>
      <c r="AV80">
        <v>1.2033742112286501</v>
      </c>
      <c r="AW80">
        <v>1.4975435839882101</v>
      </c>
      <c r="AX80">
        <v>1.4975435952756</v>
      </c>
      <c r="AY80">
        <v>1.3888560042742999</v>
      </c>
      <c r="AZ80">
        <v>1.4910233821541199</v>
      </c>
      <c r="BA80">
        <v>1.29493220691413</v>
      </c>
      <c r="BB80">
        <v>1.23980384695041</v>
      </c>
      <c r="BC80">
        <v>1.06698546475849</v>
      </c>
      <c r="BD80">
        <v>1.28307117062724</v>
      </c>
      <c r="BE80">
        <v>1.03862076605547</v>
      </c>
      <c r="BF80">
        <v>1.03871968420266</v>
      </c>
      <c r="CC80">
        <v>108</v>
      </c>
      <c r="CD80">
        <v>1.17977863845946E-2</v>
      </c>
      <c r="CE80">
        <v>1.8960177001677798E-2</v>
      </c>
      <c r="CF80">
        <v>1.8960177182551999E-2</v>
      </c>
      <c r="CG80">
        <v>1.80461283117429E-2</v>
      </c>
      <c r="CH80">
        <v>1.7831721303578501E-2</v>
      </c>
      <c r="CI80">
        <v>1.05451058807607E-2</v>
      </c>
      <c r="CJ80">
        <v>1.01400260532195E-2</v>
      </c>
      <c r="CK80">
        <v>6.4559724010329099E-3</v>
      </c>
      <c r="CL80">
        <v>1.1379425680584599E-2</v>
      </c>
      <c r="CM80">
        <v>5.7929707304786703E-3</v>
      </c>
      <c r="CN80">
        <v>5.7938171919791103E-3</v>
      </c>
      <c r="CZ80">
        <v>228</v>
      </c>
      <c r="DA80">
        <v>79.007371645046902</v>
      </c>
      <c r="DB80">
        <v>68.2480480164445</v>
      </c>
      <c r="DC80">
        <v>68.248047653579903</v>
      </c>
      <c r="DD80">
        <v>69.59862906139</v>
      </c>
      <c r="DE80">
        <v>68.966618090758502</v>
      </c>
      <c r="DF80">
        <v>78.904568741259695</v>
      </c>
      <c r="DG80">
        <v>80.714984426691899</v>
      </c>
      <c r="DH80">
        <v>91.778967351735105</v>
      </c>
      <c r="DI80">
        <v>78.275755438451398</v>
      </c>
      <c r="DJ80">
        <v>94.088693634574497</v>
      </c>
      <c r="DK80">
        <v>94.082461619925596</v>
      </c>
    </row>
    <row r="81" spans="47:115" x14ac:dyDescent="0.25">
      <c r="AU81">
        <v>108</v>
      </c>
      <c r="AV81">
        <v>1.27416092953622</v>
      </c>
      <c r="AW81">
        <v>1.61043477509762</v>
      </c>
      <c r="AX81">
        <v>1.6104347874544001</v>
      </c>
      <c r="AY81">
        <v>1.49547948185788</v>
      </c>
      <c r="AZ81">
        <v>1.5976137822005401</v>
      </c>
      <c r="BA81">
        <v>1.3592857000004599</v>
      </c>
      <c r="BB81">
        <v>1.30141753653396</v>
      </c>
      <c r="BC81">
        <v>1.1065815378199</v>
      </c>
      <c r="BD81">
        <v>1.3520068471609601</v>
      </c>
      <c r="BE81">
        <v>1.0742463048853901</v>
      </c>
      <c r="BF81">
        <v>1.07435045653018</v>
      </c>
      <c r="CC81">
        <v>114</v>
      </c>
      <c r="CD81">
        <v>1.17977863845946E-2</v>
      </c>
      <c r="CE81">
        <v>1.9240571214775799E-2</v>
      </c>
      <c r="CF81">
        <v>1.9240571400794101E-2</v>
      </c>
      <c r="CG81">
        <v>1.86115861973906E-2</v>
      </c>
      <c r="CH81">
        <v>1.7955962747496199E-2</v>
      </c>
      <c r="CI81">
        <v>1.0198387303753401E-2</v>
      </c>
      <c r="CJ81">
        <v>9.8937854938402799E-3</v>
      </c>
      <c r="CK81">
        <v>6.1891145171111004E-3</v>
      </c>
      <c r="CL81">
        <v>1.1167383066077599E-2</v>
      </c>
      <c r="CM81">
        <v>5.5255175143301798E-3</v>
      </c>
      <c r="CN81">
        <v>5.52631629862193E-3</v>
      </c>
      <c r="CZ81">
        <v>240</v>
      </c>
      <c r="DA81">
        <v>79.766990472460805</v>
      </c>
      <c r="DB81">
        <v>68.410667481756704</v>
      </c>
      <c r="DC81">
        <v>68.410667112248106</v>
      </c>
      <c r="DD81">
        <v>69.709042221117699</v>
      </c>
      <c r="DE81">
        <v>69.197188507428805</v>
      </c>
      <c r="DF81">
        <v>80.051914950188603</v>
      </c>
      <c r="DG81">
        <v>81.875963458160101</v>
      </c>
      <c r="DH81">
        <v>94.0015133832392</v>
      </c>
      <c r="DI81">
        <v>79.198415069356599</v>
      </c>
      <c r="DJ81">
        <v>96.568416580220401</v>
      </c>
      <c r="DK81">
        <v>96.561759826554393</v>
      </c>
    </row>
    <row r="82" spans="47:115" x14ac:dyDescent="0.25">
      <c r="AU82">
        <v>114</v>
      </c>
      <c r="AV82">
        <v>1.3449476478437901</v>
      </c>
      <c r="AW82">
        <v>1.7250425413903401</v>
      </c>
      <c r="AX82">
        <v>1.7250425548478701</v>
      </c>
      <c r="AY82">
        <v>1.60544390244891</v>
      </c>
      <c r="AZ82">
        <v>1.7049819972920299</v>
      </c>
      <c r="BA82">
        <v>1.4215076681644401</v>
      </c>
      <c r="BB82">
        <v>1.3615122158898501</v>
      </c>
      <c r="BC82">
        <v>1.14450546627593</v>
      </c>
      <c r="BD82">
        <v>1.41964274909824</v>
      </c>
      <c r="BE82">
        <v>1.1081894048840699</v>
      </c>
      <c r="BF82">
        <v>1.1082984900324799</v>
      </c>
      <c r="CC82">
        <v>120</v>
      </c>
      <c r="CD82">
        <v>1.17977863845946E-2</v>
      </c>
      <c r="CE82">
        <v>1.9510411771046399E-2</v>
      </c>
      <c r="CF82">
        <v>1.9510411962049098E-2</v>
      </c>
      <c r="CG82">
        <v>1.9194762156129402E-2</v>
      </c>
      <c r="CH82">
        <v>1.8070497202667801E-2</v>
      </c>
      <c r="CI82">
        <v>9.86851963644143E-3</v>
      </c>
      <c r="CJ82">
        <v>9.6605588799479909E-3</v>
      </c>
      <c r="CK82">
        <v>5.9435744127342904E-3</v>
      </c>
      <c r="CL82">
        <v>1.0964188096289001E-2</v>
      </c>
      <c r="CM82">
        <v>5.2812218369406201E-3</v>
      </c>
      <c r="CN82">
        <v>5.2819771649420403E-3</v>
      </c>
    </row>
    <row r="83" spans="47:115" x14ac:dyDescent="0.25">
      <c r="AU83">
        <v>120</v>
      </c>
      <c r="AV83">
        <v>1.41573436615135</v>
      </c>
      <c r="AW83">
        <v>1.8413005315642399</v>
      </c>
      <c r="AX83">
        <v>1.8413005461529099</v>
      </c>
      <c r="AY83">
        <v>1.71885395124838</v>
      </c>
      <c r="AZ83">
        <v>1.81306593485946</v>
      </c>
      <c r="BA83">
        <v>1.4817000656331401</v>
      </c>
      <c r="BB83">
        <v>1.4201689858878399</v>
      </c>
      <c r="BC83">
        <v>1.1808935192352501</v>
      </c>
      <c r="BD83">
        <v>1.48603314124486</v>
      </c>
      <c r="BE83">
        <v>1.14059879491861</v>
      </c>
      <c r="BF83">
        <v>1.1407125404131899</v>
      </c>
      <c r="CC83">
        <v>126</v>
      </c>
      <c r="CD83">
        <v>1.17977863845946E-2</v>
      </c>
      <c r="CE83">
        <v>1.9770595099888801E-2</v>
      </c>
      <c r="CF83">
        <v>1.97705952957281E-2</v>
      </c>
      <c r="CG83">
        <v>1.9796211366553799E-2</v>
      </c>
      <c r="CH83">
        <v>1.8176440068948599E-2</v>
      </c>
      <c r="CI83">
        <v>9.5550236319807205E-3</v>
      </c>
      <c r="CJ83">
        <v>9.4393962094890902E-3</v>
      </c>
      <c r="CK83">
        <v>5.7169136491571296E-3</v>
      </c>
      <c r="CL83">
        <v>1.0769423940524801E-2</v>
      </c>
      <c r="CM83">
        <v>5.05725579223974E-3</v>
      </c>
      <c r="CN83">
        <v>5.05797142521706E-3</v>
      </c>
    </row>
    <row r="84" spans="47:115" x14ac:dyDescent="0.25">
      <c r="AU84">
        <v>126</v>
      </c>
      <c r="AV84">
        <v>1.4865210844589201</v>
      </c>
      <c r="AW84">
        <v>1.9591481757873099</v>
      </c>
      <c r="AX84">
        <v>1.95914819153658</v>
      </c>
      <c r="AY84">
        <v>1.83581759366623</v>
      </c>
      <c r="AZ84">
        <v>1.92181079161807</v>
      </c>
      <c r="BA84">
        <v>1.53996265711249</v>
      </c>
      <c r="BB84">
        <v>1.47746304562998</v>
      </c>
      <c r="BC84">
        <v>1.2158660945077699</v>
      </c>
      <c r="BD84">
        <v>1.5512298684994199</v>
      </c>
      <c r="BE84">
        <v>1.17160469747368</v>
      </c>
      <c r="BF84">
        <v>1.17172285407718</v>
      </c>
      <c r="CC84">
        <v>132</v>
      </c>
      <c r="CD84">
        <v>1.17977863845946E-2</v>
      </c>
      <c r="CE84">
        <v>2.0021903039209501E-2</v>
      </c>
      <c r="CF84">
        <v>2.0021903239748999E-2</v>
      </c>
      <c r="CG84">
        <v>2.0416506403239301E-2</v>
      </c>
      <c r="CH84">
        <v>1.8274739644845699E-2</v>
      </c>
      <c r="CI84">
        <v>9.2572668855817192E-3</v>
      </c>
      <c r="CJ84">
        <v>9.2294175661787898E-3</v>
      </c>
      <c r="CK84">
        <v>5.5070465381509897E-3</v>
      </c>
      <c r="CL84">
        <v>1.0582663601201499E-2</v>
      </c>
      <c r="CM84">
        <v>4.8512246427900698E-3</v>
      </c>
      <c r="CN84">
        <v>4.8519039338549702E-3</v>
      </c>
    </row>
    <row r="85" spans="47:115" x14ac:dyDescent="0.25">
      <c r="AU85">
        <v>132</v>
      </c>
      <c r="AV85">
        <v>1.5573078027664899</v>
      </c>
      <c r="AW85">
        <v>2.0785299283179302</v>
      </c>
      <c r="AX85">
        <v>2.0785299452564101</v>
      </c>
      <c r="AY85">
        <v>1.95644617810361</v>
      </c>
      <c r="AZ85">
        <v>2.0311679381587999</v>
      </c>
      <c r="BA85">
        <v>1.59639183343724</v>
      </c>
      <c r="BB85">
        <v>1.53346410379314</v>
      </c>
      <c r="BC85">
        <v>1.24953005091389</v>
      </c>
      <c r="BD85">
        <v>1.6152822359061101</v>
      </c>
      <c r="BE85">
        <v>1.2013217106569301</v>
      </c>
      <c r="BF85">
        <v>1.2014440504502599</v>
      </c>
      <c r="CC85">
        <v>138</v>
      </c>
      <c r="CD85">
        <v>1.17977863845946E-2</v>
      </c>
      <c r="CE85">
        <v>2.0265021960666599E-2</v>
      </c>
      <c r="CF85">
        <v>2.0265022165779498E-2</v>
      </c>
      <c r="CG85">
        <v>2.1056237781829499E-2</v>
      </c>
      <c r="CH85">
        <v>1.83662076714028E-2</v>
      </c>
      <c r="CI85">
        <v>8.9745290530436096E-3</v>
      </c>
      <c r="CJ85">
        <v>9.0298126983430899E-3</v>
      </c>
      <c r="CK85">
        <v>5.3121799963651902E-3</v>
      </c>
      <c r="CL85">
        <v>1.04034833572164E-2</v>
      </c>
      <c r="CM85">
        <v>4.6610888936153396E-3</v>
      </c>
      <c r="CN85">
        <v>4.6617348355456204E-3</v>
      </c>
    </row>
    <row r="86" spans="47:115" x14ac:dyDescent="0.25">
      <c r="AU86">
        <v>138</v>
      </c>
      <c r="AV86">
        <v>1.6280945210740601</v>
      </c>
      <c r="AW86">
        <v>2.1993946395466302</v>
      </c>
      <c r="AX86">
        <v>2.1993946577021202</v>
      </c>
      <c r="AY86">
        <v>2.0808545419555098</v>
      </c>
      <c r="AZ86">
        <v>2.14109401172183</v>
      </c>
      <c r="BA86">
        <v>1.65107990032702</v>
      </c>
      <c r="BB86">
        <v>1.58823679951306</v>
      </c>
      <c r="BC86">
        <v>1.2819806379113301</v>
      </c>
      <c r="BD86">
        <v>1.6782369911047901</v>
      </c>
      <c r="BE86">
        <v>1.2298511645467201</v>
      </c>
      <c r="BF86">
        <v>1.2299774786256801</v>
      </c>
      <c r="CC86">
        <v>144</v>
      </c>
      <c r="CD86">
        <v>1.17977863845946E-2</v>
      </c>
      <c r="CE86">
        <v>2.05005580195032E-2</v>
      </c>
      <c r="CF86">
        <v>2.05005582290709E-2</v>
      </c>
      <c r="CG86">
        <v>2.17160145212014E-2</v>
      </c>
      <c r="CH86">
        <v>1.8451543344387301E-2</v>
      </c>
      <c r="CI86">
        <v>8.7060467205986192E-3</v>
      </c>
      <c r="CJ86">
        <v>8.8398381429589095E-3</v>
      </c>
      <c r="CK86">
        <v>5.13076490971184E-3</v>
      </c>
      <c r="CL86">
        <v>1.02314710924484E-2</v>
      </c>
      <c r="CM86">
        <v>4.4851021143286398E-3</v>
      </c>
      <c r="CN86">
        <v>4.4857173827329896E-3</v>
      </c>
    </row>
    <row r="87" spans="47:115" x14ac:dyDescent="0.25">
      <c r="AU87">
        <v>144</v>
      </c>
      <c r="AV87">
        <v>1.6988812393816199</v>
      </c>
      <c r="AW87">
        <v>2.3216950306313402</v>
      </c>
      <c r="AX87">
        <v>2.3216950500309301</v>
      </c>
      <c r="AY87">
        <v>2.2091611209350699</v>
      </c>
      <c r="AZ87">
        <v>2.2515501717106199</v>
      </c>
      <c r="BA87">
        <v>1.70411469382973</v>
      </c>
      <c r="BB87">
        <v>1.64184111261729</v>
      </c>
      <c r="BC87">
        <v>1.3133031002062401</v>
      </c>
      <c r="BD87">
        <v>1.74013837102979</v>
      </c>
      <c r="BE87">
        <v>1.25728305918353</v>
      </c>
      <c r="BF87">
        <v>1.25741315562869</v>
      </c>
      <c r="CC87">
        <v>150</v>
      </c>
      <c r="CD87">
        <v>1.17977863845946E-2</v>
      </c>
      <c r="CE87">
        <v>2.07290494414024E-2</v>
      </c>
      <c r="CF87">
        <v>2.07290496553145E-2</v>
      </c>
      <c r="CG87">
        <v>2.23964647232462E-2</v>
      </c>
      <c r="CH87">
        <v>1.8531352382351401E-2</v>
      </c>
      <c r="CI87">
        <v>8.4510439605188399E-3</v>
      </c>
      <c r="CJ87">
        <v>8.6588130903088294E-3</v>
      </c>
      <c r="CK87">
        <v>4.9614566367471797E-3</v>
      </c>
      <c r="CL87">
        <v>1.00662312529336E-2</v>
      </c>
      <c r="CM87">
        <v>4.32176105937723E-3</v>
      </c>
      <c r="CN87">
        <v>4.3223480510158202E-3</v>
      </c>
    </row>
    <row r="88" spans="47:115" x14ac:dyDescent="0.25">
      <c r="AU88">
        <v>150</v>
      </c>
      <c r="AV88">
        <v>1.7696679576891901</v>
      </c>
      <c r="AW88">
        <v>2.4453872503550702</v>
      </c>
      <c r="AX88">
        <v>2.4453872710251598</v>
      </c>
      <c r="AY88">
        <v>2.34148806182335</v>
      </c>
      <c r="AZ88">
        <v>2.3625014837744498</v>
      </c>
      <c r="BA88">
        <v>1.7555794195326599</v>
      </c>
      <c r="BB88">
        <v>1.69433275236836</v>
      </c>
      <c r="BC88">
        <v>1.34357401901788</v>
      </c>
      <c r="BD88">
        <v>1.80102818776705</v>
      </c>
      <c r="BE88">
        <v>1.2836976678974099</v>
      </c>
      <c r="BF88">
        <v>1.2838313699885</v>
      </c>
      <c r="CC88">
        <v>156</v>
      </c>
      <c r="CD88">
        <v>1.17977863845946E-2</v>
      </c>
      <c r="CE88">
        <v>2.0950976516392598E-2</v>
      </c>
      <c r="CF88">
        <v>2.0950976734545199E-2</v>
      </c>
      <c r="CG88">
        <v>2.30982361708174E-2</v>
      </c>
      <c r="CH88">
        <v>1.8606162308690801E-2</v>
      </c>
      <c r="CI88">
        <v>8.2087528109012695E-3</v>
      </c>
      <c r="CJ88">
        <v>8.4861147043753596E-3</v>
      </c>
      <c r="CK88">
        <v>4.8030827814741399E-3</v>
      </c>
      <c r="CL88">
        <v>9.9073875793650699E-3</v>
      </c>
      <c r="CM88">
        <v>4.1697654272089303E-3</v>
      </c>
      <c r="CN88">
        <v>4.1703262936777603E-3</v>
      </c>
    </row>
    <row r="89" spans="47:115" x14ac:dyDescent="0.25">
      <c r="AU89">
        <v>156</v>
      </c>
      <c r="AV89">
        <v>1.8404546759967599</v>
      </c>
      <c r="AW89">
        <v>2.5704304985389199</v>
      </c>
      <c r="AX89">
        <v>2.57043052050525</v>
      </c>
      <c r="AY89">
        <v>2.47796133875205</v>
      </c>
      <c r="AZ89">
        <v>2.4739164064471399</v>
      </c>
      <c r="BA89">
        <v>1.8055526431143201</v>
      </c>
      <c r="BB89">
        <v>1.74576351949072</v>
      </c>
      <c r="BC89">
        <v>1.3728624389979101</v>
      </c>
      <c r="BD89">
        <v>1.8609459370185999</v>
      </c>
      <c r="BE89">
        <v>1.3091668714360101</v>
      </c>
      <c r="BF89">
        <v>1.3093040160820699</v>
      </c>
      <c r="CC89">
        <v>162</v>
      </c>
      <c r="CD89">
        <v>1.17977863845946E-2</v>
      </c>
      <c r="CE89">
        <v>2.1166769798595299E-2</v>
      </c>
      <c r="CF89">
        <v>2.1166770020891099E-2</v>
      </c>
      <c r="CG89">
        <v>2.38219969444145E-2</v>
      </c>
      <c r="CH89">
        <v>1.8676434803619999E-2</v>
      </c>
      <c r="CI89">
        <v>7.9784266668722192E-3</v>
      </c>
      <c r="CJ89">
        <v>8.3211733210678193E-3</v>
      </c>
      <c r="CK89">
        <v>4.6546167669305099E-3</v>
      </c>
      <c r="CL89">
        <v>9.7545843759607904E-3</v>
      </c>
      <c r="CM89">
        <v>4.0279852091301997E-3</v>
      </c>
      <c r="CN89">
        <v>4.0285218862988097E-3</v>
      </c>
    </row>
    <row r="90" spans="47:115" x14ac:dyDescent="0.25">
      <c r="AU90">
        <v>162</v>
      </c>
      <c r="AV90">
        <v>1.91124139430433</v>
      </c>
      <c r="AW90">
        <v>2.6967867038209299</v>
      </c>
      <c r="AX90">
        <v>2.6967867271086501</v>
      </c>
      <c r="AY90">
        <v>2.6187108731298001</v>
      </c>
      <c r="AZ90">
        <v>2.5857663603204601</v>
      </c>
      <c r="BA90">
        <v>1.8541083812627901</v>
      </c>
      <c r="BB90">
        <v>1.7961816395954999</v>
      </c>
      <c r="BC90">
        <v>1.4012308198371399</v>
      </c>
      <c r="BD90">
        <v>1.91992891826319</v>
      </c>
      <c r="BE90">
        <v>1.33375527431313</v>
      </c>
      <c r="BF90">
        <v>1.3338957106718701</v>
      </c>
      <c r="CC90">
        <v>168</v>
      </c>
      <c r="CD90">
        <v>1.17977863845946E-2</v>
      </c>
      <c r="CE90">
        <v>2.1376816887812199E-2</v>
      </c>
      <c r="CF90">
        <v>2.1376817114159199E-2</v>
      </c>
      <c r="CG90">
        <v>2.45684360581899E-2</v>
      </c>
      <c r="CH90">
        <v>1.8742575766237699E-2</v>
      </c>
      <c r="CI90">
        <v>7.7593486950977598E-3</v>
      </c>
      <c r="CJ90">
        <v>8.1634677666979592E-3</v>
      </c>
      <c r="CK90">
        <v>4.5151560562711997E-3</v>
      </c>
      <c r="CL90">
        <v>9.6074868244625904E-3</v>
      </c>
      <c r="CM90">
        <v>3.8954340451877499E-3</v>
      </c>
      <c r="CN90">
        <v>3.8959482788432499E-3</v>
      </c>
    </row>
    <row r="91" spans="47:115" x14ac:dyDescent="0.25">
      <c r="AU91">
        <v>168</v>
      </c>
      <c r="AV91">
        <v>1.9820281126118899</v>
      </c>
      <c r="AW91">
        <v>2.8244202462158698</v>
      </c>
      <c r="AX91">
        <v>2.8244202708495698</v>
      </c>
      <c r="AY91">
        <v>2.7638706573262399</v>
      </c>
      <c r="AZ91">
        <v>2.6980253641829899</v>
      </c>
      <c r="BA91">
        <v>1.9013162571287301</v>
      </c>
      <c r="BB91">
        <v>1.8456320680665601</v>
      </c>
      <c r="BC91">
        <v>1.4287358437658999</v>
      </c>
      <c r="BD91">
        <v>1.9780123594590899</v>
      </c>
      <c r="BE91">
        <v>1.3575211439649699</v>
      </c>
      <c r="BF91">
        <v>1.35766473222714</v>
      </c>
      <c r="CC91">
        <v>174</v>
      </c>
      <c r="CD91">
        <v>1.17977863845946E-2</v>
      </c>
      <c r="CE91">
        <v>2.1581468079647802E-2</v>
      </c>
      <c r="CF91">
        <v>2.1581468309959301E-2</v>
      </c>
      <c r="CG91">
        <v>2.5338264115884301E-2</v>
      </c>
      <c r="CH91">
        <v>1.8804943570786301E-2</v>
      </c>
      <c r="CI91">
        <v>7.5508367684599398E-3</v>
      </c>
      <c r="CJ91">
        <v>8.0125209288389506E-3</v>
      </c>
      <c r="CK91">
        <v>4.3839041141123403E-3</v>
      </c>
      <c r="CL91">
        <v>9.4657806851230694E-3</v>
      </c>
      <c r="CM91">
        <v>3.7712473603045702E-3</v>
      </c>
      <c r="CN91">
        <v>3.77174072845887E-3</v>
      </c>
    </row>
    <row r="92" spans="47:115" x14ac:dyDescent="0.25">
      <c r="AU92">
        <v>174</v>
      </c>
      <c r="AV92">
        <v>2.05281483091946</v>
      </c>
      <c r="AW92">
        <v>2.95329771684507</v>
      </c>
      <c r="AX92">
        <v>2.9532977428487799</v>
      </c>
      <c r="AY92">
        <v>2.9135788822316799</v>
      </c>
      <c r="AZ92">
        <v>2.8106697259037601</v>
      </c>
      <c r="BA92">
        <v>1.94724169519971</v>
      </c>
      <c r="BB92">
        <v>1.8941567675683599</v>
      </c>
      <c r="BC92">
        <v>1.4554291040029399</v>
      </c>
      <c r="BD92">
        <v>2.0352295416528499</v>
      </c>
      <c r="BE92">
        <v>1.3805172049213199</v>
      </c>
      <c r="BF92">
        <v>1.3806638152386701</v>
      </c>
      <c r="CC92">
        <v>180</v>
      </c>
      <c r="CD92">
        <v>1.17977863845946E-2</v>
      </c>
      <c r="CE92">
        <v>2.1781041105101501E-2</v>
      </c>
      <c r="CF92">
        <v>2.1781041339295499E-2</v>
      </c>
      <c r="CG92">
        <v>2.6132213987316001E-2</v>
      </c>
      <c r="CH92">
        <v>1.8863855886921799E-2</v>
      </c>
      <c r="CI92">
        <v>7.3522459838659803E-3</v>
      </c>
      <c r="CJ92">
        <v>7.8678956442915192E-3</v>
      </c>
      <c r="CK92">
        <v>4.2601553923103698E-3</v>
      </c>
      <c r="CL92">
        <v>9.3291716150623195E-3</v>
      </c>
      <c r="CM92">
        <v>3.6546643255124002E-3</v>
      </c>
      <c r="CN92">
        <v>3.65513825780127E-3</v>
      </c>
    </row>
    <row r="93" spans="47:115" x14ac:dyDescent="0.25">
      <c r="AU93">
        <v>180</v>
      </c>
      <c r="AV93">
        <v>2.1236015492270299</v>
      </c>
      <c r="AW93">
        <v>3.0833877087383699</v>
      </c>
      <c r="AX93">
        <v>3.0833877361356401</v>
      </c>
      <c r="AY93">
        <v>3.0679780688135798</v>
      </c>
      <c r="AZ93">
        <v>2.92367777838396</v>
      </c>
      <c r="BA93">
        <v>1.9919461380868899</v>
      </c>
      <c r="BB93">
        <v>1.9417949599100901</v>
      </c>
      <c r="BC93">
        <v>1.48135769436308</v>
      </c>
      <c r="BD93">
        <v>2.09161192055232</v>
      </c>
      <c r="BE93">
        <v>1.4027913136894099</v>
      </c>
      <c r="BF93">
        <v>1.4029408252275799</v>
      </c>
      <c r="CC93">
        <v>186</v>
      </c>
      <c r="CD93">
        <v>1.17977863845946E-2</v>
      </c>
      <c r="CE93">
        <v>2.1975825131556801E-2</v>
      </c>
      <c r="CF93">
        <v>2.1975825369555502E-2</v>
      </c>
      <c r="CG93">
        <v>2.69510415060666E-2</v>
      </c>
      <c r="CH93">
        <v>1.8919595349181799E-2</v>
      </c>
      <c r="CI93">
        <v>7.1629695188731501E-3</v>
      </c>
      <c r="CJ93">
        <v>7.7291909281212001E-3</v>
      </c>
      <c r="CK93">
        <v>4.1432827732245997E-3</v>
      </c>
      <c r="CL93">
        <v>9.1973842592953103E-3</v>
      </c>
      <c r="CM93">
        <v>3.5450128969006802E-3</v>
      </c>
      <c r="CN93">
        <v>3.54546869146289E-3</v>
      </c>
    </row>
    <row r="94" spans="47:115" x14ac:dyDescent="0.25">
      <c r="AU94">
        <v>186</v>
      </c>
      <c r="AV94">
        <v>2.1943882675345998</v>
      </c>
      <c r="AW94">
        <v>3.21466063378212</v>
      </c>
      <c r="AX94">
        <v>3.2146606625960099</v>
      </c>
      <c r="AY94">
        <v>3.2272152037953998</v>
      </c>
      <c r="AZ94">
        <v>3.0370296528527598</v>
      </c>
      <c r="BA94">
        <v>2.0354872731186502</v>
      </c>
      <c r="BB94">
        <v>1.9885833542560001</v>
      </c>
      <c r="BC94">
        <v>1.5065647164037299</v>
      </c>
      <c r="BD94">
        <v>2.1471892432647199</v>
      </c>
      <c r="BE94">
        <v>1.4243870349682</v>
      </c>
      <c r="BF94">
        <v>1.42453933506831</v>
      </c>
      <c r="CC94">
        <v>192</v>
      </c>
      <c r="CD94">
        <v>1.17977863845946E-2</v>
      </c>
      <c r="CE94">
        <v>2.2166084160175601E-2</v>
      </c>
      <c r="CF94">
        <v>2.21660844019053E-2</v>
      </c>
      <c r="CG94">
        <v>2.7795526189027999E-2</v>
      </c>
      <c r="CH94">
        <v>1.8972414297503001E-2</v>
      </c>
      <c r="CI94">
        <v>6.9824383644274696E-3</v>
      </c>
      <c r="CJ94">
        <v>7.5960385436055202E-3</v>
      </c>
      <c r="CK94">
        <v>4.0327270195041004E-3</v>
      </c>
      <c r="CL94">
        <v>9.0701612188330005E-3</v>
      </c>
      <c r="CM94">
        <v>3.44169734442733E-3</v>
      </c>
      <c r="CN94">
        <v>3.4421361826072801E-3</v>
      </c>
    </row>
    <row r="95" spans="47:115" x14ac:dyDescent="0.25">
      <c r="AU95">
        <v>192</v>
      </c>
      <c r="AV95">
        <v>2.2651749858421599</v>
      </c>
      <c r="AW95">
        <v>3.3470885618024999</v>
      </c>
      <c r="AX95">
        <v>3.3470885920556102</v>
      </c>
      <c r="AY95">
        <v>3.3914418795866301</v>
      </c>
      <c r="AZ95">
        <v>3.1507070832953299</v>
      </c>
      <c r="BA95">
        <v>2.0779192604772301</v>
      </c>
      <c r="BB95">
        <v>2.03455635373694</v>
      </c>
      <c r="BC95">
        <v>1.5310897174514499</v>
      </c>
      <c r="BD95">
        <v>2.2019896591697101</v>
      </c>
      <c r="BE95">
        <v>1.4453441358263699</v>
      </c>
      <c r="BF95">
        <v>1.44549911926112</v>
      </c>
      <c r="CC95">
        <v>198</v>
      </c>
      <c r="CD95">
        <v>1.17977863845946E-2</v>
      </c>
      <c r="CE95">
        <v>2.2352059926615701E-2</v>
      </c>
      <c r="CF95">
        <v>2.2352060172006201E-2</v>
      </c>
      <c r="CG95">
        <v>2.8666471978495901E-2</v>
      </c>
      <c r="CH95">
        <v>1.9022538762792699E-2</v>
      </c>
      <c r="CI95">
        <v>6.8101203153279402E-3</v>
      </c>
      <c r="CJ95">
        <v>7.4680998991900598E-3</v>
      </c>
      <c r="CK95">
        <v>3.9279878700734299E-3</v>
      </c>
      <c r="CL95">
        <v>8.9472619655606295E-3</v>
      </c>
      <c r="CM95">
        <v>3.3441878057442901E-3</v>
      </c>
      <c r="CN95">
        <v>3.3446107649179099E-3</v>
      </c>
    </row>
    <row r="96" spans="47:115" x14ac:dyDescent="0.25">
      <c r="AU96">
        <v>198</v>
      </c>
      <c r="AV96">
        <v>2.3359617041497298</v>
      </c>
      <c r="AW96">
        <v>3.4806450784955798</v>
      </c>
      <c r="AX96">
        <v>3.4806451102100802</v>
      </c>
      <c r="AY96">
        <v>3.56081443859755</v>
      </c>
      <c r="AZ96">
        <v>3.26469323698212</v>
      </c>
      <c r="BA96">
        <v>2.11929295734548</v>
      </c>
      <c r="BB96">
        <v>2.0797462424718298</v>
      </c>
      <c r="BC96">
        <v>1.5549690704266099</v>
      </c>
      <c r="BD96">
        <v>2.2560398244133899</v>
      </c>
      <c r="BE96">
        <v>1.4656990113345001</v>
      </c>
      <c r="BF96">
        <v>1.46585657964678</v>
      </c>
      <c r="CC96">
        <v>204</v>
      </c>
      <c r="CD96">
        <v>1.17977863845946E-2</v>
      </c>
      <c r="CE96">
        <v>2.25339743904076E-2</v>
      </c>
      <c r="CF96">
        <v>2.2533974639391899E-2</v>
      </c>
      <c r="CG96">
        <v>2.95647080075166E-2</v>
      </c>
      <c r="CH96">
        <v>1.9070171835063598E-2</v>
      </c>
      <c r="CI96">
        <v>6.6455184887501198E-3</v>
      </c>
      <c r="CJ96">
        <v>7.3450632512737602E-3</v>
      </c>
      <c r="CK96">
        <v>3.8286164930664899E-3</v>
      </c>
      <c r="CL96">
        <v>8.8284617498654502E-3</v>
      </c>
      <c r="CM96">
        <v>3.2520114954947602E-3</v>
      </c>
      <c r="CN96">
        <v>3.2524195602779901E-3</v>
      </c>
    </row>
    <row r="97" spans="47:92" x14ac:dyDescent="0.25">
      <c r="AU97">
        <v>204</v>
      </c>
      <c r="AV97">
        <v>2.4067484224573001</v>
      </c>
      <c r="AW97">
        <v>3.6153051594896199</v>
      </c>
      <c r="AX97">
        <v>3.6153051926872801</v>
      </c>
      <c r="AY97">
        <v>3.7354941220758802</v>
      </c>
      <c r="AZ97">
        <v>3.3789725669982</v>
      </c>
      <c r="BA97">
        <v>2.1596561344677698</v>
      </c>
      <c r="BB97">
        <v>2.1241833549001101</v>
      </c>
      <c r="BC97">
        <v>1.5782363044441701</v>
      </c>
      <c r="BD97">
        <v>2.3093649998513599</v>
      </c>
      <c r="BE97">
        <v>1.48548505265126</v>
      </c>
      <c r="BF97">
        <v>1.48564511356468</v>
      </c>
      <c r="CC97">
        <v>210</v>
      </c>
      <c r="CD97">
        <v>1.17977863845946E-2</v>
      </c>
      <c r="CE97">
        <v>2.27120318816059E-2</v>
      </c>
      <c r="CF97">
        <v>2.2712032134120302E-2</v>
      </c>
      <c r="CG97">
        <v>3.0491089389214E-2</v>
      </c>
      <c r="CH97">
        <v>1.9115496523593501E-2</v>
      </c>
      <c r="CI97">
        <v>6.4881695614652703E-3</v>
      </c>
      <c r="CJ97">
        <v>7.2266411883498399E-3</v>
      </c>
      <c r="CK97">
        <v>3.7342090624208498E-3</v>
      </c>
      <c r="CL97">
        <v>8.7135505307095896E-3</v>
      </c>
      <c r="CM97">
        <v>3.1647452747515402E-3</v>
      </c>
      <c r="CN97">
        <v>3.1651393468140302E-3</v>
      </c>
    </row>
    <row r="98" spans="47:92" x14ac:dyDescent="0.25">
      <c r="AU98">
        <v>210</v>
      </c>
      <c r="AV98">
        <v>2.47753514076487</v>
      </c>
      <c r="AW98">
        <v>3.7510450582847099</v>
      </c>
      <c r="AX98">
        <v>3.7510450929868902</v>
      </c>
      <c r="AY98">
        <v>3.9156472236070301</v>
      </c>
      <c r="AZ98">
        <v>3.4935306834087001</v>
      </c>
      <c r="BA98">
        <v>2.1990536828987302</v>
      </c>
      <c r="BB98">
        <v>2.1678962291874502</v>
      </c>
      <c r="BC98">
        <v>1.6009223936078201</v>
      </c>
      <c r="BD98">
        <v>2.36198914249329</v>
      </c>
      <c r="BE98">
        <v>1.50473296657755</v>
      </c>
      <c r="BF98">
        <v>1.50489543346999</v>
      </c>
      <c r="CC98">
        <v>216</v>
      </c>
      <c r="CD98">
        <v>1.17977863845946E-2</v>
      </c>
      <c r="CE98">
        <v>2.2886420960266999E-2</v>
      </c>
      <c r="CF98">
        <v>2.2886421216250601E-2</v>
      </c>
      <c r="CG98">
        <v>3.1446498030850298E-2</v>
      </c>
      <c r="CH98">
        <v>1.9158678196818001E-2</v>
      </c>
      <c r="CI98">
        <v>6.33764185923594E-3</v>
      </c>
      <c r="CJ98">
        <v>7.1125683711501997E-3</v>
      </c>
      <c r="CK98">
        <v>3.6444012691011201E-3</v>
      </c>
      <c r="CL98">
        <v>8.6023319466960093E-3</v>
      </c>
      <c r="CM98">
        <v>3.0820093433476499E-3</v>
      </c>
      <c r="CN98">
        <v>3.08239025002338E-3</v>
      </c>
    </row>
    <row r="99" spans="47:92" x14ac:dyDescent="0.25">
      <c r="AU99">
        <v>216</v>
      </c>
      <c r="AV99">
        <v>2.5483218590724399</v>
      </c>
      <c r="AW99">
        <v>3.8878422061857001</v>
      </c>
      <c r="AX99">
        <v>3.8878422424134098</v>
      </c>
      <c r="AY99">
        <v>4.1014452474242802</v>
      </c>
      <c r="AZ99">
        <v>3.6083542402851099</v>
      </c>
      <c r="BA99">
        <v>2.2375278096766902</v>
      </c>
      <c r="BB99">
        <v>2.2109117463171599</v>
      </c>
      <c r="BC99">
        <v>1.6230560101524401</v>
      </c>
      <c r="BD99">
        <v>2.4139349906437801</v>
      </c>
      <c r="BE99">
        <v>1.52347105400225</v>
      </c>
      <c r="BF99">
        <v>1.52363584543458</v>
      </c>
      <c r="CC99">
        <v>222</v>
      </c>
      <c r="CD99">
        <v>1.17977863845946E-2</v>
      </c>
      <c r="CE99">
        <v>2.3057316034018002E-2</v>
      </c>
      <c r="CF99">
        <v>2.3057316293412601E-2</v>
      </c>
      <c r="CG99">
        <v>3.24318434733947E-2</v>
      </c>
      <c r="CH99">
        <v>1.91998666726877E-2</v>
      </c>
      <c r="CI99">
        <v>6.1935333908574699E-3</v>
      </c>
      <c r="CJ99">
        <v>7.0025995039848703E-3</v>
      </c>
      <c r="CK99">
        <v>3.55886361307459E-3</v>
      </c>
      <c r="CL99">
        <v>8.4946223390445601E-3</v>
      </c>
      <c r="CM99">
        <v>3.0034618635481499E-3</v>
      </c>
      <c r="CN99">
        <v>3.00383036540617E-3</v>
      </c>
    </row>
    <row r="100" spans="47:92" x14ac:dyDescent="0.25">
      <c r="AU100">
        <v>222</v>
      </c>
      <c r="AV100">
        <v>2.61910857738</v>
      </c>
      <c r="AW100">
        <v>4.0256751226460201</v>
      </c>
      <c r="AX100">
        <v>4.0256751604198904</v>
      </c>
      <c r="AY100">
        <v>4.2930650716792904</v>
      </c>
      <c r="AZ100">
        <v>3.72343083629069</v>
      </c>
      <c r="BA100">
        <v>2.2751182218293602</v>
      </c>
      <c r="BB100">
        <v>2.25325525632796</v>
      </c>
      <c r="BC100">
        <v>1.6446637470655801</v>
      </c>
      <c r="BD100">
        <v>2.4652241430213002</v>
      </c>
      <c r="BE100">
        <v>1.54172545338192</v>
      </c>
      <c r="BF100">
        <v>1.54189249267516</v>
      </c>
      <c r="CC100">
        <v>228</v>
      </c>
      <c r="CD100">
        <v>1.17977863845946E-2</v>
      </c>
      <c r="CE100">
        <v>2.32248787708252E-2</v>
      </c>
      <c r="CF100">
        <v>2.3224879033575001E-2</v>
      </c>
      <c r="CG100">
        <v>3.3448063757398103E-2</v>
      </c>
      <c r="CH100">
        <v>1.9239198016868301E-2</v>
      </c>
      <c r="CI100">
        <v>6.0554698899013704E-3</v>
      </c>
      <c r="CJ100">
        <v>6.8965075138072802E-3</v>
      </c>
      <c r="CK100">
        <v>3.4772973502137602E-3</v>
      </c>
      <c r="CL100">
        <v>8.3902498322107194E-3</v>
      </c>
      <c r="CM100">
        <v>2.9287943596437499E-3</v>
      </c>
      <c r="CN100">
        <v>2.92915115715929E-3</v>
      </c>
    </row>
    <row r="101" spans="47:92" x14ac:dyDescent="0.25">
      <c r="AU101">
        <v>228</v>
      </c>
      <c r="AV101">
        <v>2.6898952956875699</v>
      </c>
      <c r="AW101">
        <v>4.1645233346855903</v>
      </c>
      <c r="AX101">
        <v>4.1645233740259204</v>
      </c>
      <c r="AY101">
        <v>4.4906891168286496</v>
      </c>
      <c r="AZ101">
        <v>3.8387489269056498</v>
      </c>
      <c r="BA101">
        <v>2.3118622985813602</v>
      </c>
      <c r="BB101">
        <v>2.2949506930144201</v>
      </c>
      <c r="BC101">
        <v>1.6657703144823901</v>
      </c>
      <c r="BD101">
        <v>2.5158771321861702</v>
      </c>
      <c r="BE101">
        <v>1.5595203543602001</v>
      </c>
      <c r="BF101">
        <v>1.55968956921539</v>
      </c>
      <c r="CC101">
        <v>234</v>
      </c>
      <c r="CD101">
        <v>1.17977863845946E-2</v>
      </c>
      <c r="CE101">
        <v>2.3389259337558699E-2</v>
      </c>
      <c r="CF101">
        <v>2.33892596036103E-2</v>
      </c>
      <c r="CG101">
        <v>3.4496126316000103E-2</v>
      </c>
      <c r="CH101">
        <v>1.92767960955905E-2</v>
      </c>
      <c r="CI101">
        <v>5.9231029061552103E-3</v>
      </c>
      <c r="CJ101">
        <v>6.7940819152762302E-3</v>
      </c>
      <c r="CK101">
        <v>3.3994309907855302E-3</v>
      </c>
      <c r="CL101">
        <v>8.2890534743876396E-3</v>
      </c>
      <c r="CM101">
        <v>2.8577277667635702E-3</v>
      </c>
      <c r="CN101">
        <v>2.8580735062093002E-3</v>
      </c>
    </row>
    <row r="102" spans="47:92" x14ac:dyDescent="0.25">
      <c r="AU102">
        <v>234</v>
      </c>
      <c r="AV102">
        <v>2.7606820139951398</v>
      </c>
      <c r="AW102">
        <v>4.3043673042488599</v>
      </c>
      <c r="AX102">
        <v>4.3043673451756197</v>
      </c>
      <c r="AY102">
        <v>4.6945055192965901</v>
      </c>
      <c r="AZ102">
        <v>3.9542977466843801</v>
      </c>
      <c r="BA102">
        <v>2.3477952519443899</v>
      </c>
      <c r="BB102">
        <v>2.33602067827018</v>
      </c>
      <c r="BC102">
        <v>1.6863987134635301</v>
      </c>
      <c r="BD102">
        <v>2.56591349263137</v>
      </c>
      <c r="BE102">
        <v>1.5768781857896501</v>
      </c>
      <c r="BF102">
        <v>1.57704950794528</v>
      </c>
      <c r="CC102">
        <v>240</v>
      </c>
      <c r="CD102">
        <v>1.17977863845946E-2</v>
      </c>
      <c r="CE102">
        <v>2.3550597489717801E-2</v>
      </c>
      <c r="CF102">
        <v>2.3550597759019801E-2</v>
      </c>
      <c r="CG102">
        <v>3.5577028895917302E-2</v>
      </c>
      <c r="CH102">
        <v>1.9312773921538701E-2</v>
      </c>
      <c r="CI102">
        <v>5.7961079737191097E-3</v>
      </c>
      <c r="CJ102">
        <v>6.6951273419858298E-3</v>
      </c>
      <c r="CK102">
        <v>3.3250172642909801E-3</v>
      </c>
      <c r="CL102">
        <v>8.1908824378124495E-3</v>
      </c>
      <c r="CM102">
        <v>2.79000902514013E-3</v>
      </c>
      <c r="CN102">
        <v>2.7903443037999198E-3</v>
      </c>
    </row>
    <row r="103" spans="47:92" x14ac:dyDescent="0.25">
      <c r="AU103">
        <v>240</v>
      </c>
      <c r="AV103">
        <v>2.8314687323027101</v>
      </c>
      <c r="AW103">
        <v>4.4451883625362303</v>
      </c>
      <c r="AX103">
        <v>4.4451884050690804</v>
      </c>
      <c r="AY103">
        <v>4.9047083105792897</v>
      </c>
      <c r="AZ103">
        <v>4.0700672401915403</v>
      </c>
      <c r="BA103">
        <v>2.38295027607563</v>
      </c>
      <c r="BB103">
        <v>2.3764866171293701</v>
      </c>
      <c r="BC103">
        <v>1.7065703902017</v>
      </c>
      <c r="BD103">
        <v>2.6153518238962499</v>
      </c>
      <c r="BE103">
        <v>1.59381978172966</v>
      </c>
      <c r="BF103">
        <v>1.59399314665245</v>
      </c>
    </row>
  </sheetData>
  <mergeCells count="20">
    <mergeCell ref="B16:L16"/>
    <mergeCell ref="X16:AH16"/>
    <mergeCell ref="B15:AH15"/>
    <mergeCell ref="AJ15:BP15"/>
    <mergeCell ref="AJ16:AT16"/>
    <mergeCell ref="AU16:BE16"/>
    <mergeCell ref="BF16:BP16"/>
    <mergeCell ref="EK15:FQ15"/>
    <mergeCell ref="EK16:EU16"/>
    <mergeCell ref="EV16:FF16"/>
    <mergeCell ref="FG16:FQ16"/>
    <mergeCell ref="M16:W16"/>
    <mergeCell ref="DB15:EH15"/>
    <mergeCell ref="DB16:DL16"/>
    <mergeCell ref="DM16:DW16"/>
    <mergeCell ref="DX16:EH16"/>
    <mergeCell ref="BS15:CY15"/>
    <mergeCell ref="BS16:CC16"/>
    <mergeCell ref="CD16:CN16"/>
    <mergeCell ref="CO16:CY16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1308E-BD3A-41EA-ADED-7E34C7A1FC11}">
  <sheetPr codeName="Sheet5"/>
  <dimension ref="A1:O57"/>
  <sheetViews>
    <sheetView zoomScale="86" zoomScaleNormal="86" workbookViewId="0">
      <selection activeCell="O7" sqref="O7"/>
    </sheetView>
  </sheetViews>
  <sheetFormatPr defaultRowHeight="15" x14ac:dyDescent="0.25"/>
  <cols>
    <col min="1" max="1" width="20.140625" customWidth="1"/>
    <col min="2" max="3" width="12.7109375" customWidth="1"/>
    <col min="4" max="4" width="11.140625" customWidth="1"/>
    <col min="5" max="5" width="12.7109375" customWidth="1"/>
    <col min="6" max="6" width="14.28515625" customWidth="1"/>
    <col min="7" max="7" width="14.7109375" customWidth="1"/>
    <col min="8" max="8" width="12.7109375" customWidth="1"/>
    <col min="9" max="9" width="11.7109375" customWidth="1"/>
    <col min="10" max="10" width="16.28515625" customWidth="1"/>
    <col min="11" max="11" width="12.7109375" customWidth="1"/>
    <col min="12" max="12" width="16.140625" customWidth="1"/>
    <col min="13" max="17" width="12.7109375" customWidth="1"/>
    <col min="18" max="18" width="11.7109375" customWidth="1"/>
    <col min="19" max="19" width="14.28515625" customWidth="1"/>
    <col min="20" max="20" width="11.85546875" customWidth="1"/>
    <col min="22" max="22" width="14.7109375" customWidth="1"/>
    <col min="23" max="28" width="12.7109375" customWidth="1"/>
    <col min="29" max="29" width="11.7109375" customWidth="1"/>
    <col min="30" max="30" width="14.28515625" customWidth="1"/>
    <col min="31" max="31" width="11.85546875" customWidth="1"/>
    <col min="33" max="33" width="14.7109375" customWidth="1"/>
    <col min="34" max="39" width="12.7109375" customWidth="1"/>
    <col min="40" max="40" width="11.7109375" customWidth="1"/>
    <col min="41" max="41" width="14.28515625" customWidth="1"/>
    <col min="42" max="42" width="11.85546875" customWidth="1"/>
  </cols>
  <sheetData>
    <row r="1" spans="1:15" x14ac:dyDescent="0.25">
      <c r="A1" s="3" t="s">
        <v>3</v>
      </c>
      <c r="B1" s="19" t="s">
        <v>724</v>
      </c>
      <c r="C1" s="19" t="s">
        <v>725</v>
      </c>
      <c r="D1" s="19" t="s">
        <v>726</v>
      </c>
      <c r="E1" s="19" t="s">
        <v>727</v>
      </c>
    </row>
    <row r="2" spans="1:15" x14ac:dyDescent="0.25">
      <c r="A2" t="s">
        <v>728</v>
      </c>
      <c r="B2" s="2">
        <v>1.17977863845946E-2</v>
      </c>
      <c r="C2" s="2"/>
      <c r="D2" s="2"/>
      <c r="E2" s="2"/>
      <c r="G2" s="14"/>
      <c r="H2" s="14"/>
      <c r="I2" s="14"/>
      <c r="J2" s="14"/>
      <c r="K2" s="14"/>
    </row>
    <row r="3" spans="1:15" x14ac:dyDescent="0.25">
      <c r="A3" t="s">
        <v>729</v>
      </c>
      <c r="B3" s="2">
        <v>1.2715194355245301</v>
      </c>
      <c r="C3" s="2">
        <v>74.245668065312998</v>
      </c>
      <c r="D3" s="2"/>
      <c r="E3" s="2"/>
      <c r="G3" s="14"/>
      <c r="H3" s="14"/>
      <c r="I3" s="14"/>
      <c r="J3" s="14"/>
      <c r="K3" s="14"/>
    </row>
    <row r="4" spans="1:15" x14ac:dyDescent="0.25">
      <c r="A4" t="s">
        <v>730</v>
      </c>
      <c r="B4" s="2">
        <v>1.27151943789814</v>
      </c>
      <c r="C4" s="2">
        <v>4.1822049596364503E-3</v>
      </c>
      <c r="D4" s="2"/>
      <c r="E4" s="2"/>
      <c r="G4" s="14"/>
      <c r="H4" s="14"/>
      <c r="I4" s="14"/>
      <c r="J4" s="14"/>
      <c r="K4" s="14"/>
    </row>
    <row r="5" spans="1:15" x14ac:dyDescent="0.25">
      <c r="A5" t="s">
        <v>731</v>
      </c>
      <c r="B5" s="2">
        <v>5.1421894700887701E-3</v>
      </c>
      <c r="C5" s="2">
        <v>1.03560894673995E-2</v>
      </c>
      <c r="D5" s="2"/>
      <c r="E5" s="2"/>
      <c r="G5" s="14"/>
      <c r="H5" s="14"/>
      <c r="I5" s="14"/>
      <c r="J5" s="14"/>
      <c r="K5" s="14"/>
    </row>
    <row r="6" spans="1:15" x14ac:dyDescent="0.25">
      <c r="A6" t="s">
        <v>732</v>
      </c>
      <c r="B6" s="2">
        <v>1.46887625670272</v>
      </c>
      <c r="C6" s="2">
        <v>2.0962628684099802E-2</v>
      </c>
      <c r="D6" s="2"/>
      <c r="E6" s="2"/>
      <c r="G6" s="14"/>
      <c r="H6" s="14"/>
      <c r="I6" s="14"/>
      <c r="J6" s="14"/>
      <c r="K6" s="14"/>
    </row>
    <row r="7" spans="1:15" x14ac:dyDescent="0.25">
      <c r="A7" t="s">
        <v>733</v>
      </c>
      <c r="B7" s="2">
        <v>1.5324799956844799</v>
      </c>
      <c r="C7" s="2">
        <v>53.992883326082797</v>
      </c>
      <c r="D7" s="2"/>
      <c r="E7" s="2"/>
      <c r="G7" s="14"/>
      <c r="H7" s="14"/>
      <c r="I7" s="14"/>
      <c r="J7" s="14"/>
      <c r="K7" s="14"/>
    </row>
    <row r="8" spans="1:15" x14ac:dyDescent="0.25">
      <c r="A8" t="s">
        <v>734</v>
      </c>
      <c r="B8" s="2">
        <v>4.0067850779733503</v>
      </c>
      <c r="C8" s="2">
        <v>1.11381455316321</v>
      </c>
      <c r="D8" s="2"/>
      <c r="E8" s="2"/>
      <c r="G8" s="14"/>
      <c r="H8" s="14"/>
      <c r="I8" s="14"/>
      <c r="J8" s="14"/>
      <c r="K8" s="14"/>
    </row>
    <row r="9" spans="1:15" x14ac:dyDescent="0.25">
      <c r="A9" t="s">
        <v>735</v>
      </c>
      <c r="B9" s="2">
        <v>3.6628094491524301</v>
      </c>
      <c r="C9" s="2">
        <v>1.2482106325698701</v>
      </c>
      <c r="D9" s="2">
        <v>-0.83935977391917305</v>
      </c>
      <c r="E9" s="2"/>
      <c r="G9" s="14"/>
      <c r="H9" s="14"/>
      <c r="I9" s="14"/>
      <c r="J9" s="14"/>
      <c r="K9" s="14"/>
    </row>
    <row r="10" spans="1:15" x14ac:dyDescent="0.25">
      <c r="A10" t="s">
        <v>736</v>
      </c>
      <c r="B10" s="2">
        <v>3.5481897421262398</v>
      </c>
      <c r="C10" s="2">
        <v>1.1733776030611001</v>
      </c>
      <c r="D10" s="2">
        <v>-1.08048966759607</v>
      </c>
      <c r="E10" s="2">
        <v>0.33090154761061102</v>
      </c>
      <c r="G10" s="14"/>
      <c r="H10" s="14"/>
      <c r="I10" s="14"/>
      <c r="J10" s="14"/>
      <c r="K10" s="14"/>
    </row>
    <row r="11" spans="1:15" x14ac:dyDescent="0.25">
      <c r="A11" t="s">
        <v>748</v>
      </c>
      <c r="B11" s="2">
        <v>0.19003051421067901</v>
      </c>
      <c r="C11" s="2">
        <v>2.7051483812998799E-6</v>
      </c>
      <c r="D11" s="2">
        <v>24.819075093453201</v>
      </c>
      <c r="E11" s="2"/>
      <c r="J11" s="14"/>
      <c r="K11" s="14"/>
      <c r="L11" s="14"/>
    </row>
    <row r="12" spans="1:15" x14ac:dyDescent="0.25">
      <c r="A12" t="s">
        <v>749</v>
      </c>
      <c r="B12" s="2">
        <v>3.5482391878089601</v>
      </c>
      <c r="C12" s="2">
        <v>0.86714033225700105</v>
      </c>
      <c r="D12" s="2">
        <v>5.4227581328681103</v>
      </c>
      <c r="E12" s="2">
        <v>0.60753582190753197</v>
      </c>
      <c r="K12" s="14"/>
      <c r="L12" s="14"/>
    </row>
    <row r="13" spans="1:15" x14ac:dyDescent="0.25">
      <c r="B13" s="2"/>
      <c r="C13" s="2"/>
      <c r="D13" s="2"/>
      <c r="E13" s="2"/>
      <c r="G13" s="14"/>
    </row>
    <row r="14" spans="1:15" x14ac:dyDescent="0.25">
      <c r="A14" s="9"/>
      <c r="B14" s="103" t="s">
        <v>12</v>
      </c>
      <c r="C14" s="104"/>
      <c r="D14" s="104"/>
      <c r="E14" s="104"/>
      <c r="F14" s="104"/>
      <c r="G14" s="104"/>
      <c r="H14" s="104"/>
      <c r="I14" s="104"/>
      <c r="J14" s="104"/>
      <c r="K14" s="104"/>
      <c r="L14" s="105"/>
      <c r="O14" s="37"/>
    </row>
    <row r="15" spans="1:15" x14ac:dyDescent="0.25">
      <c r="A15" s="10"/>
      <c r="B15" s="103" t="s">
        <v>20</v>
      </c>
      <c r="C15" s="104"/>
      <c r="D15" s="104"/>
      <c r="E15" s="104"/>
      <c r="F15" s="104"/>
      <c r="G15" s="104"/>
      <c r="H15" s="104"/>
      <c r="I15" s="104"/>
      <c r="J15" s="104"/>
      <c r="K15" s="104"/>
      <c r="L15" s="105"/>
    </row>
    <row r="16" spans="1:15" x14ac:dyDescent="0.25">
      <c r="A16" s="22" t="s">
        <v>10</v>
      </c>
      <c r="B16" s="7" t="s">
        <v>728</v>
      </c>
      <c r="C16" s="7" t="s">
        <v>729</v>
      </c>
      <c r="D16" s="7" t="s">
        <v>730</v>
      </c>
      <c r="E16" s="7" t="s">
        <v>731</v>
      </c>
      <c r="F16" s="7" t="s">
        <v>732</v>
      </c>
      <c r="G16" s="7" t="s">
        <v>733</v>
      </c>
      <c r="H16" s="7" t="s">
        <v>734</v>
      </c>
      <c r="I16" s="7" t="s">
        <v>735</v>
      </c>
      <c r="J16" s="7" t="s">
        <v>748</v>
      </c>
      <c r="K16" s="7" t="s">
        <v>736</v>
      </c>
      <c r="L16" s="7" t="s">
        <v>749</v>
      </c>
    </row>
    <row r="17" spans="1:12" x14ac:dyDescent="0.25">
      <c r="A17" s="1">
        <v>0</v>
      </c>
      <c r="B17" s="23" cm="1">
        <f t="array" ref="B17:B57">sexp(A17:A57,B2)</f>
        <v>1</v>
      </c>
      <c r="C17" s="8" cm="1">
        <f t="array" ref="C17:C57">Sweibull(A17:A57,B3,C3)</f>
        <v>1</v>
      </c>
      <c r="D17" s="8" cm="1">
        <f t="array" ref="D17:D57">SweibullPH(A17:A57,B4,C4)</f>
        <v>1</v>
      </c>
      <c r="E17" s="8" cm="1">
        <f t="array" ref="E17:E57">Sgompertz(A17:A57,B5,C5)</f>
        <v>1</v>
      </c>
      <c r="F17" s="8" cm="1">
        <f t="array" ref="F17:F57">sgamma(A17:A57,B6,C6)</f>
        <v>1</v>
      </c>
      <c r="G17" s="8" cm="1">
        <f t="array" ref="G17:G57">Sllogis(A17:A57,B7,C7)</f>
        <v>1</v>
      </c>
      <c r="H17" s="8" cm="1">
        <f t="array" ref="H17:H57">Slnorm(A17:A57,B8,C8)</f>
        <v>1</v>
      </c>
      <c r="I17" s="8" cm="1">
        <f t="array" ref="I17:I57">Sgengamma(A17:A57,B9,C9,D9)</f>
        <v>1</v>
      </c>
      <c r="J17" s="8" cm="1">
        <f t="array" ref="J17:J57">Sgengamma_orig(A17:A57,B11,C11,D11)</f>
        <v>1</v>
      </c>
      <c r="K17" s="28" cm="1">
        <f t="array" ref="K17:K57">Sgenf(A17:A57,B10,C10,D10,E10)</f>
        <v>1</v>
      </c>
      <c r="L17" s="24" cm="1">
        <f t="array" ref="L17:L57">Sgenf_orig(A17:A57,B12,C12,D12,E12)</f>
        <v>1</v>
      </c>
    </row>
    <row r="18" spans="1:12" x14ac:dyDescent="0.25">
      <c r="A18" s="1">
        <f t="shared" ref="A18:A57" si="0">A17+6</f>
        <v>6</v>
      </c>
      <c r="B18" s="23">
        <v>0.93166057708355998</v>
      </c>
      <c r="C18" s="8">
        <v>0.96000491462390758</v>
      </c>
      <c r="D18" s="8">
        <v>0.96000491459207649</v>
      </c>
      <c r="E18" s="8">
        <v>0.93884486634952879</v>
      </c>
      <c r="F18" s="8">
        <v>0.96604336137210089</v>
      </c>
      <c r="G18" s="8">
        <v>0.96665715662970919</v>
      </c>
      <c r="H18" s="8">
        <v>0.97663197465607343</v>
      </c>
      <c r="I18" s="8">
        <v>0.98385566378075573</v>
      </c>
      <c r="J18" s="8">
        <v>0.97447083609246044</v>
      </c>
      <c r="K18" s="8">
        <v>0.98443134499209128</v>
      </c>
      <c r="L18" s="24">
        <v>0.98442813261391715</v>
      </c>
    </row>
    <row r="19" spans="1:12" x14ac:dyDescent="0.25">
      <c r="A19" s="1">
        <f t="shared" si="0"/>
        <v>12</v>
      </c>
      <c r="B19" s="23">
        <v>0.86799143089167208</v>
      </c>
      <c r="C19" s="8">
        <v>0.90616094948307169</v>
      </c>
      <c r="D19" s="8">
        <v>0.90616094926362856</v>
      </c>
      <c r="E19" s="8">
        <v>0.87968852365130779</v>
      </c>
      <c r="F19" s="8">
        <v>0.91263785909377315</v>
      </c>
      <c r="G19" s="8">
        <v>0.90927103342185089</v>
      </c>
      <c r="H19" s="8">
        <v>0.91408795557997735</v>
      </c>
      <c r="I19" s="8">
        <v>0.91145392635411837</v>
      </c>
      <c r="J19" s="8">
        <v>0.91451259633599458</v>
      </c>
      <c r="K19" s="8">
        <v>0.91290265751694288</v>
      </c>
      <c r="L19" s="24">
        <v>0.91290967487928787</v>
      </c>
    </row>
    <row r="20" spans="1:12" x14ac:dyDescent="0.25">
      <c r="A20" s="1">
        <f t="shared" si="0"/>
        <v>18</v>
      </c>
      <c r="B20" s="23">
        <v>0.80867339740812028</v>
      </c>
      <c r="C20" s="8">
        <v>0.84788572870825041</v>
      </c>
      <c r="D20" s="8">
        <v>0.84788572822975883</v>
      </c>
      <c r="E20" s="8">
        <v>0.82258041131295323</v>
      </c>
      <c r="F20" s="8">
        <v>0.85253509079810563</v>
      </c>
      <c r="G20" s="8">
        <v>0.84335414002290043</v>
      </c>
      <c r="H20" s="8">
        <v>0.84190865674819038</v>
      </c>
      <c r="I20" s="8">
        <v>0.82843913468216002</v>
      </c>
      <c r="J20" s="8">
        <v>0.84549756913482899</v>
      </c>
      <c r="K20" s="8">
        <v>0.82790240881480626</v>
      </c>
      <c r="L20" s="24">
        <v>0.82791175174245279</v>
      </c>
    </row>
    <row r="21" spans="1:12" x14ac:dyDescent="0.25">
      <c r="A21" s="1">
        <f t="shared" si="0"/>
        <v>24</v>
      </c>
      <c r="B21" s="23">
        <v>0.7534091241013724</v>
      </c>
      <c r="C21" s="8">
        <v>0.78829175278668295</v>
      </c>
      <c r="D21" s="8">
        <v>0.7882917520172964</v>
      </c>
      <c r="E21" s="8">
        <v>0.7675636430930971</v>
      </c>
      <c r="F21" s="8">
        <v>0.79039216359708342</v>
      </c>
      <c r="G21" s="8">
        <v>0.77600449969343765</v>
      </c>
      <c r="H21" s="8">
        <v>0.77157621571700308</v>
      </c>
      <c r="I21" s="8">
        <v>0.75369079603473288</v>
      </c>
      <c r="J21" s="8">
        <v>0.77709385094389527</v>
      </c>
      <c r="K21" s="8">
        <v>0.75140750151609392</v>
      </c>
      <c r="L21" s="24">
        <v>0.75141246653476479</v>
      </c>
    </row>
    <row r="22" spans="1:12" x14ac:dyDescent="0.25">
      <c r="A22" s="1">
        <f t="shared" si="0"/>
        <v>30</v>
      </c>
      <c r="B22" s="23">
        <v>0.70192157934030408</v>
      </c>
      <c r="C22" s="8">
        <v>0.72910898470914098</v>
      </c>
      <c r="D22" s="8">
        <v>0.72910898364204568</v>
      </c>
      <c r="E22" s="8">
        <v>0.71467469110799309</v>
      </c>
      <c r="F22" s="8">
        <v>0.72870054922277716</v>
      </c>
      <c r="G22" s="8">
        <v>0.71106648533262407</v>
      </c>
      <c r="H22" s="8">
        <v>0.70667811116856127</v>
      </c>
      <c r="I22" s="8">
        <v>0.68967776493526656</v>
      </c>
      <c r="J22" s="8">
        <v>0.71279691271675882</v>
      </c>
      <c r="K22" s="8">
        <v>0.68665967906975467</v>
      </c>
      <c r="L22" s="24">
        <v>0.68665828955794994</v>
      </c>
    </row>
    <row r="23" spans="1:12" x14ac:dyDescent="0.25">
      <c r="A23" s="1">
        <f t="shared" si="0"/>
        <v>36</v>
      </c>
      <c r="B23" s="23">
        <v>0.65395266367559157</v>
      </c>
      <c r="C23" s="8">
        <v>0.67142121648481712</v>
      </c>
      <c r="D23" s="8">
        <v>0.67142121513002528</v>
      </c>
      <c r="E23" s="8">
        <v>0.66394310804819845</v>
      </c>
      <c r="F23" s="8">
        <v>0.66891095346606366</v>
      </c>
      <c r="G23" s="8">
        <v>0.65048350595971827</v>
      </c>
      <c r="H23" s="8">
        <v>0.64803282709265297</v>
      </c>
      <c r="I23" s="8">
        <v>0.63526441049374027</v>
      </c>
      <c r="J23" s="8">
        <v>0.65372698613814273</v>
      </c>
      <c r="K23" s="8">
        <v>0.6323698372169535</v>
      </c>
      <c r="L23" s="24">
        <v>0.63236218462352922</v>
      </c>
    </row>
    <row r="24" spans="1:12" x14ac:dyDescent="0.25">
      <c r="A24" s="1">
        <f t="shared" si="0"/>
        <v>42</v>
      </c>
      <c r="B24" s="23">
        <v>0.60926191602533286</v>
      </c>
      <c r="C24" s="8">
        <v>0.61593326642871959</v>
      </c>
      <c r="D24" s="8">
        <v>0.61593326480756083</v>
      </c>
      <c r="E24" s="8">
        <v>0.61539129217846855</v>
      </c>
      <c r="F24" s="8">
        <v>0.61187856863481449</v>
      </c>
      <c r="G24" s="8">
        <v>0.59506217394994076</v>
      </c>
      <c r="H24" s="8">
        <v>0.59546115324560944</v>
      </c>
      <c r="I24" s="8">
        <v>0.58879478677863206</v>
      </c>
      <c r="J24" s="8">
        <v>0.60003032536041023</v>
      </c>
      <c r="K24" s="8">
        <v>0.58659984047149738</v>
      </c>
      <c r="L24" s="24">
        <v>0.58658668266656333</v>
      </c>
    </row>
    <row r="25" spans="1:12" x14ac:dyDescent="0.25">
      <c r="A25" s="1">
        <f t="shared" si="0"/>
        <v>48</v>
      </c>
      <c r="B25" s="23">
        <v>0.5676253082791971</v>
      </c>
      <c r="C25" s="8">
        <v>0.56310083088617313</v>
      </c>
      <c r="D25" s="8">
        <v>0.56310082902730552</v>
      </c>
      <c r="E25" s="8">
        <v>0.56903429944960038</v>
      </c>
      <c r="F25" s="8">
        <v>0.55808777033078871</v>
      </c>
      <c r="G25" s="8">
        <v>0.54495283252429727</v>
      </c>
      <c r="H25" s="8">
        <v>0.54844336765199553</v>
      </c>
      <c r="I25" s="8">
        <v>0.54878286310698698</v>
      </c>
      <c r="J25" s="8">
        <v>0.55145054813124283</v>
      </c>
      <c r="K25" s="8">
        <v>0.54763510865587961</v>
      </c>
      <c r="L25" s="24">
        <v>0.54761732539017349</v>
      </c>
    </row>
    <row r="26" spans="1:12" x14ac:dyDescent="0.25">
      <c r="A26" s="1">
        <f t="shared" si="0"/>
        <v>54</v>
      </c>
      <c r="B26" s="23">
        <v>0.52883412227863047</v>
      </c>
      <c r="C26" s="8">
        <v>0.51320516353442414</v>
      </c>
      <c r="D26" s="8">
        <v>0.51320516147085093</v>
      </c>
      <c r="E26" s="8">
        <v>0.52487970671858086</v>
      </c>
      <c r="F26" s="8">
        <v>0.50778144396375202</v>
      </c>
      <c r="G26" s="8">
        <v>0.49994950518933867</v>
      </c>
      <c r="H26" s="8">
        <v>0.50637564102039612</v>
      </c>
      <c r="I26" s="8">
        <v>0.51402373375899368</v>
      </c>
      <c r="J26" s="8">
        <v>0.50757774927280108</v>
      </c>
      <c r="K26" s="8">
        <v>0.51411292548281273</v>
      </c>
      <c r="L26" s="24">
        <v>0.51409133113969663</v>
      </c>
    </row>
    <row r="27" spans="1:12" x14ac:dyDescent="0.25">
      <c r="A27" s="1">
        <f t="shared" si="0"/>
        <v>60</v>
      </c>
      <c r="B27" s="23">
        <v>0.49269390354358683</v>
      </c>
      <c r="C27" s="8">
        <v>0.46640097327206759</v>
      </c>
      <c r="D27" s="8">
        <v>0.46640097103888284</v>
      </c>
      <c r="E27" s="8">
        <v>0.48292752965072289</v>
      </c>
      <c r="F27" s="8">
        <v>0.46104165688808552</v>
      </c>
      <c r="G27" s="8">
        <v>0.45967158001908165</v>
      </c>
      <c r="H27" s="8">
        <v>0.46867051603846244</v>
      </c>
      <c r="I27" s="8">
        <v>0.48356726922257498</v>
      </c>
      <c r="J27" s="8">
        <v>0.46796090605109431</v>
      </c>
      <c r="K27" s="8">
        <v>0.48498031100626171</v>
      </c>
      <c r="L27" s="24">
        <v>0.48495560350154343</v>
      </c>
    </row>
    <row r="28" spans="1:12" x14ac:dyDescent="0.25">
      <c r="A28" s="1">
        <f t="shared" si="0"/>
        <v>66</v>
      </c>
      <c r="B28" s="23">
        <v>0.45902348650096997</v>
      </c>
      <c r="C28" s="8">
        <v>0.4227494900414695</v>
      </c>
      <c r="D28" s="8">
        <v>0.42274948767416043</v>
      </c>
      <c r="E28" s="8">
        <v>0.44317019836415106</v>
      </c>
      <c r="F28" s="8">
        <v>0.41784267300127353</v>
      </c>
      <c r="G28" s="8">
        <v>0.42366994072396696</v>
      </c>
      <c r="H28" s="8">
        <v>0.43479345368020472</v>
      </c>
      <c r="I28" s="8">
        <v>0.45666746051790463</v>
      </c>
      <c r="J28" s="8">
        <v>0.43215855438568174</v>
      </c>
      <c r="K28" s="8">
        <v>0.45942617293849286</v>
      </c>
      <c r="L28" s="24">
        <v>0.45939893180498614</v>
      </c>
    </row>
    <row r="29" spans="1:12" x14ac:dyDescent="0.25">
      <c r="A29" s="1">
        <f t="shared" si="0"/>
        <v>72</v>
      </c>
      <c r="B29" s="23">
        <v>0.42765408632840141</v>
      </c>
      <c r="C29" s="8">
        <v>0.38224246550501451</v>
      </c>
      <c r="D29" s="8">
        <v>0.38224246303820264</v>
      </c>
      <c r="E29" s="8">
        <v>0.40559259327460695</v>
      </c>
      <c r="F29" s="8">
        <v>0.37808701680794266</v>
      </c>
      <c r="G29" s="8">
        <v>0.39148627735834479</v>
      </c>
      <c r="H29" s="8">
        <v>0.40427254395049572</v>
      </c>
      <c r="I29" s="8">
        <v>0.43273584720203784</v>
      </c>
      <c r="J29" s="8">
        <v>0.39976043728451383</v>
      </c>
      <c r="K29" s="8">
        <v>0.43682184891664477</v>
      </c>
      <c r="L29" s="24">
        <v>0.43679254920793731</v>
      </c>
    </row>
    <row r="30" spans="1:12" x14ac:dyDescent="0.25">
      <c r="A30" s="1">
        <f t="shared" si="0"/>
        <v>78</v>
      </c>
      <c r="B30" s="23">
        <v>0.39842845286086104</v>
      </c>
      <c r="C30" s="8">
        <v>0.34482019621388482</v>
      </c>
      <c r="D30" s="8">
        <v>0.3448201936804165</v>
      </c>
      <c r="E30" s="8">
        <v>0.37017214291100498</v>
      </c>
      <c r="F30" s="8">
        <v>0.34163057069377534</v>
      </c>
      <c r="G30" s="8">
        <v>0.36268419127067308</v>
      </c>
      <c r="H30" s="8">
        <v>0.37669711198883182</v>
      </c>
      <c r="I30" s="8">
        <v>0.41130444589585202</v>
      </c>
      <c r="J30" s="8">
        <v>0.37039522073110609</v>
      </c>
      <c r="K30" s="8">
        <v>0.41667528687782662</v>
      </c>
      <c r="L30" s="24">
        <v>0.41664431636597554</v>
      </c>
    </row>
    <row r="31" spans="1:12" x14ac:dyDescent="0.25">
      <c r="A31" s="1">
        <f t="shared" si="0"/>
        <v>84</v>
      </c>
      <c r="B31" s="23">
        <v>0.37120008231885981</v>
      </c>
      <c r="C31" s="8">
        <v>0.31038536638571596</v>
      </c>
      <c r="D31" s="8">
        <v>0.31038536381603354</v>
      </c>
      <c r="E31" s="8">
        <v>0.3368789847058305</v>
      </c>
      <c r="F31" s="8">
        <v>0.30830028877948301</v>
      </c>
      <c r="G31" s="8">
        <v>0.33686377119335964</v>
      </c>
      <c r="H31" s="8">
        <v>0.35171209476277498</v>
      </c>
      <c r="I31" s="8">
        <v>0.3919975726551701</v>
      </c>
      <c r="J31" s="8">
        <v>0.34373153812520241</v>
      </c>
      <c r="K31" s="8">
        <v>0.3985971255329197</v>
      </c>
      <c r="L31" s="24">
        <v>0.39856480078516088</v>
      </c>
    </row>
    <row r="32" spans="1:12" x14ac:dyDescent="0.25">
      <c r="A32" s="1">
        <f t="shared" si="0"/>
        <v>90</v>
      </c>
      <c r="B32" s="23">
        <v>0.34583248290665392</v>
      </c>
      <c r="C32" s="8">
        <v>0.27881383177156527</v>
      </c>
      <c r="D32" s="8">
        <v>0.27881382919330222</v>
      </c>
      <c r="E32" s="8">
        <v>0.30567618892828069</v>
      </c>
      <c r="F32" s="8">
        <v>0.27790679089539916</v>
      </c>
      <c r="G32" s="8">
        <v>0.31366678259374692</v>
      </c>
      <c r="H32" s="8">
        <v>0.32901121662618282</v>
      </c>
      <c r="I32" s="8">
        <v>0.3745107263599663</v>
      </c>
      <c r="J32" s="8">
        <v>0.31947595373842153</v>
      </c>
      <c r="K32" s="8">
        <v>0.38227584894677513</v>
      </c>
      <c r="L32" s="24">
        <v>0.38224242900532646</v>
      </c>
    </row>
    <row r="33" spans="1:12" x14ac:dyDescent="0.25">
      <c r="A33" s="1">
        <f t="shared" si="0"/>
        <v>96</v>
      </c>
      <c r="B33" s="23">
        <v>0.32219849059905353</v>
      </c>
      <c r="C33" s="8">
        <v>0.24996308713901241</v>
      </c>
      <c r="D33" s="8">
        <v>0.24996308457676619</v>
      </c>
      <c r="E33" s="8">
        <v>0.27652004503358196</v>
      </c>
      <c r="F33" s="8">
        <v>0.25025332758377172</v>
      </c>
      <c r="G33" s="8">
        <v>0.29277674837986051</v>
      </c>
      <c r="H33" s="8">
        <v>0.30833026594696988</v>
      </c>
      <c r="I33" s="8">
        <v>0.35859478014599078</v>
      </c>
      <c r="J33" s="8">
        <v>0.29736964577077041</v>
      </c>
      <c r="K33" s="8">
        <v>0.36745955976894884</v>
      </c>
      <c r="L33" s="24">
        <v>0.36742525733168985</v>
      </c>
    </row>
    <row r="34" spans="1:12" x14ac:dyDescent="0.25">
      <c r="A34" s="1">
        <f t="shared" si="0"/>
        <v>102</v>
      </c>
      <c r="B34" s="23">
        <v>0.30017963168696626</v>
      </c>
      <c r="C34" s="8">
        <v>0.22367893437949499</v>
      </c>
      <c r="D34" s="8">
        <v>0.22367893185473914</v>
      </c>
      <c r="E34" s="8">
        <v>0.24936040876340659</v>
      </c>
      <c r="F34" s="8">
        <v>0.2251421311631181</v>
      </c>
      <c r="G34" s="8">
        <v>0.27391643334229948</v>
      </c>
      <c r="H34" s="8">
        <v>0.28944098710344268</v>
      </c>
      <c r="I34" s="8">
        <v>0.34404408878156423</v>
      </c>
      <c r="J34" s="8">
        <v>0.27718471035773606</v>
      </c>
      <c r="K34" s="8">
        <v>0.3539425149946005</v>
      </c>
      <c r="L34" s="24">
        <v>0.35390750538837523</v>
      </c>
    </row>
    <row r="35" spans="1:12" x14ac:dyDescent="0.25">
      <c r="A35" s="1">
        <f t="shared" si="0"/>
        <v>108</v>
      </c>
      <c r="B35" s="23">
        <v>0.27966552888620949</v>
      </c>
      <c r="C35" s="8">
        <v>0.19980072680779978</v>
      </c>
      <c r="D35" s="8">
        <v>0.19980072433890342</v>
      </c>
      <c r="E35" s="8">
        <v>0.22414110736649204</v>
      </c>
      <c r="F35" s="8">
        <v>0.20237886231997604</v>
      </c>
      <c r="G35" s="8">
        <v>0.25684417523931707</v>
      </c>
      <c r="H35" s="8">
        <v>0.27214574294541594</v>
      </c>
      <c r="I35" s="8">
        <v>0.33068747370963114</v>
      </c>
      <c r="J35" s="8">
        <v>0.25872052675248591</v>
      </c>
      <c r="K35" s="8">
        <v>0.34155508671432622</v>
      </c>
      <c r="L35" s="24">
        <v>0.34151951504271205</v>
      </c>
    </row>
    <row r="36" spans="1:12" x14ac:dyDescent="0.25">
      <c r="A36" s="1">
        <f t="shared" si="0"/>
        <v>114</v>
      </c>
      <c r="B36" s="23">
        <v>0.26055334803250496</v>
      </c>
      <c r="C36" s="8">
        <v>0.17816547220477885</v>
      </c>
      <c r="D36" s="8">
        <v>0.17816546980710693</v>
      </c>
      <c r="E36" s="8">
        <v>0.20080039933450147</v>
      </c>
      <c r="F36" s="8">
        <v>0.18177565860000766</v>
      </c>
      <c r="G36" s="8">
        <v>0.24134986694648314</v>
      </c>
      <c r="H36" s="8">
        <v>0.25627294376600696</v>
      </c>
      <c r="I36" s="8">
        <v>0.31838132916897066</v>
      </c>
      <c r="J36" s="8">
        <v>0.24180038487412459</v>
      </c>
      <c r="K36" s="8">
        <v>0.33015619943579377</v>
      </c>
      <c r="L36" s="24">
        <v>0.33012018626206729</v>
      </c>
    </row>
    <row r="37" spans="1:12" x14ac:dyDescent="0.25">
      <c r="A37" s="1">
        <f t="shared" si="0"/>
        <v>120</v>
      </c>
      <c r="B37" s="23">
        <v>0.24274728258901726</v>
      </c>
      <c r="C37" s="8">
        <v>0.15861101328360661</v>
      </c>
      <c r="D37" s="8">
        <v>0.1586110109696785</v>
      </c>
      <c r="E37" s="8">
        <v>0.17927148408692603</v>
      </c>
      <c r="F37" s="8">
        <v>0.16315315226519922</v>
      </c>
      <c r="G37" s="8">
        <v>0.22725101814850351</v>
      </c>
      <c r="H37" s="8">
        <v>0.24167317409031308</v>
      </c>
      <c r="I37" s="8">
        <v>0.30700430176315763</v>
      </c>
      <c r="J37" s="8">
        <v>0.22626845260675843</v>
      </c>
      <c r="K37" s="8">
        <v>0.31962757313613399</v>
      </c>
      <c r="L37" s="24">
        <v>0.31959121900734377</v>
      </c>
    </row>
    <row r="38" spans="1:12" x14ac:dyDescent="0.25">
      <c r="A38" s="1">
        <f t="shared" si="0"/>
        <v>126</v>
      </c>
      <c r="B38" s="23">
        <v>0.22615807338234983</v>
      </c>
      <c r="C38" s="8">
        <v>0.14097845865281172</v>
      </c>
      <c r="D38" s="8">
        <v>0.14097845643250023</v>
      </c>
      <c r="E38" s="8">
        <v>0.15948305611306535</v>
      </c>
      <c r="F38" s="8">
        <v>0.14634172768680098</v>
      </c>
      <c r="G38" s="8">
        <v>0.21438910718581256</v>
      </c>
      <c r="H38" s="8">
        <v>0.2282159279857463</v>
      </c>
      <c r="I38" s="8">
        <v>0.29645314663215183</v>
      </c>
      <c r="J38" s="8">
        <v>0.21198709718452635</v>
      </c>
      <c r="K38" s="8">
        <v>0.30986929561107412</v>
      </c>
      <c r="L38" s="24">
        <v>0.30983268467052882</v>
      </c>
    </row>
    <row r="39" spans="1:12" x14ac:dyDescent="0.25">
      <c r="A39" s="1">
        <f t="shared" si="0"/>
        <v>132</v>
      </c>
      <c r="B39" s="23">
        <v>0.21070256115950614</v>
      </c>
      <c r="C39" s="8">
        <v>0.12511400362595657</v>
      </c>
      <c r="D39" s="8">
        <v>0.12511400150671306</v>
      </c>
      <c r="E39" s="8">
        <v>0.14135989721253034</v>
      </c>
      <c r="F39" s="8">
        <v>0.13118221892292237</v>
      </c>
      <c r="G39" s="8">
        <v>0.2026263100739559</v>
      </c>
      <c r="H39" s="8">
        <v>0.21578686300623706</v>
      </c>
      <c r="I39" s="8">
        <v>0.28663947117019362</v>
      </c>
      <c r="J39" s="8">
        <v>0.19883454427300951</v>
      </c>
      <c r="K39" s="8">
        <v>0.30079638327760083</v>
      </c>
      <c r="L39" s="24">
        <v>0.30075958616115472</v>
      </c>
    </row>
    <row r="40" spans="1:12" x14ac:dyDescent="0.25">
      <c r="A40" s="1">
        <f t="shared" si="0"/>
        <v>138</v>
      </c>
      <c r="B40" s="23">
        <v>0.19630326972284959</v>
      </c>
      <c r="C40" s="8">
        <v>0.11087025451914576</v>
      </c>
      <c r="D40" s="8">
        <v>0.11087025250623873</v>
      </c>
      <c r="E40" s="8">
        <v>0.12482349969240029</v>
      </c>
      <c r="F40" s="8">
        <v>0.11752619762699856</v>
      </c>
      <c r="G40" s="8">
        <v>0.19184262580416553</v>
      </c>
      <c r="H40" s="8">
        <v>0.20428549064822554</v>
      </c>
      <c r="I40" s="8">
        <v>0.27748715423522641</v>
      </c>
      <c r="J40" s="8">
        <v>0.18670284483111821</v>
      </c>
      <c r="K40" s="8">
        <v>0.29233608441674097</v>
      </c>
      <c r="L40" s="24">
        <v>0.2922991605855394</v>
      </c>
    </row>
    <row r="41" spans="1:12" x14ac:dyDescent="0.25">
      <c r="A41" s="1">
        <f t="shared" si="0"/>
        <v>144</v>
      </c>
      <c r="B41" s="23">
        <v>0.1828880175533798</v>
      </c>
      <c r="C41" s="8">
        <v>9.8107149963114829E-2</v>
      </c>
      <c r="D41" s="8">
        <v>9.8107148059873445E-2</v>
      </c>
      <c r="E41" s="8">
        <v>0.10979271270292233</v>
      </c>
      <c r="F41" s="8">
        <v>0.10523596423908699</v>
      </c>
      <c r="G41" s="8">
        <v>0.18193338164505915</v>
      </c>
      <c r="H41" s="8">
        <v>0.19362323175250795</v>
      </c>
      <c r="I41" s="8">
        <v>0.26893028401343144</v>
      </c>
      <c r="J41" s="8">
        <v>0.17549611535863852</v>
      </c>
      <c r="K41" s="8">
        <v>0.28442574558494427</v>
      </c>
      <c r="L41" s="24">
        <v>0.28438874521338975</v>
      </c>
    </row>
    <row r="42" spans="1:12" x14ac:dyDescent="0.25">
      <c r="A42" s="1">
        <f t="shared" si="0"/>
        <v>150</v>
      </c>
      <c r="B42" s="23">
        <v>0.17038955597545008</v>
      </c>
      <c r="C42" s="8">
        <v>8.6692556677205115E-2</v>
      </c>
      <c r="D42" s="8">
        <v>8.6692554885260051E-2</v>
      </c>
      <c r="E42" s="8">
        <v>9.6184403347121042E-2</v>
      </c>
      <c r="F42" s="8">
        <v>9.4184327707373616E-2</v>
      </c>
      <c r="G42" s="8">
        <v>0.1728070854774035</v>
      </c>
      <c r="H42" s="8">
        <v>0.18372177605851814</v>
      </c>
      <c r="I42" s="8">
        <v>0.26091149754798137</v>
      </c>
      <c r="J42" s="8">
        <v>0.16512901727139029</v>
      </c>
      <c r="K42" s="8">
        <v>0.2770111092793438</v>
      </c>
      <c r="L42" s="24">
        <v>0.27697407479062675</v>
      </c>
    </row>
    <row r="43" spans="1:12" x14ac:dyDescent="0.25">
      <c r="A43" s="1">
        <f t="shared" si="0"/>
        <v>156</v>
      </c>
      <c r="B43" s="23">
        <v>0.15874523204909935</v>
      </c>
      <c r="C43" s="8">
        <v>7.6502604074540417E-2</v>
      </c>
      <c r="D43" s="8">
        <v>7.6502602394056679E-2</v>
      </c>
      <c r="E43" s="8">
        <v>8.3914123803580626E-2</v>
      </c>
      <c r="F43" s="8">
        <v>8.4254238159832684E-2</v>
      </c>
      <c r="G43" s="8">
        <v>0.16438358601305555</v>
      </c>
      <c r="H43" s="8">
        <v>0.17451169500652064</v>
      </c>
      <c r="I43" s="8">
        <v>0.2533806339094915</v>
      </c>
      <c r="J43" s="8">
        <v>0.15552544348988129</v>
      </c>
      <c r="K43" s="8">
        <v>0.27004494484829156</v>
      </c>
      <c r="L43" s="24">
        <v>0.2700079121693838</v>
      </c>
    </row>
    <row r="44" spans="1:12" x14ac:dyDescent="0.25">
      <c r="A44" s="1">
        <f t="shared" si="0"/>
        <v>162</v>
      </c>
      <c r="B44" s="23">
        <v>0.14789667450012758</v>
      </c>
      <c r="C44" s="8">
        <v>6.7421811286583685E-2</v>
      </c>
      <c r="D44" s="8">
        <v>6.7421809716481124E-2</v>
      </c>
      <c r="E44" s="8">
        <v>7.2896775473787367E-2</v>
      </c>
      <c r="F44" s="8">
        <v>7.5338321172113254E-2</v>
      </c>
      <c r="G44" s="8">
        <v>0.15659250125741461</v>
      </c>
      <c r="H44" s="8">
        <v>0.16593126550513659</v>
      </c>
      <c r="I44" s="8">
        <v>0.24629363421701278</v>
      </c>
      <c r="J44" s="8">
        <v>0.14661738357822895</v>
      </c>
      <c r="K44" s="8">
        <v>0.26348593914235197</v>
      </c>
      <c r="L44" s="24">
        <v>0.26344893873463904</v>
      </c>
    </row>
    <row r="45" spans="1:12" x14ac:dyDescent="0.25">
      <c r="A45" s="1">
        <f t="shared" si="0"/>
        <v>168</v>
      </c>
      <c r="B45" s="23">
        <v>0.13778950111352828</v>
      </c>
      <c r="C45" s="8">
        <v>5.9343051216841324E-2</v>
      </c>
      <c r="D45" s="8">
        <v>5.934304975500073E-2</v>
      </c>
      <c r="E45" s="8">
        <v>6.3047261119885997E-2</v>
      </c>
      <c r="F45" s="8">
        <v>6.7338350262007185E-2</v>
      </c>
      <c r="G45" s="8">
        <v>0.14937187797079218</v>
      </c>
      <c r="H45" s="8">
        <v>0.15792546969030663</v>
      </c>
      <c r="I45" s="8">
        <v>0.23961163740899483</v>
      </c>
      <c r="J45" s="8">
        <v>0.13834394224131996</v>
      </c>
      <c r="K45" s="8">
        <v>0.2572977912766744</v>
      </c>
      <c r="L45" s="24">
        <v>0.25726084898626578</v>
      </c>
    </row>
    <row r="46" spans="1:12" x14ac:dyDescent="0.25">
      <c r="A46" s="1">
        <f t="shared" si="0"/>
        <v>174</v>
      </c>
      <c r="B46" s="23">
        <v>0.1283730461234856</v>
      </c>
      <c r="C46" s="8">
        <v>5.2167388701365558E-2</v>
      </c>
      <c r="D46" s="8">
        <v>5.2167387344817961E-2</v>
      </c>
      <c r="E46" s="8">
        <v>5.4281116105099531E-2</v>
      </c>
      <c r="F46" s="8">
        <v>6.0164685048375244E-2</v>
      </c>
      <c r="G46" s="8">
        <v>0.14266704856711909</v>
      </c>
      <c r="H46" s="8">
        <v>0.1504451417978504</v>
      </c>
      <c r="I46" s="8">
        <v>0.23330023235566677</v>
      </c>
      <c r="J46" s="8">
        <v>0.13065048933255274</v>
      </c>
      <c r="K46" s="8">
        <v>0.25144846903696294</v>
      </c>
      <c r="L46" s="24">
        <v>0.25141160679937802</v>
      </c>
    </row>
    <row r="47" spans="1:12" x14ac:dyDescent="0.25">
      <c r="A47" s="1">
        <f t="shared" si="0"/>
        <v>180</v>
      </c>
      <c r="B47" s="23">
        <v>0.11960010623338105</v>
      </c>
      <c r="C47" s="8">
        <v>4.5803823503450948E-2</v>
      </c>
      <c r="D47" s="8">
        <v>4.5803822248549612E-2</v>
      </c>
      <c r="E47" s="8">
        <v>4.6515110191748935E-2</v>
      </c>
      <c r="F47" s="8">
        <v>5.3735695459262489E-2</v>
      </c>
      <c r="G47" s="8">
        <v>0.13642965596769485</v>
      </c>
      <c r="H47" s="8">
        <v>0.1434462383090005</v>
      </c>
      <c r="I47" s="8">
        <v>0.22732883568869011</v>
      </c>
      <c r="J47" s="8">
        <v>0.1234879225822646</v>
      </c>
      <c r="K47" s="8">
        <v>0.24590959423892012</v>
      </c>
      <c r="L47" s="24">
        <v>0.24587283066559018</v>
      </c>
    </row>
    <row r="48" spans="1:12" x14ac:dyDescent="0.25">
      <c r="A48" s="1">
        <f t="shared" si="0"/>
        <v>186</v>
      </c>
      <c r="B48" s="23">
        <v>0.11142670399264687</v>
      </c>
      <c r="C48" s="8">
        <v>4.0168963499985999E-2</v>
      </c>
      <c r="D48" s="8">
        <v>4.0168962342560573E-2</v>
      </c>
      <c r="E48" s="8">
        <v>3.9667811889350604E-2</v>
      </c>
      <c r="F48" s="8">
        <v>4.7977186953548023E-2</v>
      </c>
      <c r="G48" s="8">
        <v>0.13061682092931587</v>
      </c>
      <c r="H48" s="8">
        <v>0.13688921166901047</v>
      </c>
      <c r="I48" s="8">
        <v>0.22167017137529932</v>
      </c>
      <c r="J48" s="8">
        <v>0.11681202696893189</v>
      </c>
      <c r="K48" s="8">
        <v>0.24065593167803134</v>
      </c>
      <c r="L48" s="24">
        <v>0.24061928254644738</v>
      </c>
    </row>
    <row r="49" spans="1:12" x14ac:dyDescent="0.25">
      <c r="A49" s="1">
        <f t="shared" si="0"/>
        <v>192</v>
      </c>
      <c r="B49" s="23">
        <v>0.1038118673443084</v>
      </c>
      <c r="C49" s="8">
        <v>3.5186648869698987E-2</v>
      </c>
      <c r="D49" s="8">
        <v>3.5186647805192171E-2</v>
      </c>
      <c r="E49" s="8">
        <v>3.3660108070075731E-2</v>
      </c>
      <c r="F49" s="8">
        <v>4.2821837553758457E-2</v>
      </c>
      <c r="G49" s="8">
        <v>0.12519043005760125</v>
      </c>
      <c r="H49" s="8">
        <v>0.13073847127404203</v>
      </c>
      <c r="I49" s="8">
        <v>0.21629983314011358</v>
      </c>
      <c r="J49" s="8">
        <v>0.11058291701752898</v>
      </c>
      <c r="K49" s="8">
        <v>0.23566496184303642</v>
      </c>
      <c r="L49" s="24">
        <v>0.23562844050797138</v>
      </c>
    </row>
    <row r="50" spans="1:12" x14ac:dyDescent="0.25">
      <c r="A50" s="1">
        <f t="shared" si="0"/>
        <v>198</v>
      </c>
      <c r="B50" s="23">
        <v>9.6717424238120381E-2</v>
      </c>
      <c r="C50" s="8">
        <v>3.078754424289748E-2</v>
      </c>
      <c r="D50" s="8">
        <v>3.0787543266484627E-2</v>
      </c>
      <c r="E50" s="8">
        <v>2.8415672466990335E-2</v>
      </c>
      <c r="F50" s="8">
        <v>3.8208654288176991E-2</v>
      </c>
      <c r="G50" s="8">
        <v>0.120116526002243</v>
      </c>
      <c r="H50" s="8">
        <v>0.12496191820307101</v>
      </c>
      <c r="I50" s="8">
        <v>0.21119591473949584</v>
      </c>
      <c r="J50" s="8">
        <v>0.10476455034200993</v>
      </c>
      <c r="K50" s="8">
        <v>0.23091652178328226</v>
      </c>
      <c r="L50" s="24">
        <v>0.23088013952308739</v>
      </c>
    </row>
    <row r="51" spans="1:12" x14ac:dyDescent="0.25">
      <c r="A51" s="1">
        <f t="shared" si="0"/>
        <v>204</v>
      </c>
      <c r="B51" s="23">
        <v>9.0107811279722727E-2</v>
      </c>
      <c r="C51" s="8">
        <v>2.6908712515221967E-2</v>
      </c>
      <c r="D51" s="8">
        <v>2.6908711621914612E-2</v>
      </c>
      <c r="E51" s="8">
        <v>2.3861377721817702E-2</v>
      </c>
      <c r="F51" s="8">
        <v>3.4082454189939382E-2</v>
      </c>
      <c r="G51" s="8">
        <v>0.11536478419119281</v>
      </c>
      <c r="H51" s="8">
        <v>0.11953054245133676</v>
      </c>
      <c r="I51" s="8">
        <v>0.20633869611395361</v>
      </c>
      <c r="J51" s="8">
        <v>9.9324302485696903E-2</v>
      </c>
      <c r="K51" s="8">
        <v>0.22639250175659098</v>
      </c>
      <c r="L51" s="24">
        <v>0.22635626806584397</v>
      </c>
    </row>
    <row r="52" spans="1:12" x14ac:dyDescent="0.25">
      <c r="A52" s="1">
        <f t="shared" si="0"/>
        <v>210</v>
      </c>
      <c r="B52" s="23">
        <v>8.3949895456602988E-2</v>
      </c>
      <c r="C52" s="8">
        <v>2.3493181278807541E-2</v>
      </c>
      <c r="D52" s="8">
        <v>2.3493180463541798E-2</v>
      </c>
      <c r="E52" s="8">
        <v>1.9927646827460566E-2</v>
      </c>
      <c r="F52" s="8">
        <v>3.0393373132099444E-2</v>
      </c>
      <c r="G52" s="8">
        <v>0.11090806291462441</v>
      </c>
      <c r="H52" s="8">
        <v>0.11441807329261222</v>
      </c>
      <c r="I52" s="8">
        <v>0.20171037579839735</v>
      </c>
      <c r="J52" s="8">
        <v>9.4232594589999219E-2</v>
      </c>
      <c r="K52" s="8">
        <v>0.22207658778614758</v>
      </c>
      <c r="L52" s="24">
        <v>0.2220405106237956</v>
      </c>
    </row>
    <row r="53" spans="1:12" x14ac:dyDescent="0.25">
      <c r="A53" s="1">
        <f t="shared" si="0"/>
        <v>216</v>
      </c>
      <c r="B53" s="23">
        <v>7.8212808047203264E-2</v>
      </c>
      <c r="C53" s="8">
        <v>2.048951051092654E-2</v>
      </c>
      <c r="D53" s="8">
        <v>2.0489509768637594E-2</v>
      </c>
      <c r="E53" s="8">
        <v>1.6548741084994576E-2</v>
      </c>
      <c r="F53" s="8">
        <v>2.7096404361544479E-2</v>
      </c>
      <c r="G53" s="8">
        <v>0.10672201565441765</v>
      </c>
      <c r="H53" s="8">
        <v>0.10960067493543368</v>
      </c>
      <c r="I53" s="8">
        <v>0.19729484181698864</v>
      </c>
      <c r="J53" s="8">
        <v>8.9462566674068711E-2</v>
      </c>
      <c r="K53" s="8">
        <v>0.21795404220258496</v>
      </c>
      <c r="L53" s="24">
        <v>0.21791812820302781</v>
      </c>
    </row>
    <row r="54" spans="1:12" x14ac:dyDescent="0.25">
      <c r="A54" s="1">
        <f t="shared" si="0"/>
        <v>222</v>
      </c>
      <c r="B54" s="23">
        <v>7.2867789880583109E-2</v>
      </c>
      <c r="C54" s="8">
        <v>1.7851368221206684E-2</v>
      </c>
      <c r="D54" s="8">
        <v>1.7851367546890557E-2</v>
      </c>
      <c r="E54" s="8">
        <v>1.3662983029833705E-2</v>
      </c>
      <c r="F54" s="8">
        <v>2.4150967530998324E-2</v>
      </c>
      <c r="G54" s="8">
        <v>0.10278475631505628</v>
      </c>
      <c r="H54" s="8">
        <v>0.10505668090533549</v>
      </c>
      <c r="I54" s="8">
        <v>0.19307747474718462</v>
      </c>
      <c r="J54" s="8">
        <v>8.4989790368200313E-2</v>
      </c>
      <c r="K54" s="8">
        <v>0.21401151577360378</v>
      </c>
      <c r="L54" s="24">
        <v>0.21397577042678284</v>
      </c>
    </row>
    <row r="55" spans="1:12" x14ac:dyDescent="0.25">
      <c r="A55" s="1">
        <f t="shared" si="0"/>
        <v>228</v>
      </c>
      <c r="B55" s="23">
        <v>6.7888047170947638E-2</v>
      </c>
      <c r="C55" s="8">
        <v>1.5537119141073065E-2</v>
      </c>
      <c r="D55" s="8">
        <v>1.553711852983688E-2</v>
      </c>
      <c r="E55" s="8">
        <v>1.1212914138740836E-2</v>
      </c>
      <c r="F55" s="8">
        <v>2.15205082391694E-2</v>
      </c>
      <c r="G55" s="8">
        <v>9.9076569491634889E-2</v>
      </c>
      <c r="H55" s="8">
        <v>0.10076636163135388</v>
      </c>
      <c r="I55" s="8">
        <v>0.18904497779518592</v>
      </c>
      <c r="J55" s="8">
        <v>8.0792015841027576E-2</v>
      </c>
      <c r="K55" s="8">
        <v>0.21023688622689218</v>
      </c>
      <c r="L55" s="24">
        <v>0.21020131403238984</v>
      </c>
    </row>
    <row r="56" spans="1:12" x14ac:dyDescent="0.25">
      <c r="A56" s="1">
        <f t="shared" si="0"/>
        <v>234</v>
      </c>
      <c r="B56" s="23">
        <v>6.3248617204361021E-2</v>
      </c>
      <c r="C56" s="8">
        <v>1.3509430197519618E-2</v>
      </c>
      <c r="D56" s="8">
        <v>1.3509429644621705E-2</v>
      </c>
      <c r="E56" s="8">
        <v>9.1453884681224114E-3</v>
      </c>
      <c r="F56" s="8">
        <v>1.9172127513403137E-2</v>
      </c>
      <c r="G56" s="8">
        <v>9.557965915159812E-2</v>
      </c>
      <c r="H56" s="8">
        <v>9.6711720581278526E-2</v>
      </c>
      <c r="I56" s="8">
        <v>0.18518522964939366</v>
      </c>
      <c r="J56" s="8">
        <v>7.684894841993406E-2</v>
      </c>
      <c r="K56" s="8">
        <v>0.20661911892692186</v>
      </c>
      <c r="L56" s="24">
        <v>0.20658372352616627</v>
      </c>
    </row>
    <row r="57" spans="1:12" x14ac:dyDescent="0.25">
      <c r="A57" s="1">
        <f t="shared" si="0"/>
        <v>240</v>
      </c>
      <c r="B57" s="25">
        <v>5.8926243204352198E-2</v>
      </c>
      <c r="C57" s="26">
        <v>1.1734895408088043E-2</v>
      </c>
      <c r="D57" s="26">
        <v>1.1734894908968922E-2</v>
      </c>
      <c r="E57" s="26">
        <v>7.4116046543138943E-3</v>
      </c>
      <c r="F57" s="26">
        <v>1.7076240259215059E-2</v>
      </c>
      <c r="G57" s="26">
        <v>9.2277930145990311E-2</v>
      </c>
      <c r="H57" s="26">
        <v>9.2876315009237098E-2</v>
      </c>
      <c r="I57" s="26">
        <v>0.18148715662064441</v>
      </c>
      <c r="J57" s="26">
        <v>7.3142051047303092E-2</v>
      </c>
      <c r="K57" s="26">
        <v>0.20314814622788591</v>
      </c>
      <c r="L57" s="27">
        <v>0.20311293051787038</v>
      </c>
    </row>
  </sheetData>
  <mergeCells count="2">
    <mergeCell ref="B14:L14"/>
    <mergeCell ref="B15:L1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EA5C-C2A7-4C0C-9306-E1D51CDEEAF9}">
  <sheetPr codeName="Sheet6"/>
  <dimension ref="A1:R208"/>
  <sheetViews>
    <sheetView topLeftCell="C2" zoomScale="118" zoomScaleNormal="118" workbookViewId="0">
      <selection activeCell="B3" sqref="B3:C208"/>
    </sheetView>
  </sheetViews>
  <sheetFormatPr defaultRowHeight="15" x14ac:dyDescent="0.25"/>
  <cols>
    <col min="1" max="3" width="9.140625" style="1"/>
    <col min="6" max="6" width="9.140625" style="55"/>
    <col min="7" max="9" width="9.140625" style="1"/>
  </cols>
  <sheetData>
    <row r="1" spans="1:18" ht="16.5" customHeight="1" x14ac:dyDescent="0.25">
      <c r="A1" s="108" t="s">
        <v>756</v>
      </c>
      <c r="B1" s="108"/>
      <c r="C1" s="108"/>
      <c r="D1" s="108"/>
      <c r="E1" s="108"/>
      <c r="F1" s="108"/>
      <c r="G1" s="108"/>
      <c r="H1" t="s">
        <v>757</v>
      </c>
      <c r="I1" s="61"/>
      <c r="J1" s="61"/>
    </row>
    <row r="3" spans="1:18" x14ac:dyDescent="0.25">
      <c r="A3" s="58" t="s">
        <v>755</v>
      </c>
      <c r="B3" s="58" t="s">
        <v>714</v>
      </c>
      <c r="C3" s="58" t="s">
        <v>713</v>
      </c>
      <c r="D3" s="58" t="s">
        <v>719</v>
      </c>
      <c r="F3" s="56" t="str" cm="1">
        <f t="array" ref="F3:K197">KMTableFastW(B4:B208,C4:C208,D4:D208)</f>
        <v>time</v>
      </c>
      <c r="G3" s="16" t="str">
        <v>n_risk</v>
      </c>
      <c r="H3" s="16" t="str">
        <v>n_event</v>
      </c>
      <c r="I3" s="16" t="str">
        <v>n_censor</v>
      </c>
      <c r="J3" s="57" t="str">
        <v>step_surv</v>
      </c>
      <c r="K3" s="57" t="str">
        <v>km_surv</v>
      </c>
      <c r="M3" s="59" t="str" cm="1">
        <f t="array" ref="M3:N119">KMStepPlotTrim(F4:F197,K4:K197)</f>
        <v>plot_time</v>
      </c>
      <c r="N3" s="59" t="str">
        <v>plot_surv</v>
      </c>
      <c r="P3" s="58" t="str" cm="1">
        <f t="array" ref="P3:Q19">KMRiskAtIntervalStart(F4:F197,G4:G197,12)</f>
        <v>time</v>
      </c>
      <c r="Q3" s="58" t="str">
        <v>n_risk</v>
      </c>
      <c r="R3" s="60" t="s">
        <v>722</v>
      </c>
    </row>
    <row r="4" spans="1:18" x14ac:dyDescent="0.25">
      <c r="A4" s="1">
        <v>1</v>
      </c>
      <c r="B4" s="55">
        <v>0.32854209445585214</v>
      </c>
      <c r="C4" s="1">
        <v>0</v>
      </c>
      <c r="D4" s="1">
        <v>1</v>
      </c>
      <c r="F4" s="55">
        <v>0.32854209445585214</v>
      </c>
      <c r="G4" s="1">
        <v>205</v>
      </c>
      <c r="H4" s="1">
        <v>0</v>
      </c>
      <c r="I4" s="1">
        <v>1</v>
      </c>
      <c r="J4" s="15">
        <v>1</v>
      </c>
      <c r="K4" s="15">
        <v>1</v>
      </c>
      <c r="M4" s="2">
        <v>0</v>
      </c>
      <c r="N4" s="2">
        <v>1</v>
      </c>
      <c r="P4" s="1">
        <v>0</v>
      </c>
      <c r="Q4" s="1">
        <v>205</v>
      </c>
      <c r="R4" s="1">
        <v>0.02</v>
      </c>
    </row>
    <row r="5" spans="1:18" x14ac:dyDescent="0.25">
      <c r="A5" s="1">
        <v>2</v>
      </c>
      <c r="B5" s="55">
        <v>0.98562628336755642</v>
      </c>
      <c r="C5" s="1">
        <v>0</v>
      </c>
      <c r="D5" s="1">
        <v>1</v>
      </c>
      <c r="F5" s="55">
        <v>0.98562628336755642</v>
      </c>
      <c r="G5" s="1">
        <v>204</v>
      </c>
      <c r="H5" s="1">
        <v>0</v>
      </c>
      <c r="I5" s="1">
        <v>1</v>
      </c>
      <c r="J5" s="15">
        <v>1</v>
      </c>
      <c r="K5" s="15">
        <v>1</v>
      </c>
      <c r="M5" s="2">
        <v>6.0780287474332653</v>
      </c>
      <c r="N5" s="2">
        <v>1</v>
      </c>
      <c r="P5" s="1">
        <v>12</v>
      </c>
      <c r="Q5" s="1">
        <v>193</v>
      </c>
      <c r="R5" s="1">
        <v>0.02</v>
      </c>
    </row>
    <row r="6" spans="1:18" x14ac:dyDescent="0.25">
      <c r="A6" s="1">
        <v>3</v>
      </c>
      <c r="B6" s="55">
        <v>1.1498973305954825</v>
      </c>
      <c r="C6" s="1">
        <v>0</v>
      </c>
      <c r="D6" s="1">
        <v>1</v>
      </c>
      <c r="F6" s="55">
        <v>1.1498973305954825</v>
      </c>
      <c r="G6" s="1">
        <v>203</v>
      </c>
      <c r="H6" s="1">
        <v>0</v>
      </c>
      <c r="I6" s="1">
        <v>1</v>
      </c>
      <c r="J6" s="15">
        <v>1</v>
      </c>
      <c r="K6" s="15">
        <v>1</v>
      </c>
      <c r="M6" s="2">
        <v>6.0780287474332653</v>
      </c>
      <c r="N6" s="2">
        <v>0.99502487562189057</v>
      </c>
      <c r="P6" s="1">
        <v>24</v>
      </c>
      <c r="Q6" s="1">
        <v>183</v>
      </c>
      <c r="R6" s="1">
        <v>0.02</v>
      </c>
    </row>
    <row r="7" spans="1:18" x14ac:dyDescent="0.25">
      <c r="A7" s="1">
        <v>4</v>
      </c>
      <c r="B7" s="55">
        <v>3.2525667351129361</v>
      </c>
      <c r="C7" s="1">
        <v>0</v>
      </c>
      <c r="D7" s="1">
        <v>1</v>
      </c>
      <c r="F7" s="55">
        <v>3.2525667351129361</v>
      </c>
      <c r="G7" s="1">
        <v>202</v>
      </c>
      <c r="H7" s="1">
        <v>0</v>
      </c>
      <c r="I7" s="1">
        <v>1</v>
      </c>
      <c r="J7" s="15">
        <v>1</v>
      </c>
      <c r="K7" s="15">
        <v>1</v>
      </c>
      <c r="M7" s="2">
        <v>6.7022587268993838</v>
      </c>
      <c r="N7" s="2">
        <v>0.99502487562189057</v>
      </c>
      <c r="P7" s="1">
        <v>36</v>
      </c>
      <c r="Q7" s="1">
        <v>167</v>
      </c>
      <c r="R7" s="1">
        <v>0.02</v>
      </c>
    </row>
    <row r="8" spans="1:18" x14ac:dyDescent="0.25">
      <c r="A8" s="1">
        <v>5</v>
      </c>
      <c r="B8" s="55">
        <v>6.0780287474332653</v>
      </c>
      <c r="C8" s="1">
        <v>1</v>
      </c>
      <c r="D8" s="1">
        <v>1</v>
      </c>
      <c r="F8" s="55">
        <v>6.0780287474332653</v>
      </c>
      <c r="G8" s="1">
        <v>201</v>
      </c>
      <c r="H8" s="1">
        <v>1</v>
      </c>
      <c r="I8" s="1">
        <v>0</v>
      </c>
      <c r="J8" s="15">
        <v>0.99502487562189057</v>
      </c>
      <c r="K8" s="15">
        <v>0.99502487562189057</v>
      </c>
      <c r="M8" s="2">
        <v>6.7022587268993838</v>
      </c>
      <c r="N8" s="2">
        <v>0.99004975124378114</v>
      </c>
      <c r="P8" s="1">
        <v>48</v>
      </c>
      <c r="Q8" s="1">
        <v>160</v>
      </c>
      <c r="R8" s="1">
        <v>0.02</v>
      </c>
    </row>
    <row r="9" spans="1:18" x14ac:dyDescent="0.25">
      <c r="A9" s="1">
        <v>6</v>
      </c>
      <c r="B9" s="55">
        <v>6.7022587268993838</v>
      </c>
      <c r="C9" s="1">
        <v>1</v>
      </c>
      <c r="D9" s="1">
        <v>1</v>
      </c>
      <c r="F9" s="55">
        <v>6.7022587268993838</v>
      </c>
      <c r="G9" s="1">
        <v>200</v>
      </c>
      <c r="H9" s="1">
        <v>1</v>
      </c>
      <c r="I9" s="1">
        <v>0</v>
      </c>
      <c r="J9" s="15">
        <v>0.995</v>
      </c>
      <c r="K9" s="15">
        <v>0.99004975124378114</v>
      </c>
      <c r="M9" s="2">
        <v>6.8993839835728954</v>
      </c>
      <c r="N9" s="2">
        <v>0.99004975124378114</v>
      </c>
      <c r="P9" s="1">
        <v>60</v>
      </c>
      <c r="Q9" s="1">
        <v>122</v>
      </c>
      <c r="R9" s="1">
        <v>0.02</v>
      </c>
    </row>
    <row r="10" spans="1:18" x14ac:dyDescent="0.25">
      <c r="A10" s="1">
        <v>7</v>
      </c>
      <c r="B10" s="55">
        <v>6.8993839835728954</v>
      </c>
      <c r="C10" s="1">
        <v>1</v>
      </c>
      <c r="D10" s="1">
        <v>1</v>
      </c>
      <c r="F10" s="55">
        <v>6.8993839835728954</v>
      </c>
      <c r="G10" s="1">
        <v>199</v>
      </c>
      <c r="H10" s="1">
        <v>1</v>
      </c>
      <c r="I10" s="1">
        <v>0</v>
      </c>
      <c r="J10" s="15">
        <v>0.99497487437185927</v>
      </c>
      <c r="K10" s="15">
        <v>0.98507462686567171</v>
      </c>
      <c r="M10" s="2">
        <v>6.8993839835728954</v>
      </c>
      <c r="N10" s="2">
        <v>0.98507462686567171</v>
      </c>
      <c r="P10" s="1">
        <v>72</v>
      </c>
      <c r="Q10" s="1">
        <v>83</v>
      </c>
      <c r="R10" s="1">
        <v>0.02</v>
      </c>
    </row>
    <row r="11" spans="1:18" x14ac:dyDescent="0.25">
      <c r="A11" s="1">
        <v>8</v>
      </c>
      <c r="B11" s="55">
        <v>7.6221765913757702</v>
      </c>
      <c r="C11" s="1">
        <v>0</v>
      </c>
      <c r="D11" s="1">
        <v>1</v>
      </c>
      <c r="F11" s="55">
        <v>7.6221765913757702</v>
      </c>
      <c r="G11" s="1">
        <v>198</v>
      </c>
      <c r="H11" s="1">
        <v>1</v>
      </c>
      <c r="I11" s="1">
        <v>1</v>
      </c>
      <c r="J11" s="15">
        <v>0.99494949494949492</v>
      </c>
      <c r="K11" s="15">
        <v>0.98009950248756228</v>
      </c>
      <c r="M11" s="2">
        <v>7.6221765913757702</v>
      </c>
      <c r="N11" s="2">
        <v>0.98507462686567171</v>
      </c>
      <c r="P11" s="1">
        <v>84</v>
      </c>
      <c r="Q11" s="1">
        <v>64</v>
      </c>
      <c r="R11" s="1">
        <v>0.02</v>
      </c>
    </row>
    <row r="12" spans="1:18" x14ac:dyDescent="0.25">
      <c r="A12" s="1">
        <v>9</v>
      </c>
      <c r="B12" s="55">
        <v>7.6221765913757702</v>
      </c>
      <c r="C12" s="1">
        <v>1</v>
      </c>
      <c r="D12" s="1">
        <v>1</v>
      </c>
      <c r="F12" s="55">
        <v>9.1663244353182751</v>
      </c>
      <c r="G12" s="1">
        <v>196</v>
      </c>
      <c r="H12" s="1">
        <v>1</v>
      </c>
      <c r="I12" s="1">
        <v>0</v>
      </c>
      <c r="J12" s="15">
        <v>0.99489795918367352</v>
      </c>
      <c r="K12" s="15">
        <v>0.97509899482180951</v>
      </c>
      <c r="M12" s="2">
        <v>7.6221765913757702</v>
      </c>
      <c r="N12" s="2">
        <v>0.98009950248756228</v>
      </c>
      <c r="P12" s="1">
        <v>96</v>
      </c>
      <c r="Q12" s="1">
        <v>55</v>
      </c>
      <c r="R12" s="1">
        <v>0.02</v>
      </c>
    </row>
    <row r="13" spans="1:18" x14ac:dyDescent="0.25">
      <c r="A13" s="1">
        <v>10</v>
      </c>
      <c r="B13" s="55">
        <v>9.1663244353182751</v>
      </c>
      <c r="C13" s="1">
        <v>1</v>
      </c>
      <c r="D13" s="1">
        <v>1</v>
      </c>
      <c r="F13" s="55">
        <v>9.6919917864476393</v>
      </c>
      <c r="G13" s="1">
        <v>195</v>
      </c>
      <c r="H13" s="1">
        <v>1</v>
      </c>
      <c r="I13" s="1">
        <v>0</v>
      </c>
      <c r="J13" s="15">
        <v>0.99487179487179489</v>
      </c>
      <c r="K13" s="15">
        <v>0.97009848715605662</v>
      </c>
      <c r="M13" s="2">
        <v>9.1663244353182751</v>
      </c>
      <c r="N13" s="2">
        <v>0.98009950248756228</v>
      </c>
      <c r="P13" s="1">
        <v>108</v>
      </c>
      <c r="Q13" s="1">
        <v>38</v>
      </c>
      <c r="R13" s="1">
        <v>0.02</v>
      </c>
    </row>
    <row r="14" spans="1:18" x14ac:dyDescent="0.25">
      <c r="A14" s="1">
        <v>11</v>
      </c>
      <c r="B14" s="55">
        <v>9.6919917864476393</v>
      </c>
      <c r="C14" s="1">
        <v>1</v>
      </c>
      <c r="D14" s="1">
        <v>1</v>
      </c>
      <c r="F14" s="55">
        <v>11.663244353182751</v>
      </c>
      <c r="G14" s="1">
        <v>194</v>
      </c>
      <c r="H14" s="1">
        <v>0</v>
      </c>
      <c r="I14" s="1">
        <v>1</v>
      </c>
      <c r="J14" s="15">
        <v>1</v>
      </c>
      <c r="K14" s="15">
        <v>0.97009848715605662</v>
      </c>
      <c r="M14" s="2">
        <v>9.1663244353182751</v>
      </c>
      <c r="N14" s="2">
        <v>0.97509899482180951</v>
      </c>
      <c r="P14" s="1">
        <v>120</v>
      </c>
      <c r="Q14" s="1">
        <v>23</v>
      </c>
      <c r="R14" s="1">
        <v>0.02</v>
      </c>
    </row>
    <row r="15" spans="1:18" x14ac:dyDescent="0.25">
      <c r="A15" s="1">
        <v>12</v>
      </c>
      <c r="B15" s="55">
        <v>11.663244353182751</v>
      </c>
      <c r="C15" s="1">
        <v>0</v>
      </c>
      <c r="D15" s="1">
        <v>1</v>
      </c>
      <c r="F15" s="55">
        <v>12.681724845995893</v>
      </c>
      <c r="G15" s="1">
        <v>193</v>
      </c>
      <c r="H15" s="1">
        <v>1</v>
      </c>
      <c r="I15" s="1">
        <v>0</v>
      </c>
      <c r="J15" s="15">
        <v>0.99481865284974091</v>
      </c>
      <c r="K15" s="15">
        <v>0.96507207012415996</v>
      </c>
      <c r="M15" s="2">
        <v>9.6919917864476393</v>
      </c>
      <c r="N15" s="2">
        <v>0.97509899482180951</v>
      </c>
      <c r="P15" s="1">
        <v>132</v>
      </c>
      <c r="Q15" s="1">
        <v>12</v>
      </c>
      <c r="R15" s="1">
        <v>0.02</v>
      </c>
    </row>
    <row r="16" spans="1:18" x14ac:dyDescent="0.25">
      <c r="A16" s="1">
        <v>13</v>
      </c>
      <c r="B16" s="55">
        <v>12.681724845995893</v>
      </c>
      <c r="C16" s="1">
        <v>1</v>
      </c>
      <c r="D16" s="1">
        <v>1</v>
      </c>
      <c r="F16" s="55">
        <v>13.995893223819301</v>
      </c>
      <c r="G16" s="1">
        <v>192</v>
      </c>
      <c r="H16" s="1">
        <v>1</v>
      </c>
      <c r="I16" s="1">
        <v>0</v>
      </c>
      <c r="J16" s="15">
        <v>0.99479166666666663</v>
      </c>
      <c r="K16" s="15">
        <v>0.96004565309226331</v>
      </c>
      <c r="M16" s="2">
        <v>9.6919917864476393</v>
      </c>
      <c r="N16" s="2">
        <v>0.97009848715605662</v>
      </c>
      <c r="P16" s="1">
        <v>144</v>
      </c>
      <c r="Q16" s="1">
        <v>7</v>
      </c>
      <c r="R16" s="1">
        <v>0.02</v>
      </c>
    </row>
    <row r="17" spans="1:18" x14ac:dyDescent="0.25">
      <c r="A17" s="1">
        <v>14</v>
      </c>
      <c r="B17" s="55">
        <v>13.995893223819301</v>
      </c>
      <c r="C17" s="1">
        <v>1</v>
      </c>
      <c r="D17" s="1">
        <v>1</v>
      </c>
      <c r="F17" s="55">
        <v>15.408624229979466</v>
      </c>
      <c r="G17" s="1">
        <v>191</v>
      </c>
      <c r="H17" s="1">
        <v>1</v>
      </c>
      <c r="I17" s="1">
        <v>0</v>
      </c>
      <c r="J17" s="15">
        <v>0.99476439790575921</v>
      </c>
      <c r="K17" s="15">
        <v>0.95501923606036665</v>
      </c>
      <c r="M17" s="2">
        <v>12.681724845995893</v>
      </c>
      <c r="N17" s="2">
        <v>0.97009848715605662</v>
      </c>
      <c r="P17" s="1">
        <v>156</v>
      </c>
      <c r="Q17" s="1">
        <v>2</v>
      </c>
      <c r="R17" s="1">
        <v>0.02</v>
      </c>
    </row>
    <row r="18" spans="1:18" x14ac:dyDescent="0.25">
      <c r="A18" s="1">
        <v>15</v>
      </c>
      <c r="B18" s="55">
        <v>15.408624229979466</v>
      </c>
      <c r="C18" s="1">
        <v>1</v>
      </c>
      <c r="D18" s="1">
        <v>1</v>
      </c>
      <c r="F18" s="55">
        <v>16.197125256673512</v>
      </c>
      <c r="G18" s="1">
        <v>190</v>
      </c>
      <c r="H18" s="1">
        <v>0</v>
      </c>
      <c r="I18" s="1">
        <v>1</v>
      </c>
      <c r="J18" s="15">
        <v>1</v>
      </c>
      <c r="K18" s="15">
        <v>0.95501923606036665</v>
      </c>
      <c r="M18" s="2">
        <v>12.681724845995893</v>
      </c>
      <c r="N18" s="2">
        <v>0.96507207012415996</v>
      </c>
      <c r="P18" s="1">
        <v>168</v>
      </c>
      <c r="Q18" s="1">
        <v>1</v>
      </c>
      <c r="R18" s="1">
        <v>0.02</v>
      </c>
    </row>
    <row r="19" spans="1:18" x14ac:dyDescent="0.25">
      <c r="A19" s="1">
        <v>16</v>
      </c>
      <c r="B19" s="55">
        <v>16.197125256673512</v>
      </c>
      <c r="C19" s="1">
        <v>0</v>
      </c>
      <c r="D19" s="1">
        <v>1</v>
      </c>
      <c r="F19" s="55">
        <v>17.37987679671458</v>
      </c>
      <c r="G19" s="1">
        <v>189</v>
      </c>
      <c r="H19" s="1">
        <v>1</v>
      </c>
      <c r="I19" s="1">
        <v>0</v>
      </c>
      <c r="J19" s="15">
        <v>0.99470899470899465</v>
      </c>
      <c r="K19" s="15">
        <v>0.94996622422935939</v>
      </c>
      <c r="M19" s="2">
        <v>13.995893223819301</v>
      </c>
      <c r="N19" s="2">
        <v>0.96507207012415996</v>
      </c>
      <c r="P19" s="1">
        <v>180</v>
      </c>
      <c r="Q19" s="1">
        <v>1</v>
      </c>
      <c r="R19" s="1">
        <v>0.02</v>
      </c>
    </row>
    <row r="20" spans="1:18" x14ac:dyDescent="0.25">
      <c r="A20" s="1">
        <v>17</v>
      </c>
      <c r="B20" s="55">
        <v>17.37987679671458</v>
      </c>
      <c r="C20" s="1">
        <v>1</v>
      </c>
      <c r="D20" s="1">
        <v>1</v>
      </c>
      <c r="F20" s="55">
        <v>20.402464065708418</v>
      </c>
      <c r="G20" s="1">
        <v>188</v>
      </c>
      <c r="H20" s="1">
        <v>1</v>
      </c>
      <c r="I20" s="1">
        <v>0</v>
      </c>
      <c r="J20" s="15">
        <v>0.99468085106382975</v>
      </c>
      <c r="K20" s="15">
        <v>0.94491321239835213</v>
      </c>
      <c r="M20" s="2">
        <v>13.995893223819301</v>
      </c>
      <c r="N20" s="2">
        <v>0.96004565309226331</v>
      </c>
    </row>
    <row r="21" spans="1:18" x14ac:dyDescent="0.25">
      <c r="A21" s="1">
        <v>18</v>
      </c>
      <c r="B21" s="55">
        <v>20.402464065708418</v>
      </c>
      <c r="C21" s="1">
        <v>1</v>
      </c>
      <c r="D21" s="1">
        <v>1</v>
      </c>
      <c r="F21" s="55">
        <v>20.6652977412731</v>
      </c>
      <c r="G21" s="1">
        <v>187</v>
      </c>
      <c r="H21" s="1">
        <v>1</v>
      </c>
      <c r="I21" s="1">
        <v>0</v>
      </c>
      <c r="J21" s="15">
        <v>0.99465240641711228</v>
      </c>
      <c r="K21" s="15">
        <v>0.93986020056734487</v>
      </c>
      <c r="M21" s="2">
        <v>15.408624229979466</v>
      </c>
      <c r="N21" s="2">
        <v>0.96004565309226331</v>
      </c>
    </row>
    <row r="22" spans="1:18" x14ac:dyDescent="0.25">
      <c r="A22" s="1">
        <v>19</v>
      </c>
      <c r="B22" s="55">
        <v>20.6652977412731</v>
      </c>
      <c r="C22" s="1">
        <v>1</v>
      </c>
      <c r="D22" s="1">
        <v>1</v>
      </c>
      <c r="F22" s="55">
        <v>21.650924024640656</v>
      </c>
      <c r="G22" s="1">
        <v>186</v>
      </c>
      <c r="H22" s="1">
        <v>1</v>
      </c>
      <c r="I22" s="1">
        <v>0</v>
      </c>
      <c r="J22" s="15">
        <v>0.9946236559139785</v>
      </c>
      <c r="K22" s="15">
        <v>0.93480718873633761</v>
      </c>
      <c r="M22" s="2">
        <v>15.408624229979466</v>
      </c>
      <c r="N22" s="2">
        <v>0.95501923606036665</v>
      </c>
    </row>
    <row r="23" spans="1:18" x14ac:dyDescent="0.25">
      <c r="A23" s="1">
        <v>20</v>
      </c>
      <c r="B23" s="55">
        <v>21.650924024640656</v>
      </c>
      <c r="C23" s="1">
        <v>1</v>
      </c>
      <c r="D23" s="1">
        <v>1</v>
      </c>
      <c r="F23" s="55">
        <v>21.913757700205338</v>
      </c>
      <c r="G23" s="1">
        <v>185</v>
      </c>
      <c r="H23" s="1">
        <v>1</v>
      </c>
      <c r="I23" s="1">
        <v>0</v>
      </c>
      <c r="J23" s="15">
        <v>0.99459459459459465</v>
      </c>
      <c r="K23" s="15">
        <v>0.92975417690533046</v>
      </c>
      <c r="M23" s="2">
        <v>17.37987679671458</v>
      </c>
      <c r="N23" s="2">
        <v>0.95501923606036665</v>
      </c>
    </row>
    <row r="24" spans="1:18" x14ac:dyDescent="0.25">
      <c r="A24" s="1">
        <v>21</v>
      </c>
      <c r="B24" s="55">
        <v>21.913757700205338</v>
      </c>
      <c r="C24" s="1">
        <v>1</v>
      </c>
      <c r="D24" s="1">
        <v>1</v>
      </c>
      <c r="F24" s="55">
        <v>23.589322381930184</v>
      </c>
      <c r="G24" s="1">
        <v>184</v>
      </c>
      <c r="H24" s="1">
        <v>1</v>
      </c>
      <c r="I24" s="1">
        <v>0</v>
      </c>
      <c r="J24" s="15">
        <v>0.99456521739130432</v>
      </c>
      <c r="K24" s="15">
        <v>0.92470116507432321</v>
      </c>
      <c r="M24" s="2">
        <v>17.37987679671458</v>
      </c>
      <c r="N24" s="2">
        <v>0.94996622422935939</v>
      </c>
    </row>
    <row r="25" spans="1:18" x14ac:dyDescent="0.25">
      <c r="A25" s="1">
        <v>22</v>
      </c>
      <c r="B25" s="55">
        <v>23.589322381930184</v>
      </c>
      <c r="C25" s="1">
        <v>1</v>
      </c>
      <c r="D25" s="1">
        <v>1</v>
      </c>
      <c r="F25" s="55">
        <v>24.706365503080082</v>
      </c>
      <c r="G25" s="1">
        <v>183</v>
      </c>
      <c r="H25" s="1">
        <v>1</v>
      </c>
      <c r="I25" s="1">
        <v>0</v>
      </c>
      <c r="J25" s="15">
        <v>0.99453551912568305</v>
      </c>
      <c r="K25" s="15">
        <v>0.91964815324331595</v>
      </c>
      <c r="M25" s="2">
        <v>20.402464065708418</v>
      </c>
      <c r="N25" s="2">
        <v>0.94996622422935939</v>
      </c>
    </row>
    <row r="26" spans="1:18" x14ac:dyDescent="0.25">
      <c r="A26" s="1">
        <v>23</v>
      </c>
      <c r="B26" s="55">
        <v>24.706365503080082</v>
      </c>
      <c r="C26" s="1">
        <v>1</v>
      </c>
      <c r="D26" s="1">
        <v>1</v>
      </c>
      <c r="F26" s="55">
        <v>25.593429158110883</v>
      </c>
      <c r="G26" s="1">
        <v>182</v>
      </c>
      <c r="H26" s="1">
        <v>1</v>
      </c>
      <c r="I26" s="1">
        <v>0</v>
      </c>
      <c r="J26" s="15">
        <v>0.99450549450549453</v>
      </c>
      <c r="K26" s="15">
        <v>0.91459514141230869</v>
      </c>
      <c r="M26" s="2">
        <v>20.402464065708418</v>
      </c>
      <c r="N26" s="2">
        <v>0.94491321239835213</v>
      </c>
    </row>
    <row r="27" spans="1:18" x14ac:dyDescent="0.25">
      <c r="A27" s="1">
        <v>24</v>
      </c>
      <c r="B27" s="55">
        <v>25.593429158110883</v>
      </c>
      <c r="C27" s="1">
        <v>1</v>
      </c>
      <c r="D27" s="1">
        <v>1</v>
      </c>
      <c r="F27" s="55">
        <v>26.053388090349078</v>
      </c>
      <c r="G27" s="1">
        <v>181</v>
      </c>
      <c r="H27" s="1">
        <v>1</v>
      </c>
      <c r="I27" s="1">
        <v>0</v>
      </c>
      <c r="J27" s="15">
        <v>0.99447513812154698</v>
      </c>
      <c r="K27" s="15">
        <v>0.90954212958130143</v>
      </c>
      <c r="M27" s="2">
        <v>20.6652977412731</v>
      </c>
      <c r="N27" s="2">
        <v>0.94491321239835213</v>
      </c>
    </row>
    <row r="28" spans="1:18" x14ac:dyDescent="0.25">
      <c r="A28" s="1">
        <v>25</v>
      </c>
      <c r="B28" s="55">
        <v>26.053388090349078</v>
      </c>
      <c r="C28" s="1">
        <v>1</v>
      </c>
      <c r="D28" s="1">
        <v>1</v>
      </c>
      <c r="F28" s="55">
        <v>26.84188911704312</v>
      </c>
      <c r="G28" s="1">
        <v>180</v>
      </c>
      <c r="H28" s="1">
        <v>1</v>
      </c>
      <c r="I28" s="1">
        <v>0</v>
      </c>
      <c r="J28" s="15">
        <v>0.99444444444444446</v>
      </c>
      <c r="K28" s="15">
        <v>0.90448911775029417</v>
      </c>
      <c r="M28" s="2">
        <v>20.6652977412731</v>
      </c>
      <c r="N28" s="2">
        <v>0.93986020056734487</v>
      </c>
    </row>
    <row r="29" spans="1:18" x14ac:dyDescent="0.25">
      <c r="A29" s="1">
        <v>26</v>
      </c>
      <c r="B29" s="55">
        <v>26.84188911704312</v>
      </c>
      <c r="C29" s="1">
        <v>1</v>
      </c>
      <c r="D29" s="1">
        <v>1</v>
      </c>
      <c r="F29" s="55">
        <v>27.137577002053387</v>
      </c>
      <c r="G29" s="1">
        <v>179</v>
      </c>
      <c r="H29" s="1">
        <v>0</v>
      </c>
      <c r="I29" s="1">
        <v>1</v>
      </c>
      <c r="J29" s="15">
        <v>1</v>
      </c>
      <c r="K29" s="15">
        <v>0.90448911775029417</v>
      </c>
      <c r="M29" s="2">
        <v>21.650924024640656</v>
      </c>
      <c r="N29" s="2">
        <v>0.93986020056734487</v>
      </c>
    </row>
    <row r="30" spans="1:18" x14ac:dyDescent="0.25">
      <c r="A30" s="1">
        <v>27</v>
      </c>
      <c r="B30" s="55">
        <v>27.137577002053387</v>
      </c>
      <c r="C30" s="1">
        <v>0</v>
      </c>
      <c r="D30" s="1">
        <v>1</v>
      </c>
      <c r="F30" s="55">
        <v>27.367556468172484</v>
      </c>
      <c r="G30" s="1">
        <v>178</v>
      </c>
      <c r="H30" s="1">
        <v>1</v>
      </c>
      <c r="I30" s="1">
        <v>0</v>
      </c>
      <c r="J30" s="15">
        <v>0.9943820224719101</v>
      </c>
      <c r="K30" s="15">
        <v>0.8994077182123712</v>
      </c>
      <c r="M30" s="2">
        <v>21.650924024640656</v>
      </c>
      <c r="N30" s="2">
        <v>0.93480718873633761</v>
      </c>
    </row>
    <row r="31" spans="1:18" x14ac:dyDescent="0.25">
      <c r="A31" s="1">
        <v>28</v>
      </c>
      <c r="B31" s="55">
        <v>27.367556468172484</v>
      </c>
      <c r="C31" s="1">
        <v>1</v>
      </c>
      <c r="D31" s="1">
        <v>1</v>
      </c>
      <c r="F31" s="55">
        <v>28.188911704312115</v>
      </c>
      <c r="G31" s="1">
        <v>177</v>
      </c>
      <c r="H31" s="1">
        <v>1</v>
      </c>
      <c r="I31" s="1">
        <v>0</v>
      </c>
      <c r="J31" s="15">
        <v>0.99435028248587576</v>
      </c>
      <c r="K31" s="15">
        <v>0.89432631867444823</v>
      </c>
      <c r="M31" s="2">
        <v>21.913757700205338</v>
      </c>
      <c r="N31" s="2">
        <v>0.93480718873633761</v>
      </c>
    </row>
    <row r="32" spans="1:18" x14ac:dyDescent="0.25">
      <c r="A32" s="1">
        <v>29</v>
      </c>
      <c r="B32" s="55">
        <v>28.188911704312115</v>
      </c>
      <c r="C32" s="1">
        <v>1</v>
      </c>
      <c r="D32" s="1">
        <v>1</v>
      </c>
      <c r="F32" s="55">
        <v>28.550308008213552</v>
      </c>
      <c r="G32" s="1">
        <v>176</v>
      </c>
      <c r="H32" s="1">
        <v>1</v>
      </c>
      <c r="I32" s="1">
        <v>0</v>
      </c>
      <c r="J32" s="15">
        <v>0.99431818181818177</v>
      </c>
      <c r="K32" s="15">
        <v>0.88924491913652515</v>
      </c>
      <c r="M32" s="2">
        <v>21.913757700205338</v>
      </c>
      <c r="N32" s="2">
        <v>0.92975417690533046</v>
      </c>
    </row>
    <row r="33" spans="1:14" x14ac:dyDescent="0.25">
      <c r="A33" s="1">
        <v>30</v>
      </c>
      <c r="B33" s="55">
        <v>28.550308008213552</v>
      </c>
      <c r="C33" s="1">
        <v>1</v>
      </c>
      <c r="D33" s="1">
        <v>1</v>
      </c>
      <c r="F33" s="55">
        <v>28.648870636550306</v>
      </c>
      <c r="G33" s="1">
        <v>175</v>
      </c>
      <c r="H33" s="1">
        <v>1</v>
      </c>
      <c r="I33" s="1">
        <v>0</v>
      </c>
      <c r="J33" s="15">
        <v>0.99428571428571433</v>
      </c>
      <c r="K33" s="15">
        <v>0.88416351959860218</v>
      </c>
      <c r="M33" s="2">
        <v>23.589322381930184</v>
      </c>
      <c r="N33" s="2">
        <v>0.92975417690533046</v>
      </c>
    </row>
    <row r="34" spans="1:14" x14ac:dyDescent="0.25">
      <c r="A34" s="1">
        <v>31</v>
      </c>
      <c r="B34" s="55">
        <v>28.648870636550306</v>
      </c>
      <c r="C34" s="1">
        <v>1</v>
      </c>
      <c r="D34" s="1">
        <v>1</v>
      </c>
      <c r="F34" s="55">
        <v>31.770020533880903</v>
      </c>
      <c r="G34" s="1">
        <v>174</v>
      </c>
      <c r="H34" s="1">
        <v>1</v>
      </c>
      <c r="I34" s="1">
        <v>0</v>
      </c>
      <c r="J34" s="15">
        <v>0.99425287356321834</v>
      </c>
      <c r="K34" s="15">
        <v>0.8790821200606791</v>
      </c>
      <c r="M34" s="2">
        <v>23.589322381930184</v>
      </c>
      <c r="N34" s="2">
        <v>0.92470116507432321</v>
      </c>
    </row>
    <row r="35" spans="1:14" x14ac:dyDescent="0.25">
      <c r="A35" s="1">
        <v>32</v>
      </c>
      <c r="B35" s="55">
        <v>31.770020533880903</v>
      </c>
      <c r="C35" s="1">
        <v>1</v>
      </c>
      <c r="D35" s="1">
        <v>1</v>
      </c>
      <c r="F35" s="55">
        <v>32.098562628336758</v>
      </c>
      <c r="G35" s="1">
        <v>173</v>
      </c>
      <c r="H35" s="1">
        <v>1</v>
      </c>
      <c r="I35" s="1">
        <v>0</v>
      </c>
      <c r="J35" s="15">
        <v>0.9942196531791907</v>
      </c>
      <c r="K35" s="15">
        <v>0.87400072052275601</v>
      </c>
      <c r="M35" s="2">
        <v>24.706365503080082</v>
      </c>
      <c r="N35" s="2">
        <v>0.92470116507432321</v>
      </c>
    </row>
    <row r="36" spans="1:14" x14ac:dyDescent="0.25">
      <c r="A36" s="1">
        <v>33</v>
      </c>
      <c r="B36" s="55">
        <v>32.098562628336758</v>
      </c>
      <c r="C36" s="1">
        <v>1</v>
      </c>
      <c r="D36" s="1">
        <v>1</v>
      </c>
      <c r="F36" s="55">
        <v>32.262833675564679</v>
      </c>
      <c r="G36" s="1">
        <v>172</v>
      </c>
      <c r="H36" s="1">
        <v>1</v>
      </c>
      <c r="I36" s="1">
        <v>0</v>
      </c>
      <c r="J36" s="15">
        <v>0.9941860465116279</v>
      </c>
      <c r="K36" s="15">
        <v>0.86891932098483304</v>
      </c>
      <c r="M36" s="2">
        <v>24.706365503080082</v>
      </c>
      <c r="N36" s="2">
        <v>0.91964815324331595</v>
      </c>
    </row>
    <row r="37" spans="1:14" x14ac:dyDescent="0.25">
      <c r="A37" s="1">
        <v>34</v>
      </c>
      <c r="B37" s="55">
        <v>32.262833675564679</v>
      </c>
      <c r="C37" s="1">
        <v>1</v>
      </c>
      <c r="D37" s="1">
        <v>1</v>
      </c>
      <c r="F37" s="55">
        <v>34.201232032854207</v>
      </c>
      <c r="G37" s="1">
        <v>171</v>
      </c>
      <c r="H37" s="1">
        <v>1</v>
      </c>
      <c r="I37" s="1">
        <v>0</v>
      </c>
      <c r="J37" s="15">
        <v>0.99415204678362568</v>
      </c>
      <c r="K37" s="15">
        <v>0.86383792144690996</v>
      </c>
      <c r="M37" s="2">
        <v>25.593429158110883</v>
      </c>
      <c r="N37" s="2">
        <v>0.91964815324331595</v>
      </c>
    </row>
    <row r="38" spans="1:14" x14ac:dyDescent="0.25">
      <c r="A38" s="1">
        <v>35</v>
      </c>
      <c r="B38" s="55">
        <v>34.201232032854207</v>
      </c>
      <c r="C38" s="1">
        <v>1</v>
      </c>
      <c r="D38" s="1">
        <v>1</v>
      </c>
      <c r="F38" s="55">
        <v>34.661190965092402</v>
      </c>
      <c r="G38" s="1">
        <v>170</v>
      </c>
      <c r="H38" s="1">
        <v>1</v>
      </c>
      <c r="I38" s="1">
        <v>0</v>
      </c>
      <c r="J38" s="15">
        <v>0.99411764705882355</v>
      </c>
      <c r="K38" s="15">
        <v>0.85875652190898699</v>
      </c>
      <c r="M38" s="2">
        <v>25.593429158110883</v>
      </c>
      <c r="N38" s="2">
        <v>0.91459514141230869</v>
      </c>
    </row>
    <row r="39" spans="1:14" x14ac:dyDescent="0.25">
      <c r="A39" s="1">
        <v>36</v>
      </c>
      <c r="B39" s="55">
        <v>34.661190965092402</v>
      </c>
      <c r="C39" s="1">
        <v>1</v>
      </c>
      <c r="D39" s="1">
        <v>1</v>
      </c>
      <c r="F39" s="55">
        <v>34.891170431211499</v>
      </c>
      <c r="G39" s="1">
        <v>169</v>
      </c>
      <c r="H39" s="1">
        <v>1</v>
      </c>
      <c r="I39" s="1">
        <v>0</v>
      </c>
      <c r="J39" s="15">
        <v>0.99408284023668636</v>
      </c>
      <c r="K39" s="15">
        <v>0.85367512237106391</v>
      </c>
      <c r="M39" s="2">
        <v>26.053388090349078</v>
      </c>
      <c r="N39" s="2">
        <v>0.91459514141230869</v>
      </c>
    </row>
    <row r="40" spans="1:14" x14ac:dyDescent="0.25">
      <c r="A40" s="1">
        <v>37</v>
      </c>
      <c r="B40" s="55">
        <v>34.891170431211499</v>
      </c>
      <c r="C40" s="1">
        <v>1</v>
      </c>
      <c r="D40" s="1">
        <v>1</v>
      </c>
      <c r="F40" s="55">
        <v>35.318275154004105</v>
      </c>
      <c r="G40" s="1">
        <v>168</v>
      </c>
      <c r="H40" s="1">
        <v>1</v>
      </c>
      <c r="I40" s="1">
        <v>0</v>
      </c>
      <c r="J40" s="15">
        <v>0.99404761904761907</v>
      </c>
      <c r="K40" s="15">
        <v>0.84859372283314094</v>
      </c>
      <c r="M40" s="2">
        <v>26.053388090349078</v>
      </c>
      <c r="N40" s="2">
        <v>0.90954212958130143</v>
      </c>
    </row>
    <row r="41" spans="1:14" x14ac:dyDescent="0.25">
      <c r="A41" s="1">
        <v>38</v>
      </c>
      <c r="B41" s="55">
        <v>35.318275154004105</v>
      </c>
      <c r="C41" s="1">
        <v>1</v>
      </c>
      <c r="D41" s="1">
        <v>1</v>
      </c>
      <c r="F41" s="55">
        <v>37.979466119096507</v>
      </c>
      <c r="G41" s="1">
        <v>167</v>
      </c>
      <c r="H41" s="1">
        <v>1</v>
      </c>
      <c r="I41" s="1">
        <v>0</v>
      </c>
      <c r="J41" s="15">
        <v>0.99401197604790414</v>
      </c>
      <c r="K41" s="15">
        <v>0.84351232329521786</v>
      </c>
      <c r="M41" s="2">
        <v>26.84188911704312</v>
      </c>
      <c r="N41" s="2">
        <v>0.90954212958130143</v>
      </c>
    </row>
    <row r="42" spans="1:14" x14ac:dyDescent="0.25">
      <c r="A42" s="1">
        <v>39</v>
      </c>
      <c r="B42" s="55">
        <v>37.979466119096507</v>
      </c>
      <c r="C42" s="1">
        <v>1</v>
      </c>
      <c r="D42" s="1">
        <v>1</v>
      </c>
      <c r="F42" s="55">
        <v>40.344969199178642</v>
      </c>
      <c r="G42" s="1">
        <v>166</v>
      </c>
      <c r="H42" s="1">
        <v>1</v>
      </c>
      <c r="I42" s="1">
        <v>0</v>
      </c>
      <c r="J42" s="15">
        <v>0.99397590361445787</v>
      </c>
      <c r="K42" s="15">
        <v>0.83843092375729489</v>
      </c>
      <c r="M42" s="2">
        <v>26.84188911704312</v>
      </c>
      <c r="N42" s="2">
        <v>0.90448911775029417</v>
      </c>
    </row>
    <row r="43" spans="1:14" x14ac:dyDescent="0.25">
      <c r="A43" s="1">
        <v>40</v>
      </c>
      <c r="B43" s="55">
        <v>40.344969199178642</v>
      </c>
      <c r="C43" s="1">
        <v>1</v>
      </c>
      <c r="D43" s="1">
        <v>1</v>
      </c>
      <c r="F43" s="55">
        <v>41.133470225872692</v>
      </c>
      <c r="G43" s="1">
        <v>165</v>
      </c>
      <c r="H43" s="1">
        <v>1</v>
      </c>
      <c r="I43" s="1">
        <v>0</v>
      </c>
      <c r="J43" s="15">
        <v>0.9939393939393939</v>
      </c>
      <c r="K43" s="15">
        <v>0.83334952421937181</v>
      </c>
      <c r="M43" s="2">
        <v>27.367556468172484</v>
      </c>
      <c r="N43" s="2">
        <v>0.90448911775029417</v>
      </c>
    </row>
    <row r="44" spans="1:14" x14ac:dyDescent="0.25">
      <c r="A44" s="1">
        <v>41</v>
      </c>
      <c r="B44" s="55">
        <v>41.133470225872692</v>
      </c>
      <c r="C44" s="1">
        <v>1</v>
      </c>
      <c r="D44" s="1">
        <v>1</v>
      </c>
      <c r="F44" s="55">
        <v>41.757700205338807</v>
      </c>
      <c r="G44" s="1">
        <v>164</v>
      </c>
      <c r="H44" s="1">
        <v>1</v>
      </c>
      <c r="I44" s="1">
        <v>0</v>
      </c>
      <c r="J44" s="15">
        <v>0.99390243902439024</v>
      </c>
      <c r="K44" s="15">
        <v>0.82826812468144884</v>
      </c>
      <c r="M44" s="2">
        <v>27.367556468172484</v>
      </c>
      <c r="N44" s="2">
        <v>0.8994077182123712</v>
      </c>
    </row>
    <row r="45" spans="1:14" x14ac:dyDescent="0.25">
      <c r="A45" s="1">
        <v>42</v>
      </c>
      <c r="B45" s="55">
        <v>41.757700205338807</v>
      </c>
      <c r="C45" s="1">
        <v>1</v>
      </c>
      <c r="D45" s="1">
        <v>1</v>
      </c>
      <c r="F45" s="55">
        <v>43.104722792607802</v>
      </c>
      <c r="G45" s="1">
        <v>163</v>
      </c>
      <c r="H45" s="1">
        <v>1</v>
      </c>
      <c r="I45" s="1">
        <v>0</v>
      </c>
      <c r="J45" s="15">
        <v>0.99386503067484666</v>
      </c>
      <c r="K45" s="15">
        <v>0.82318672514352587</v>
      </c>
      <c r="M45" s="2">
        <v>28.188911704312115</v>
      </c>
      <c r="N45" s="2">
        <v>0.8994077182123712</v>
      </c>
    </row>
    <row r="46" spans="1:14" x14ac:dyDescent="0.25">
      <c r="A46" s="1">
        <v>43</v>
      </c>
      <c r="B46" s="55">
        <v>43.104722792607802</v>
      </c>
      <c r="C46" s="1">
        <v>1</v>
      </c>
      <c r="D46" s="1">
        <v>1</v>
      </c>
      <c r="F46" s="55">
        <v>46.882956878850102</v>
      </c>
      <c r="G46" s="1">
        <v>162</v>
      </c>
      <c r="H46" s="1">
        <v>0</v>
      </c>
      <c r="I46" s="1">
        <v>1</v>
      </c>
      <c r="J46" s="15">
        <v>1</v>
      </c>
      <c r="K46" s="15">
        <v>0.82318672514352587</v>
      </c>
      <c r="M46" s="2">
        <v>28.188911704312115</v>
      </c>
      <c r="N46" s="2">
        <v>0.89432631867444823</v>
      </c>
    </row>
    <row r="47" spans="1:14" x14ac:dyDescent="0.25">
      <c r="A47" s="1">
        <v>44</v>
      </c>
      <c r="B47" s="55">
        <v>46.882956878850102</v>
      </c>
      <c r="C47" s="1">
        <v>0</v>
      </c>
      <c r="D47" s="1">
        <v>1</v>
      </c>
      <c r="F47" s="55">
        <v>47.145790554414788</v>
      </c>
      <c r="G47" s="1">
        <v>161</v>
      </c>
      <c r="H47" s="1">
        <v>1</v>
      </c>
      <c r="I47" s="1">
        <v>0</v>
      </c>
      <c r="J47" s="15">
        <v>0.99378881987577639</v>
      </c>
      <c r="K47" s="15">
        <v>0.81807376411778965</v>
      </c>
      <c r="M47" s="2">
        <v>28.550308008213552</v>
      </c>
      <c r="N47" s="2">
        <v>0.89432631867444823</v>
      </c>
    </row>
    <row r="48" spans="1:14" x14ac:dyDescent="0.25">
      <c r="A48" s="1">
        <v>45</v>
      </c>
      <c r="B48" s="55">
        <v>47.145790554414788</v>
      </c>
      <c r="C48" s="1">
        <v>1</v>
      </c>
      <c r="D48" s="1">
        <v>1</v>
      </c>
      <c r="F48" s="55">
        <v>49.248459958932237</v>
      </c>
      <c r="G48" s="1">
        <v>160</v>
      </c>
      <c r="H48" s="1">
        <v>0</v>
      </c>
      <c r="I48" s="1">
        <v>1</v>
      </c>
      <c r="J48" s="15">
        <v>1</v>
      </c>
      <c r="K48" s="15">
        <v>0.81807376411778965</v>
      </c>
      <c r="M48" s="2">
        <v>28.550308008213552</v>
      </c>
      <c r="N48" s="2">
        <v>0.88924491913652515</v>
      </c>
    </row>
    <row r="49" spans="1:14" x14ac:dyDescent="0.25">
      <c r="A49" s="1">
        <v>46</v>
      </c>
      <c r="B49" s="55">
        <v>49.248459958932237</v>
      </c>
      <c r="C49" s="1">
        <v>0</v>
      </c>
      <c r="D49" s="1">
        <v>1</v>
      </c>
      <c r="F49" s="55">
        <v>49.478439425051334</v>
      </c>
      <c r="G49" s="1">
        <v>159</v>
      </c>
      <c r="H49" s="1">
        <v>1</v>
      </c>
      <c r="I49" s="1">
        <v>0</v>
      </c>
      <c r="J49" s="15">
        <v>0.99371069182389937</v>
      </c>
      <c r="K49" s="15">
        <v>0.81292864610447024</v>
      </c>
      <c r="M49" s="2">
        <v>28.648870636550306</v>
      </c>
      <c r="N49" s="2">
        <v>0.88924491913652515</v>
      </c>
    </row>
    <row r="50" spans="1:14" x14ac:dyDescent="0.25">
      <c r="A50" s="1">
        <v>47</v>
      </c>
      <c r="B50" s="55">
        <v>49.478439425051334</v>
      </c>
      <c r="C50" s="1">
        <v>1</v>
      </c>
      <c r="D50" s="1">
        <v>1</v>
      </c>
      <c r="F50" s="55">
        <v>49.544147843942504</v>
      </c>
      <c r="G50" s="1">
        <v>158</v>
      </c>
      <c r="H50" s="1">
        <v>0</v>
      </c>
      <c r="I50" s="1">
        <v>1</v>
      </c>
      <c r="J50" s="15">
        <v>1</v>
      </c>
      <c r="K50" s="15">
        <v>0.81292864610447024</v>
      </c>
      <c r="M50" s="2">
        <v>28.648870636550306</v>
      </c>
      <c r="N50" s="2">
        <v>0.88416351959860218</v>
      </c>
    </row>
    <row r="51" spans="1:14" x14ac:dyDescent="0.25">
      <c r="A51" s="1">
        <v>48</v>
      </c>
      <c r="B51" s="55">
        <v>49.544147843942504</v>
      </c>
      <c r="C51" s="1">
        <v>0</v>
      </c>
      <c r="D51" s="1">
        <v>1</v>
      </c>
      <c r="F51" s="55">
        <v>49.609856262833674</v>
      </c>
      <c r="G51" s="1">
        <v>157</v>
      </c>
      <c r="H51" s="1">
        <v>0</v>
      </c>
      <c r="I51" s="1">
        <v>1</v>
      </c>
      <c r="J51" s="15">
        <v>1</v>
      </c>
      <c r="K51" s="15">
        <v>0.81292864610447024</v>
      </c>
      <c r="M51" s="2">
        <v>31.770020533880903</v>
      </c>
      <c r="N51" s="2">
        <v>0.88416351959860218</v>
      </c>
    </row>
    <row r="52" spans="1:14" x14ac:dyDescent="0.25">
      <c r="A52" s="1">
        <v>49</v>
      </c>
      <c r="B52" s="55">
        <v>49.609856262833674</v>
      </c>
      <c r="C52" s="1">
        <v>0</v>
      </c>
      <c r="D52" s="1">
        <v>1</v>
      </c>
      <c r="F52" s="55">
        <v>49.675564681724843</v>
      </c>
      <c r="G52" s="1">
        <v>156</v>
      </c>
      <c r="H52" s="1">
        <v>0</v>
      </c>
      <c r="I52" s="1">
        <v>1</v>
      </c>
      <c r="J52" s="15">
        <v>1</v>
      </c>
      <c r="K52" s="15">
        <v>0.81292864610447024</v>
      </c>
      <c r="M52" s="2">
        <v>31.770020533880903</v>
      </c>
      <c r="N52" s="2">
        <v>0.8790821200606791</v>
      </c>
    </row>
    <row r="53" spans="1:14" x14ac:dyDescent="0.25">
      <c r="A53" s="1">
        <v>50</v>
      </c>
      <c r="B53" s="55">
        <v>49.675564681724843</v>
      </c>
      <c r="C53" s="1">
        <v>0</v>
      </c>
      <c r="D53" s="1">
        <v>1</v>
      </c>
      <c r="F53" s="55">
        <v>49.80698151950719</v>
      </c>
      <c r="G53" s="1">
        <v>155</v>
      </c>
      <c r="H53" s="1">
        <v>1</v>
      </c>
      <c r="I53" s="1">
        <v>0</v>
      </c>
      <c r="J53" s="15">
        <v>0.99354838709677418</v>
      </c>
      <c r="K53" s="15">
        <v>0.80768394516186071</v>
      </c>
      <c r="M53" s="2">
        <v>32.098562628336758</v>
      </c>
      <c r="N53" s="2">
        <v>0.8790821200606791</v>
      </c>
    </row>
    <row r="54" spans="1:14" x14ac:dyDescent="0.25">
      <c r="A54" s="1">
        <v>51</v>
      </c>
      <c r="B54" s="55">
        <v>49.80698151950719</v>
      </c>
      <c r="C54" s="1">
        <v>1</v>
      </c>
      <c r="D54" s="1">
        <v>1</v>
      </c>
      <c r="F54" s="55">
        <v>50.102669404517457</v>
      </c>
      <c r="G54" s="1">
        <v>154</v>
      </c>
      <c r="H54" s="1">
        <v>0</v>
      </c>
      <c r="I54" s="1">
        <v>1</v>
      </c>
      <c r="J54" s="15">
        <v>1</v>
      </c>
      <c r="K54" s="15">
        <v>0.80768394516186071</v>
      </c>
      <c r="M54" s="2">
        <v>32.098562628336758</v>
      </c>
      <c r="N54" s="2">
        <v>0.87400072052275601</v>
      </c>
    </row>
    <row r="55" spans="1:14" x14ac:dyDescent="0.25">
      <c r="A55" s="1">
        <v>52</v>
      </c>
      <c r="B55" s="55">
        <v>50.102669404517457</v>
      </c>
      <c r="C55" s="1">
        <v>0</v>
      </c>
      <c r="D55" s="1">
        <v>1</v>
      </c>
      <c r="F55" s="55">
        <v>50.661190965092402</v>
      </c>
      <c r="G55" s="1">
        <v>153</v>
      </c>
      <c r="H55" s="1">
        <v>0</v>
      </c>
      <c r="I55" s="1">
        <v>1</v>
      </c>
      <c r="J55" s="15">
        <v>1</v>
      </c>
      <c r="K55" s="15">
        <v>0.80768394516186071</v>
      </c>
      <c r="M55" s="2">
        <v>32.262833675564679</v>
      </c>
      <c r="N55" s="2">
        <v>0.87400072052275601</v>
      </c>
    </row>
    <row r="56" spans="1:14" x14ac:dyDescent="0.25">
      <c r="A56" s="1">
        <v>53</v>
      </c>
      <c r="B56" s="55">
        <v>50.661190965092402</v>
      </c>
      <c r="C56" s="1">
        <v>0</v>
      </c>
      <c r="D56" s="1">
        <v>1</v>
      </c>
      <c r="F56" s="55">
        <v>50.858316221765911</v>
      </c>
      <c r="G56" s="1">
        <v>152</v>
      </c>
      <c r="H56" s="1">
        <v>1</v>
      </c>
      <c r="I56" s="1">
        <v>0</v>
      </c>
      <c r="J56" s="15">
        <v>0.99342105263157898</v>
      </c>
      <c r="K56" s="15">
        <v>0.80237023499632221</v>
      </c>
      <c r="M56" s="2">
        <v>32.262833675564679</v>
      </c>
      <c r="N56" s="2">
        <v>0.86891932098483304</v>
      </c>
    </row>
    <row r="57" spans="1:14" x14ac:dyDescent="0.25">
      <c r="A57" s="1">
        <v>54</v>
      </c>
      <c r="B57" s="55">
        <v>50.858316221765911</v>
      </c>
      <c r="C57" s="1">
        <v>1</v>
      </c>
      <c r="D57" s="1">
        <v>1</v>
      </c>
      <c r="F57" s="55">
        <v>51.154004106776178</v>
      </c>
      <c r="G57" s="1">
        <v>151</v>
      </c>
      <c r="H57" s="1">
        <v>0</v>
      </c>
      <c r="I57" s="1">
        <v>1</v>
      </c>
      <c r="J57" s="15">
        <v>1</v>
      </c>
      <c r="K57" s="15">
        <v>0.80237023499632221</v>
      </c>
      <c r="M57" s="2">
        <v>34.201232032854207</v>
      </c>
      <c r="N57" s="2">
        <v>0.86891932098483304</v>
      </c>
    </row>
    <row r="58" spans="1:14" x14ac:dyDescent="0.25">
      <c r="A58" s="1">
        <v>55</v>
      </c>
      <c r="B58" s="55">
        <v>51.154004106776178</v>
      </c>
      <c r="C58" s="1">
        <v>0</v>
      </c>
      <c r="D58" s="1">
        <v>1</v>
      </c>
      <c r="F58" s="55">
        <v>51.252566735112936</v>
      </c>
      <c r="G58" s="1">
        <v>150</v>
      </c>
      <c r="H58" s="1">
        <v>1</v>
      </c>
      <c r="I58" s="1">
        <v>0</v>
      </c>
      <c r="J58" s="15">
        <v>0.99333333333333329</v>
      </c>
      <c r="K58" s="15">
        <v>0.79702110009634675</v>
      </c>
      <c r="M58" s="2">
        <v>34.201232032854207</v>
      </c>
      <c r="N58" s="2">
        <v>0.86383792144690996</v>
      </c>
    </row>
    <row r="59" spans="1:14" x14ac:dyDescent="0.25">
      <c r="A59" s="1">
        <v>56</v>
      </c>
      <c r="B59" s="55">
        <v>51.252566735112936</v>
      </c>
      <c r="C59" s="1">
        <v>1</v>
      </c>
      <c r="D59" s="1">
        <v>1</v>
      </c>
      <c r="F59" s="55">
        <v>51.351129363449694</v>
      </c>
      <c r="G59" s="1">
        <v>149</v>
      </c>
      <c r="H59" s="1">
        <v>0</v>
      </c>
      <c r="I59" s="1">
        <v>1</v>
      </c>
      <c r="J59" s="15">
        <v>1</v>
      </c>
      <c r="K59" s="15">
        <v>0.79702110009634675</v>
      </c>
      <c r="M59" s="2">
        <v>34.661190965092402</v>
      </c>
      <c r="N59" s="2">
        <v>0.86383792144690996</v>
      </c>
    </row>
    <row r="60" spans="1:14" x14ac:dyDescent="0.25">
      <c r="A60" s="1">
        <v>57</v>
      </c>
      <c r="B60" s="55">
        <v>51.351129363449694</v>
      </c>
      <c r="C60" s="1">
        <v>0</v>
      </c>
      <c r="D60" s="1">
        <v>1</v>
      </c>
      <c r="F60" s="55">
        <v>52.041067761806978</v>
      </c>
      <c r="G60" s="1">
        <v>148</v>
      </c>
      <c r="H60" s="1">
        <v>1</v>
      </c>
      <c r="I60" s="1">
        <v>0</v>
      </c>
      <c r="J60" s="15">
        <v>0.9932432432432432</v>
      </c>
      <c r="K60" s="15">
        <v>0.79163582239299302</v>
      </c>
      <c r="M60" s="2">
        <v>34.661190965092402</v>
      </c>
      <c r="N60" s="2">
        <v>0.85875652190898699</v>
      </c>
    </row>
    <row r="61" spans="1:14" x14ac:dyDescent="0.25">
      <c r="A61" s="1">
        <v>58</v>
      </c>
      <c r="B61" s="55">
        <v>52.041067761806978</v>
      </c>
      <c r="C61" s="1">
        <v>1</v>
      </c>
      <c r="D61" s="1">
        <v>1</v>
      </c>
      <c r="F61" s="55">
        <v>52.73100616016427</v>
      </c>
      <c r="G61" s="1">
        <v>147</v>
      </c>
      <c r="H61" s="1">
        <v>0</v>
      </c>
      <c r="I61" s="1">
        <v>1</v>
      </c>
      <c r="J61" s="15">
        <v>1</v>
      </c>
      <c r="K61" s="15">
        <v>0.79163582239299302</v>
      </c>
      <c r="M61" s="2">
        <v>34.891170431211499</v>
      </c>
      <c r="N61" s="2">
        <v>0.85875652190898699</v>
      </c>
    </row>
    <row r="62" spans="1:14" x14ac:dyDescent="0.25">
      <c r="A62" s="1">
        <v>59</v>
      </c>
      <c r="B62" s="55">
        <v>52.73100616016427</v>
      </c>
      <c r="C62" s="1">
        <v>0</v>
      </c>
      <c r="D62" s="1">
        <v>1</v>
      </c>
      <c r="F62" s="55">
        <v>53.256673511293634</v>
      </c>
      <c r="G62" s="1">
        <v>146</v>
      </c>
      <c r="H62" s="1">
        <v>1</v>
      </c>
      <c r="I62" s="1">
        <v>0</v>
      </c>
      <c r="J62" s="15">
        <v>0.99315068493150682</v>
      </c>
      <c r="K62" s="15">
        <v>0.78621365922591768</v>
      </c>
      <c r="M62" s="2">
        <v>34.891170431211499</v>
      </c>
      <c r="N62" s="2">
        <v>0.85367512237106391</v>
      </c>
    </row>
    <row r="63" spans="1:14" x14ac:dyDescent="0.25">
      <c r="A63" s="1">
        <v>60</v>
      </c>
      <c r="B63" s="55">
        <v>53.256673511293634</v>
      </c>
      <c r="C63" s="1">
        <v>1</v>
      </c>
      <c r="D63" s="1">
        <v>1</v>
      </c>
      <c r="F63" s="55">
        <v>53.453798767967143</v>
      </c>
      <c r="G63" s="1">
        <v>145</v>
      </c>
      <c r="H63" s="1">
        <v>0</v>
      </c>
      <c r="I63" s="1">
        <v>1</v>
      </c>
      <c r="J63" s="15">
        <v>1</v>
      </c>
      <c r="K63" s="15">
        <v>0.78621365922591768</v>
      </c>
      <c r="M63" s="2">
        <v>35.318275154004105</v>
      </c>
      <c r="N63" s="2">
        <v>0.85367512237106391</v>
      </c>
    </row>
    <row r="64" spans="1:14" x14ac:dyDescent="0.25">
      <c r="A64" s="1">
        <v>61</v>
      </c>
      <c r="B64" s="55">
        <v>53.453798767967143</v>
      </c>
      <c r="C64" s="1">
        <v>0</v>
      </c>
      <c r="D64" s="1">
        <v>1</v>
      </c>
      <c r="F64" s="55">
        <v>53.68377823408624</v>
      </c>
      <c r="G64" s="1">
        <v>144</v>
      </c>
      <c r="H64" s="1">
        <v>0</v>
      </c>
      <c r="I64" s="1">
        <v>1</v>
      </c>
      <c r="J64" s="15">
        <v>1</v>
      </c>
      <c r="K64" s="15">
        <v>0.78621365922591768</v>
      </c>
      <c r="M64" s="2">
        <v>35.318275154004105</v>
      </c>
      <c r="N64" s="2">
        <v>0.84859372283314094</v>
      </c>
    </row>
    <row r="65" spans="1:14" x14ac:dyDescent="0.25">
      <c r="A65" s="1">
        <v>62</v>
      </c>
      <c r="B65" s="55">
        <v>53.68377823408624</v>
      </c>
      <c r="C65" s="1">
        <v>0</v>
      </c>
      <c r="D65" s="1">
        <v>1</v>
      </c>
      <c r="F65" s="55">
        <v>53.913757700205338</v>
      </c>
      <c r="G65" s="1">
        <v>143</v>
      </c>
      <c r="H65" s="1">
        <v>0</v>
      </c>
      <c r="I65" s="1">
        <v>2</v>
      </c>
      <c r="J65" s="15">
        <v>1</v>
      </c>
      <c r="K65" s="15">
        <v>0.78621365922591768</v>
      </c>
      <c r="M65" s="2">
        <v>37.979466119096507</v>
      </c>
      <c r="N65" s="2">
        <v>0.84859372283314094</v>
      </c>
    </row>
    <row r="66" spans="1:14" x14ac:dyDescent="0.25">
      <c r="A66" s="1">
        <v>63</v>
      </c>
      <c r="B66" s="55">
        <v>53.913757700205338</v>
      </c>
      <c r="C66" s="1">
        <v>0</v>
      </c>
      <c r="D66" s="1">
        <v>1</v>
      </c>
      <c r="F66" s="55">
        <v>54.143737166324435</v>
      </c>
      <c r="G66" s="1">
        <v>141</v>
      </c>
      <c r="H66" s="1">
        <v>0</v>
      </c>
      <c r="I66" s="1">
        <v>1</v>
      </c>
      <c r="J66" s="15">
        <v>1</v>
      </c>
      <c r="K66" s="15">
        <v>0.78621365922591768</v>
      </c>
      <c r="M66" s="2">
        <v>37.979466119096507</v>
      </c>
      <c r="N66" s="2">
        <v>0.84351232329521786</v>
      </c>
    </row>
    <row r="67" spans="1:14" x14ac:dyDescent="0.25">
      <c r="A67" s="1">
        <v>64</v>
      </c>
      <c r="B67" s="55">
        <v>53.913757700205338</v>
      </c>
      <c r="C67" s="1">
        <v>0</v>
      </c>
      <c r="D67" s="1">
        <v>1</v>
      </c>
      <c r="F67" s="55">
        <v>54.275154004106774</v>
      </c>
      <c r="G67" s="1">
        <v>140</v>
      </c>
      <c r="H67" s="1">
        <v>0</v>
      </c>
      <c r="I67" s="1">
        <v>1</v>
      </c>
      <c r="J67" s="15">
        <v>1</v>
      </c>
      <c r="K67" s="15">
        <v>0.78621365922591768</v>
      </c>
      <c r="M67" s="2">
        <v>40.344969199178642</v>
      </c>
      <c r="N67" s="2">
        <v>0.84351232329521786</v>
      </c>
    </row>
    <row r="68" spans="1:14" x14ac:dyDescent="0.25">
      <c r="A68" s="1">
        <v>65</v>
      </c>
      <c r="B68" s="55">
        <v>54.143737166324435</v>
      </c>
      <c r="C68" s="1">
        <v>0</v>
      </c>
      <c r="D68" s="1">
        <v>1</v>
      </c>
      <c r="F68" s="55">
        <v>54.340862422997944</v>
      </c>
      <c r="G68" s="1">
        <v>139</v>
      </c>
      <c r="H68" s="1">
        <v>0</v>
      </c>
      <c r="I68" s="1">
        <v>2</v>
      </c>
      <c r="J68" s="15">
        <v>1</v>
      </c>
      <c r="K68" s="15">
        <v>0.78621365922591768</v>
      </c>
      <c r="M68" s="2">
        <v>40.344969199178642</v>
      </c>
      <c r="N68" s="2">
        <v>0.83843092375729489</v>
      </c>
    </row>
    <row r="69" spans="1:14" x14ac:dyDescent="0.25">
      <c r="A69" s="1">
        <v>66</v>
      </c>
      <c r="B69" s="55">
        <v>54.275154004106774</v>
      </c>
      <c r="C69" s="1">
        <v>0</v>
      </c>
      <c r="D69" s="1">
        <v>1</v>
      </c>
      <c r="F69" s="55">
        <v>54.767967145790557</v>
      </c>
      <c r="G69" s="1">
        <v>137</v>
      </c>
      <c r="H69" s="1">
        <v>1</v>
      </c>
      <c r="I69" s="1">
        <v>0</v>
      </c>
      <c r="J69" s="15">
        <v>0.99270072992700731</v>
      </c>
      <c r="K69" s="15">
        <v>0.78047487339215182</v>
      </c>
      <c r="M69" s="2">
        <v>41.133470225872692</v>
      </c>
      <c r="N69" s="2">
        <v>0.83843092375729489</v>
      </c>
    </row>
    <row r="70" spans="1:14" x14ac:dyDescent="0.25">
      <c r="A70" s="1">
        <v>67</v>
      </c>
      <c r="B70" s="55">
        <v>54.340862422997944</v>
      </c>
      <c r="C70" s="1">
        <v>0</v>
      </c>
      <c r="D70" s="1">
        <v>1</v>
      </c>
      <c r="F70" s="55">
        <v>55.129363449691994</v>
      </c>
      <c r="G70" s="1">
        <v>136</v>
      </c>
      <c r="H70" s="1">
        <v>0</v>
      </c>
      <c r="I70" s="1">
        <v>1</v>
      </c>
      <c r="J70" s="15">
        <v>1</v>
      </c>
      <c r="K70" s="15">
        <v>0.78047487339215182</v>
      </c>
      <c r="M70" s="2">
        <v>41.133470225872692</v>
      </c>
      <c r="N70" s="2">
        <v>0.83334952421937181</v>
      </c>
    </row>
    <row r="71" spans="1:14" x14ac:dyDescent="0.25">
      <c r="A71" s="1">
        <v>68</v>
      </c>
      <c r="B71" s="55">
        <v>54.340862422997944</v>
      </c>
      <c r="C71" s="1">
        <v>0</v>
      </c>
      <c r="D71" s="1">
        <v>1</v>
      </c>
      <c r="F71" s="55">
        <v>55.359342915811091</v>
      </c>
      <c r="G71" s="1">
        <v>135</v>
      </c>
      <c r="H71" s="1">
        <v>0</v>
      </c>
      <c r="I71" s="1">
        <v>1</v>
      </c>
      <c r="J71" s="15">
        <v>1</v>
      </c>
      <c r="K71" s="15">
        <v>0.78047487339215182</v>
      </c>
      <c r="M71" s="2">
        <v>41.757700205338807</v>
      </c>
      <c r="N71" s="2">
        <v>0.83334952421937181</v>
      </c>
    </row>
    <row r="72" spans="1:14" x14ac:dyDescent="0.25">
      <c r="A72" s="1">
        <v>69</v>
      </c>
      <c r="B72" s="55">
        <v>54.767967145790557</v>
      </c>
      <c r="C72" s="1">
        <v>1</v>
      </c>
      <c r="D72" s="1">
        <v>1</v>
      </c>
      <c r="F72" s="55">
        <v>55.523613963039011</v>
      </c>
      <c r="G72" s="1">
        <v>134</v>
      </c>
      <c r="H72" s="1">
        <v>1</v>
      </c>
      <c r="I72" s="1">
        <v>0</v>
      </c>
      <c r="J72" s="15">
        <v>0.9925373134328358</v>
      </c>
      <c r="K72" s="15">
        <v>0.774650434038479</v>
      </c>
      <c r="M72" s="2">
        <v>41.757700205338807</v>
      </c>
      <c r="N72" s="2">
        <v>0.82826812468144884</v>
      </c>
    </row>
    <row r="73" spans="1:14" x14ac:dyDescent="0.25">
      <c r="A73" s="1">
        <v>70</v>
      </c>
      <c r="B73" s="55">
        <v>55.129363449691994</v>
      </c>
      <c r="C73" s="1">
        <v>0</v>
      </c>
      <c r="D73" s="1">
        <v>1</v>
      </c>
      <c r="F73" s="55">
        <v>56.180698151950722</v>
      </c>
      <c r="G73" s="1">
        <v>133</v>
      </c>
      <c r="H73" s="1">
        <v>0</v>
      </c>
      <c r="I73" s="1">
        <v>2</v>
      </c>
      <c r="J73" s="15">
        <v>1</v>
      </c>
      <c r="K73" s="15">
        <v>0.774650434038479</v>
      </c>
      <c r="M73" s="2">
        <v>43.104722792607802</v>
      </c>
      <c r="N73" s="2">
        <v>0.82826812468144884</v>
      </c>
    </row>
    <row r="74" spans="1:14" x14ac:dyDescent="0.25">
      <c r="A74" s="1">
        <v>71</v>
      </c>
      <c r="B74" s="55">
        <v>55.359342915811091</v>
      </c>
      <c r="C74" s="1">
        <v>0</v>
      </c>
      <c r="D74" s="1">
        <v>1</v>
      </c>
      <c r="F74" s="55">
        <v>56.706365503080079</v>
      </c>
      <c r="G74" s="1">
        <v>131</v>
      </c>
      <c r="H74" s="1">
        <v>1</v>
      </c>
      <c r="I74" s="1">
        <v>0</v>
      </c>
      <c r="J74" s="15">
        <v>0.99236641221374045</v>
      </c>
      <c r="K74" s="15">
        <v>0.76873707194658225</v>
      </c>
      <c r="M74" s="2">
        <v>43.104722792607802</v>
      </c>
      <c r="N74" s="2">
        <v>0.82318672514352587</v>
      </c>
    </row>
    <row r="75" spans="1:14" x14ac:dyDescent="0.25">
      <c r="A75" s="1">
        <v>72</v>
      </c>
      <c r="B75" s="55">
        <v>55.523613963039011</v>
      </c>
      <c r="C75" s="1">
        <v>1</v>
      </c>
      <c r="D75" s="1">
        <v>1</v>
      </c>
      <c r="F75" s="55">
        <v>57.330595482546201</v>
      </c>
      <c r="G75" s="1">
        <v>130</v>
      </c>
      <c r="H75" s="1">
        <v>0</v>
      </c>
      <c r="I75" s="1">
        <v>1</v>
      </c>
      <c r="J75" s="15">
        <v>1</v>
      </c>
      <c r="K75" s="15">
        <v>0.76873707194658225</v>
      </c>
      <c r="M75" s="2">
        <v>47.145790554414788</v>
      </c>
      <c r="N75" s="2">
        <v>0.82318672514352587</v>
      </c>
    </row>
    <row r="76" spans="1:14" x14ac:dyDescent="0.25">
      <c r="A76" s="1">
        <v>73</v>
      </c>
      <c r="B76" s="55">
        <v>56.180698151950722</v>
      </c>
      <c r="C76" s="1">
        <v>0</v>
      </c>
      <c r="D76" s="1">
        <v>1</v>
      </c>
      <c r="F76" s="55">
        <v>57.889117043121146</v>
      </c>
      <c r="G76" s="1">
        <v>129</v>
      </c>
      <c r="H76" s="1">
        <v>0</v>
      </c>
      <c r="I76" s="1">
        <v>1</v>
      </c>
      <c r="J76" s="15">
        <v>1</v>
      </c>
      <c r="K76" s="15">
        <v>0.76873707194658225</v>
      </c>
      <c r="M76" s="2">
        <v>47.145790554414788</v>
      </c>
      <c r="N76" s="2">
        <v>0.81807376411778965</v>
      </c>
    </row>
    <row r="77" spans="1:14" x14ac:dyDescent="0.25">
      <c r="A77" s="1">
        <v>74</v>
      </c>
      <c r="B77" s="55">
        <v>56.180698151950722</v>
      </c>
      <c r="C77" s="1">
        <v>0</v>
      </c>
      <c r="D77" s="1">
        <v>1</v>
      </c>
      <c r="F77" s="55">
        <v>58.447638603696099</v>
      </c>
      <c r="G77" s="1">
        <v>128</v>
      </c>
      <c r="H77" s="1">
        <v>0</v>
      </c>
      <c r="I77" s="1">
        <v>1</v>
      </c>
      <c r="J77" s="15">
        <v>1</v>
      </c>
      <c r="K77" s="15">
        <v>0.76873707194658225</v>
      </c>
      <c r="M77" s="2">
        <v>49.478439425051334</v>
      </c>
      <c r="N77" s="2">
        <v>0.81807376411778965</v>
      </c>
    </row>
    <row r="78" spans="1:14" x14ac:dyDescent="0.25">
      <c r="A78" s="1">
        <v>75</v>
      </c>
      <c r="B78" s="55">
        <v>56.706365503080079</v>
      </c>
      <c r="C78" s="1">
        <v>1</v>
      </c>
      <c r="D78" s="1">
        <v>1</v>
      </c>
      <c r="F78" s="55">
        <v>58.710472279260777</v>
      </c>
      <c r="G78" s="1">
        <v>127</v>
      </c>
      <c r="H78" s="1">
        <v>0</v>
      </c>
      <c r="I78" s="1">
        <v>2</v>
      </c>
      <c r="J78" s="15">
        <v>1</v>
      </c>
      <c r="K78" s="15">
        <v>0.76873707194658225</v>
      </c>
      <c r="M78" s="2">
        <v>49.478439425051334</v>
      </c>
      <c r="N78" s="2">
        <v>0.81292864610447024</v>
      </c>
    </row>
    <row r="79" spans="1:14" x14ac:dyDescent="0.25">
      <c r="A79" s="1">
        <v>76</v>
      </c>
      <c r="B79" s="55">
        <v>57.330595482546201</v>
      </c>
      <c r="C79" s="1">
        <v>0</v>
      </c>
      <c r="D79" s="1">
        <v>1</v>
      </c>
      <c r="F79" s="55">
        <v>58.907597535934293</v>
      </c>
      <c r="G79" s="1">
        <v>125</v>
      </c>
      <c r="H79" s="1">
        <v>0</v>
      </c>
      <c r="I79" s="1">
        <v>1</v>
      </c>
      <c r="J79" s="15">
        <v>1</v>
      </c>
      <c r="K79" s="15">
        <v>0.76873707194658225</v>
      </c>
      <c r="M79" s="2">
        <v>49.80698151950719</v>
      </c>
      <c r="N79" s="2">
        <v>0.81292864610447024</v>
      </c>
    </row>
    <row r="80" spans="1:14" x14ac:dyDescent="0.25">
      <c r="A80" s="1">
        <v>77</v>
      </c>
      <c r="B80" s="55">
        <v>57.889117043121146</v>
      </c>
      <c r="C80" s="1">
        <v>0</v>
      </c>
      <c r="D80" s="1">
        <v>1</v>
      </c>
      <c r="F80" s="55">
        <v>59.26899383983573</v>
      </c>
      <c r="G80" s="1">
        <v>124</v>
      </c>
      <c r="H80" s="1">
        <v>0</v>
      </c>
      <c r="I80" s="1">
        <v>1</v>
      </c>
      <c r="J80" s="15">
        <v>1</v>
      </c>
      <c r="K80" s="15">
        <v>0.76873707194658225</v>
      </c>
      <c r="M80" s="2">
        <v>49.80698151950719</v>
      </c>
      <c r="N80" s="2">
        <v>0.80768394516186071</v>
      </c>
    </row>
    <row r="81" spans="1:14" x14ac:dyDescent="0.25">
      <c r="A81" s="1">
        <v>78</v>
      </c>
      <c r="B81" s="55">
        <v>58.447638603696099</v>
      </c>
      <c r="C81" s="1">
        <v>0</v>
      </c>
      <c r="D81" s="1">
        <v>1</v>
      </c>
      <c r="F81" s="55">
        <v>59.531827515400408</v>
      </c>
      <c r="G81" s="1">
        <v>123</v>
      </c>
      <c r="H81" s="1">
        <v>0</v>
      </c>
      <c r="I81" s="1">
        <v>1</v>
      </c>
      <c r="J81" s="15">
        <v>1</v>
      </c>
      <c r="K81" s="15">
        <v>0.76873707194658225</v>
      </c>
      <c r="M81" s="2">
        <v>50.858316221765911</v>
      </c>
      <c r="N81" s="2">
        <v>0.80768394516186071</v>
      </c>
    </row>
    <row r="82" spans="1:14" x14ac:dyDescent="0.25">
      <c r="A82" s="1">
        <v>79</v>
      </c>
      <c r="B82" s="55">
        <v>58.710472279260777</v>
      </c>
      <c r="C82" s="1">
        <v>0</v>
      </c>
      <c r="D82" s="1">
        <v>1</v>
      </c>
      <c r="F82" s="55">
        <v>60.320328542094458</v>
      </c>
      <c r="G82" s="1">
        <v>122</v>
      </c>
      <c r="H82" s="1">
        <v>0</v>
      </c>
      <c r="I82" s="1">
        <v>1</v>
      </c>
      <c r="J82" s="15">
        <v>1</v>
      </c>
      <c r="K82" s="15">
        <v>0.76873707194658225</v>
      </c>
      <c r="M82" s="2">
        <v>50.858316221765911</v>
      </c>
      <c r="N82" s="2">
        <v>0.80237023499632221</v>
      </c>
    </row>
    <row r="83" spans="1:14" x14ac:dyDescent="0.25">
      <c r="A83" s="1">
        <v>80</v>
      </c>
      <c r="B83" s="55">
        <v>58.710472279260777</v>
      </c>
      <c r="C83" s="1">
        <v>0</v>
      </c>
      <c r="D83" s="1">
        <v>1</v>
      </c>
      <c r="F83" s="55">
        <v>60.418891170431209</v>
      </c>
      <c r="G83" s="1">
        <v>121</v>
      </c>
      <c r="H83" s="1">
        <v>0</v>
      </c>
      <c r="I83" s="1">
        <v>2</v>
      </c>
      <c r="J83" s="15">
        <v>1</v>
      </c>
      <c r="K83" s="15">
        <v>0.76873707194658225</v>
      </c>
      <c r="M83" s="2">
        <v>51.252566735112936</v>
      </c>
      <c r="N83" s="2">
        <v>0.80237023499632221</v>
      </c>
    </row>
    <row r="84" spans="1:14" x14ac:dyDescent="0.25">
      <c r="A84" s="1">
        <v>81</v>
      </c>
      <c r="B84" s="55">
        <v>58.907597535934293</v>
      </c>
      <c r="C84" s="1">
        <v>0</v>
      </c>
      <c r="D84" s="1">
        <v>1</v>
      </c>
      <c r="F84" s="55">
        <v>60.911704312114992</v>
      </c>
      <c r="G84" s="1">
        <v>119</v>
      </c>
      <c r="H84" s="1">
        <v>0</v>
      </c>
      <c r="I84" s="1">
        <v>1</v>
      </c>
      <c r="J84" s="15">
        <v>1</v>
      </c>
      <c r="K84" s="15">
        <v>0.76873707194658225</v>
      </c>
      <c r="M84" s="2">
        <v>51.252566735112936</v>
      </c>
      <c r="N84" s="2">
        <v>0.79702110009634675</v>
      </c>
    </row>
    <row r="85" spans="1:14" x14ac:dyDescent="0.25">
      <c r="A85" s="1">
        <v>82</v>
      </c>
      <c r="B85" s="55">
        <v>59.26899383983573</v>
      </c>
      <c r="C85" s="1">
        <v>0</v>
      </c>
      <c r="D85" s="1">
        <v>1</v>
      </c>
      <c r="F85" s="55">
        <v>60.977412731006162</v>
      </c>
      <c r="G85" s="1">
        <v>118</v>
      </c>
      <c r="H85" s="1">
        <v>0</v>
      </c>
      <c r="I85" s="1">
        <v>1</v>
      </c>
      <c r="J85" s="15">
        <v>1</v>
      </c>
      <c r="K85" s="15">
        <v>0.76873707194658225</v>
      </c>
      <c r="M85" s="2">
        <v>52.041067761806978</v>
      </c>
      <c r="N85" s="2">
        <v>0.79702110009634675</v>
      </c>
    </row>
    <row r="86" spans="1:14" x14ac:dyDescent="0.25">
      <c r="A86" s="1">
        <v>83</v>
      </c>
      <c r="B86" s="55">
        <v>59.531827515400408</v>
      </c>
      <c r="C86" s="1">
        <v>0</v>
      </c>
      <c r="D86" s="1">
        <v>1</v>
      </c>
      <c r="F86" s="55">
        <v>61.108829568788501</v>
      </c>
      <c r="G86" s="1">
        <v>117</v>
      </c>
      <c r="H86" s="1">
        <v>0</v>
      </c>
      <c r="I86" s="1">
        <v>1</v>
      </c>
      <c r="J86" s="15">
        <v>1</v>
      </c>
      <c r="K86" s="15">
        <v>0.76873707194658225</v>
      </c>
      <c r="M86" s="2">
        <v>52.041067761806978</v>
      </c>
      <c r="N86" s="2">
        <v>0.79163582239299302</v>
      </c>
    </row>
    <row r="87" spans="1:14" x14ac:dyDescent="0.25">
      <c r="A87" s="1">
        <v>84</v>
      </c>
      <c r="B87" s="55">
        <v>60.320328542094458</v>
      </c>
      <c r="C87" s="1">
        <v>0</v>
      </c>
      <c r="D87" s="1">
        <v>1</v>
      </c>
      <c r="F87" s="55">
        <v>61.24024640657084</v>
      </c>
      <c r="G87" s="1">
        <v>116</v>
      </c>
      <c r="H87" s="1">
        <v>0</v>
      </c>
      <c r="I87" s="1">
        <v>1</v>
      </c>
      <c r="J87" s="15">
        <v>1</v>
      </c>
      <c r="K87" s="15">
        <v>0.76873707194658225</v>
      </c>
      <c r="M87" s="2">
        <v>53.256673511293634</v>
      </c>
      <c r="N87" s="2">
        <v>0.79163582239299302</v>
      </c>
    </row>
    <row r="88" spans="1:14" x14ac:dyDescent="0.25">
      <c r="A88" s="1">
        <v>85</v>
      </c>
      <c r="B88" s="55">
        <v>60.418891170431209</v>
      </c>
      <c r="C88" s="1">
        <v>0</v>
      </c>
      <c r="D88" s="1">
        <v>1</v>
      </c>
      <c r="F88" s="55">
        <v>62.390143737166326</v>
      </c>
      <c r="G88" s="1">
        <v>115</v>
      </c>
      <c r="H88" s="1">
        <v>0</v>
      </c>
      <c r="I88" s="1">
        <v>1</v>
      </c>
      <c r="J88" s="15">
        <v>1</v>
      </c>
      <c r="K88" s="15">
        <v>0.76873707194658225</v>
      </c>
      <c r="M88" s="2">
        <v>53.256673511293634</v>
      </c>
      <c r="N88" s="2">
        <v>0.78621365922591768</v>
      </c>
    </row>
    <row r="89" spans="1:14" x14ac:dyDescent="0.25">
      <c r="A89" s="1">
        <v>86</v>
      </c>
      <c r="B89" s="55">
        <v>60.418891170431209</v>
      </c>
      <c r="C89" s="1">
        <v>0</v>
      </c>
      <c r="D89" s="1">
        <v>1</v>
      </c>
      <c r="F89" s="55">
        <v>62.882956878850102</v>
      </c>
      <c r="G89" s="1">
        <v>114</v>
      </c>
      <c r="H89" s="1">
        <v>0</v>
      </c>
      <c r="I89" s="1">
        <v>1</v>
      </c>
      <c r="J89" s="15">
        <v>1</v>
      </c>
      <c r="K89" s="15">
        <v>0.76873707194658225</v>
      </c>
      <c r="M89" s="2">
        <v>54.767967145790557</v>
      </c>
      <c r="N89" s="2">
        <v>0.78621365922591768</v>
      </c>
    </row>
    <row r="90" spans="1:14" x14ac:dyDescent="0.25">
      <c r="A90" s="1">
        <v>87</v>
      </c>
      <c r="B90" s="55">
        <v>60.911704312114992</v>
      </c>
      <c r="C90" s="1">
        <v>0</v>
      </c>
      <c r="D90" s="1">
        <v>1</v>
      </c>
      <c r="F90" s="55">
        <v>63.04722792607803</v>
      </c>
      <c r="G90" s="1">
        <v>113</v>
      </c>
      <c r="H90" s="1">
        <v>0</v>
      </c>
      <c r="I90" s="1">
        <v>1</v>
      </c>
      <c r="J90" s="15">
        <v>1</v>
      </c>
      <c r="K90" s="15">
        <v>0.76873707194658225</v>
      </c>
      <c r="M90" s="2">
        <v>54.767967145790557</v>
      </c>
      <c r="N90" s="2">
        <v>0.78047487339215182</v>
      </c>
    </row>
    <row r="91" spans="1:14" x14ac:dyDescent="0.25">
      <c r="A91" s="1">
        <v>88</v>
      </c>
      <c r="B91" s="55">
        <v>60.977412731006162</v>
      </c>
      <c r="C91" s="1">
        <v>0</v>
      </c>
      <c r="D91" s="1">
        <v>1</v>
      </c>
      <c r="F91" s="55">
        <v>63.080082135523611</v>
      </c>
      <c r="G91" s="1">
        <v>112</v>
      </c>
      <c r="H91" s="1">
        <v>0</v>
      </c>
      <c r="I91" s="1">
        <v>1</v>
      </c>
      <c r="J91" s="15">
        <v>1</v>
      </c>
      <c r="K91" s="15">
        <v>0.76873707194658225</v>
      </c>
      <c r="M91" s="2">
        <v>55.523613963039011</v>
      </c>
      <c r="N91" s="2">
        <v>0.78047487339215182</v>
      </c>
    </row>
    <row r="92" spans="1:14" x14ac:dyDescent="0.25">
      <c r="A92" s="1">
        <v>89</v>
      </c>
      <c r="B92" s="55">
        <v>61.108829568788501</v>
      </c>
      <c r="C92" s="1">
        <v>0</v>
      </c>
      <c r="D92" s="1">
        <v>1</v>
      </c>
      <c r="F92" s="55">
        <v>63.310061601642708</v>
      </c>
      <c r="G92" s="1">
        <v>111</v>
      </c>
      <c r="H92" s="1">
        <v>0</v>
      </c>
      <c r="I92" s="1">
        <v>1</v>
      </c>
      <c r="J92" s="15">
        <v>1</v>
      </c>
      <c r="K92" s="15">
        <v>0.76873707194658225</v>
      </c>
      <c r="M92" s="2">
        <v>55.523613963039011</v>
      </c>
      <c r="N92" s="2">
        <v>0.774650434038479</v>
      </c>
    </row>
    <row r="93" spans="1:14" x14ac:dyDescent="0.25">
      <c r="A93" s="1">
        <v>90</v>
      </c>
      <c r="B93" s="55">
        <v>61.24024640657084</v>
      </c>
      <c r="C93" s="1">
        <v>0</v>
      </c>
      <c r="D93" s="1">
        <v>1</v>
      </c>
      <c r="F93" s="55">
        <v>63.507186858316224</v>
      </c>
      <c r="G93" s="1">
        <v>110</v>
      </c>
      <c r="H93" s="1">
        <v>1</v>
      </c>
      <c r="I93" s="1">
        <v>0</v>
      </c>
      <c r="J93" s="15">
        <v>0.99090909090909096</v>
      </c>
      <c r="K93" s="15">
        <v>0.76174855311070422</v>
      </c>
      <c r="M93" s="2">
        <v>56.706365503080079</v>
      </c>
      <c r="N93" s="2">
        <v>0.774650434038479</v>
      </c>
    </row>
    <row r="94" spans="1:14" x14ac:dyDescent="0.25">
      <c r="A94" s="1">
        <v>91</v>
      </c>
      <c r="B94" s="55">
        <v>62.390143737166326</v>
      </c>
      <c r="C94" s="1">
        <v>0</v>
      </c>
      <c r="D94" s="1">
        <v>1</v>
      </c>
      <c r="F94" s="55">
        <v>63.802874743326491</v>
      </c>
      <c r="G94" s="1">
        <v>109</v>
      </c>
      <c r="H94" s="1">
        <v>0</v>
      </c>
      <c r="I94" s="1">
        <v>1</v>
      </c>
      <c r="J94" s="15">
        <v>1</v>
      </c>
      <c r="K94" s="15">
        <v>0.76174855311070422</v>
      </c>
      <c r="M94" s="2">
        <v>56.706365503080079</v>
      </c>
      <c r="N94" s="2">
        <v>0.76873707194658225</v>
      </c>
    </row>
    <row r="95" spans="1:14" x14ac:dyDescent="0.25">
      <c r="A95" s="1">
        <v>92</v>
      </c>
      <c r="B95" s="55">
        <v>62.882956878850102</v>
      </c>
      <c r="C95" s="1">
        <v>0</v>
      </c>
      <c r="D95" s="1">
        <v>1</v>
      </c>
      <c r="F95" s="55">
        <v>64.22997946611909</v>
      </c>
      <c r="G95" s="1">
        <v>108</v>
      </c>
      <c r="H95" s="1">
        <v>0</v>
      </c>
      <c r="I95" s="1">
        <v>1</v>
      </c>
      <c r="J95" s="15">
        <v>1</v>
      </c>
      <c r="K95" s="15">
        <v>0.76174855311070422</v>
      </c>
      <c r="M95" s="2">
        <v>63.507186858316224</v>
      </c>
      <c r="N95" s="2">
        <v>0.76873707194658225</v>
      </c>
    </row>
    <row r="96" spans="1:14" x14ac:dyDescent="0.25">
      <c r="A96" s="1">
        <v>93</v>
      </c>
      <c r="B96" s="55">
        <v>63.04722792607803</v>
      </c>
      <c r="C96" s="1">
        <v>0</v>
      </c>
      <c r="D96" s="1">
        <v>1</v>
      </c>
      <c r="F96" s="55">
        <v>64.262833675564679</v>
      </c>
      <c r="G96" s="1">
        <v>107</v>
      </c>
      <c r="H96" s="1">
        <v>0</v>
      </c>
      <c r="I96" s="1">
        <v>1</v>
      </c>
      <c r="J96" s="15">
        <v>1</v>
      </c>
      <c r="K96" s="15">
        <v>0.76174855311070422</v>
      </c>
      <c r="M96" s="2">
        <v>63.507186858316224</v>
      </c>
      <c r="N96" s="2">
        <v>0.76174855311070422</v>
      </c>
    </row>
    <row r="97" spans="1:14" x14ac:dyDescent="0.25">
      <c r="A97" s="1">
        <v>94</v>
      </c>
      <c r="B97" s="55">
        <v>63.080082135523611</v>
      </c>
      <c r="C97" s="1">
        <v>0</v>
      </c>
      <c r="D97" s="1">
        <v>1</v>
      </c>
      <c r="F97" s="55">
        <v>64.328542094455855</v>
      </c>
      <c r="G97" s="1">
        <v>106</v>
      </c>
      <c r="H97" s="1">
        <v>0</v>
      </c>
      <c r="I97" s="1">
        <v>1</v>
      </c>
      <c r="J97" s="15">
        <v>1</v>
      </c>
      <c r="K97" s="15">
        <v>0.76174855311070422</v>
      </c>
      <c r="M97" s="2">
        <v>67.71252566735113</v>
      </c>
      <c r="N97" s="2">
        <v>0.76174855311070422</v>
      </c>
    </row>
    <row r="98" spans="1:14" x14ac:dyDescent="0.25">
      <c r="A98" s="1">
        <v>95</v>
      </c>
      <c r="B98" s="55">
        <v>63.310061601642708</v>
      </c>
      <c r="C98" s="1">
        <v>0</v>
      </c>
      <c r="D98" s="1">
        <v>1</v>
      </c>
      <c r="F98" s="55">
        <v>64.492813141683783</v>
      </c>
      <c r="G98" s="1">
        <v>105</v>
      </c>
      <c r="H98" s="1">
        <v>0</v>
      </c>
      <c r="I98" s="1">
        <v>1</v>
      </c>
      <c r="J98" s="15">
        <v>1</v>
      </c>
      <c r="K98" s="15">
        <v>0.76174855311070422</v>
      </c>
      <c r="M98" s="2">
        <v>67.71252566735113</v>
      </c>
      <c r="N98" s="2">
        <v>0.75373014728848631</v>
      </c>
    </row>
    <row r="99" spans="1:14" x14ac:dyDescent="0.25">
      <c r="A99" s="1">
        <v>96</v>
      </c>
      <c r="B99" s="55">
        <v>63.507186858316224</v>
      </c>
      <c r="C99" s="1">
        <v>1</v>
      </c>
      <c r="D99" s="1">
        <v>1</v>
      </c>
      <c r="F99" s="55">
        <v>64.722792607802873</v>
      </c>
      <c r="G99" s="1">
        <v>104</v>
      </c>
      <c r="H99" s="1">
        <v>0</v>
      </c>
      <c r="I99" s="1">
        <v>1</v>
      </c>
      <c r="J99" s="15">
        <v>1</v>
      </c>
      <c r="K99" s="15">
        <v>0.76174855311070422</v>
      </c>
      <c r="M99" s="2">
        <v>67.745379876796719</v>
      </c>
      <c r="N99" s="2">
        <v>0.75373014728848631</v>
      </c>
    </row>
    <row r="100" spans="1:14" x14ac:dyDescent="0.25">
      <c r="A100" s="1">
        <v>97</v>
      </c>
      <c r="B100" s="55">
        <v>63.802874743326491</v>
      </c>
      <c r="C100" s="1">
        <v>0</v>
      </c>
      <c r="D100" s="1">
        <v>1</v>
      </c>
      <c r="F100" s="55">
        <v>65.872689938398352</v>
      </c>
      <c r="G100" s="1">
        <v>103</v>
      </c>
      <c r="H100" s="1">
        <v>0</v>
      </c>
      <c r="I100" s="1">
        <v>1</v>
      </c>
      <c r="J100" s="15">
        <v>1</v>
      </c>
      <c r="K100" s="15">
        <v>0.76174855311070422</v>
      </c>
      <c r="M100" s="2">
        <v>67.745379876796719</v>
      </c>
      <c r="N100" s="2">
        <v>0.7457117414662684</v>
      </c>
    </row>
    <row r="101" spans="1:14" x14ac:dyDescent="0.25">
      <c r="A101" s="1">
        <v>98</v>
      </c>
      <c r="B101" s="55">
        <v>64.22997946611909</v>
      </c>
      <c r="C101" s="1">
        <v>0</v>
      </c>
      <c r="D101" s="1">
        <v>1</v>
      </c>
      <c r="F101" s="55">
        <v>65.938398357289529</v>
      </c>
      <c r="G101" s="1">
        <v>102</v>
      </c>
      <c r="H101" s="1">
        <v>0</v>
      </c>
      <c r="I101" s="1">
        <v>1</v>
      </c>
      <c r="J101" s="15">
        <v>1</v>
      </c>
      <c r="K101" s="15">
        <v>0.76174855311070422</v>
      </c>
      <c r="M101" s="2">
        <v>69.092402464065714</v>
      </c>
      <c r="N101" s="2">
        <v>0.7457117414662684</v>
      </c>
    </row>
    <row r="102" spans="1:14" x14ac:dyDescent="0.25">
      <c r="A102" s="1">
        <v>99</v>
      </c>
      <c r="B102" s="55">
        <v>64.262833675564679</v>
      </c>
      <c r="C102" s="1">
        <v>0</v>
      </c>
      <c r="D102" s="1">
        <v>1</v>
      </c>
      <c r="F102" s="55">
        <v>66.069815195071868</v>
      </c>
      <c r="G102" s="1">
        <v>101</v>
      </c>
      <c r="H102" s="1">
        <v>0</v>
      </c>
      <c r="I102" s="1">
        <v>1</v>
      </c>
      <c r="J102" s="15">
        <v>1</v>
      </c>
      <c r="K102" s="15">
        <v>0.76174855311070422</v>
      </c>
      <c r="M102" s="2">
        <v>69.092402464065714</v>
      </c>
      <c r="N102" s="2">
        <v>0.73742605544997653</v>
      </c>
    </row>
    <row r="103" spans="1:14" x14ac:dyDescent="0.25">
      <c r="A103" s="1">
        <v>100</v>
      </c>
      <c r="B103" s="55">
        <v>64.328542094455855</v>
      </c>
      <c r="C103" s="1">
        <v>0</v>
      </c>
      <c r="D103" s="1">
        <v>1</v>
      </c>
      <c r="F103" s="55">
        <v>66.496919917864474</v>
      </c>
      <c r="G103" s="1">
        <v>100</v>
      </c>
      <c r="H103" s="1">
        <v>0</v>
      </c>
      <c r="I103" s="1">
        <v>1</v>
      </c>
      <c r="J103" s="15">
        <v>1</v>
      </c>
      <c r="K103" s="15">
        <v>0.76174855311070422</v>
      </c>
      <c r="M103" s="2">
        <v>69.256673511293641</v>
      </c>
      <c r="N103" s="2">
        <v>0.73742605544997653</v>
      </c>
    </row>
    <row r="104" spans="1:14" x14ac:dyDescent="0.25">
      <c r="A104" s="1">
        <v>101</v>
      </c>
      <c r="B104" s="55">
        <v>64.492813141683783</v>
      </c>
      <c r="C104" s="1">
        <v>0</v>
      </c>
      <c r="D104" s="1">
        <v>1</v>
      </c>
      <c r="F104" s="55">
        <v>66.628336755646814</v>
      </c>
      <c r="G104" s="1">
        <v>99</v>
      </c>
      <c r="H104" s="1">
        <v>0</v>
      </c>
      <c r="I104" s="1">
        <v>1</v>
      </c>
      <c r="J104" s="15">
        <v>1</v>
      </c>
      <c r="K104" s="15">
        <v>0.76174855311070422</v>
      </c>
      <c r="M104" s="2">
        <v>69.256673511293641</v>
      </c>
      <c r="N104" s="2">
        <v>0.72904621391077229</v>
      </c>
    </row>
    <row r="105" spans="1:14" x14ac:dyDescent="0.25">
      <c r="A105" s="1">
        <v>102</v>
      </c>
      <c r="B105" s="55">
        <v>64.722792607802873</v>
      </c>
      <c r="C105" s="1">
        <v>0</v>
      </c>
      <c r="D105" s="1">
        <v>1</v>
      </c>
      <c r="F105" s="55">
        <v>66.956878850102669</v>
      </c>
      <c r="G105" s="1">
        <v>98</v>
      </c>
      <c r="H105" s="1">
        <v>0</v>
      </c>
      <c r="I105" s="1">
        <v>1</v>
      </c>
      <c r="J105" s="15">
        <v>1</v>
      </c>
      <c r="K105" s="15">
        <v>0.76174855311070422</v>
      </c>
      <c r="M105" s="2">
        <v>74.119096509240251</v>
      </c>
      <c r="N105" s="2">
        <v>0.72904621391077229</v>
      </c>
    </row>
    <row r="106" spans="1:14" x14ac:dyDescent="0.25">
      <c r="A106" s="1">
        <v>103</v>
      </c>
      <c r="B106" s="55">
        <v>65.872689938398352</v>
      </c>
      <c r="C106" s="1">
        <v>0</v>
      </c>
      <c r="D106" s="1">
        <v>1</v>
      </c>
      <c r="F106" s="55">
        <v>67.548254620123203</v>
      </c>
      <c r="G106" s="1">
        <v>97</v>
      </c>
      <c r="H106" s="1">
        <v>0</v>
      </c>
      <c r="I106" s="1">
        <v>1</v>
      </c>
      <c r="J106" s="15">
        <v>1</v>
      </c>
      <c r="K106" s="15">
        <v>0.76174855311070422</v>
      </c>
      <c r="M106" s="2">
        <v>74.119096509240251</v>
      </c>
      <c r="N106" s="2">
        <v>0.71993313623688771</v>
      </c>
    </row>
    <row r="107" spans="1:14" x14ac:dyDescent="0.25">
      <c r="A107" s="1">
        <v>104</v>
      </c>
      <c r="B107" s="55">
        <v>65.938398357289529</v>
      </c>
      <c r="C107" s="1">
        <v>0</v>
      </c>
      <c r="D107" s="1">
        <v>1</v>
      </c>
      <c r="F107" s="55">
        <v>67.646817248459953</v>
      </c>
      <c r="G107" s="1">
        <v>96</v>
      </c>
      <c r="H107" s="1">
        <v>0</v>
      </c>
      <c r="I107" s="1">
        <v>1</v>
      </c>
      <c r="J107" s="15">
        <v>1</v>
      </c>
      <c r="K107" s="15">
        <v>0.76174855311070422</v>
      </c>
      <c r="M107" s="2">
        <v>78.455852156057489</v>
      </c>
      <c r="N107" s="2">
        <v>0.71993313623688771</v>
      </c>
    </row>
    <row r="108" spans="1:14" x14ac:dyDescent="0.25">
      <c r="A108" s="1">
        <v>105</v>
      </c>
      <c r="B108" s="55">
        <v>66.069815195071868</v>
      </c>
      <c r="C108" s="1">
        <v>0</v>
      </c>
      <c r="D108" s="1">
        <v>1</v>
      </c>
      <c r="F108" s="55">
        <v>67.71252566735113</v>
      </c>
      <c r="G108" s="1">
        <v>95</v>
      </c>
      <c r="H108" s="1">
        <v>1</v>
      </c>
      <c r="I108" s="1">
        <v>0</v>
      </c>
      <c r="J108" s="15">
        <v>0.98947368421052628</v>
      </c>
      <c r="K108" s="15">
        <v>0.75373014728848631</v>
      </c>
      <c r="M108" s="2">
        <v>78.455852156057489</v>
      </c>
      <c r="N108" s="2">
        <v>0.71033402775372922</v>
      </c>
    </row>
    <row r="109" spans="1:14" x14ac:dyDescent="0.25">
      <c r="A109" s="1">
        <v>106</v>
      </c>
      <c r="B109" s="55">
        <v>66.496919917864474</v>
      </c>
      <c r="C109" s="1">
        <v>0</v>
      </c>
      <c r="D109" s="1">
        <v>1</v>
      </c>
      <c r="F109" s="55">
        <v>67.745379876796719</v>
      </c>
      <c r="G109" s="1">
        <v>94</v>
      </c>
      <c r="H109" s="1">
        <v>1</v>
      </c>
      <c r="I109" s="1">
        <v>0</v>
      </c>
      <c r="J109" s="15">
        <v>0.98936170212765961</v>
      </c>
      <c r="K109" s="15">
        <v>0.7457117414662684</v>
      </c>
      <c r="M109" s="2">
        <v>81.051334702258728</v>
      </c>
      <c r="N109" s="2">
        <v>0.71033402775372922</v>
      </c>
    </row>
    <row r="110" spans="1:14" x14ac:dyDescent="0.25">
      <c r="A110" s="1">
        <v>107</v>
      </c>
      <c r="B110" s="55">
        <v>66.628336755646814</v>
      </c>
      <c r="C110" s="1">
        <v>0</v>
      </c>
      <c r="D110" s="1">
        <v>1</v>
      </c>
      <c r="F110" s="55">
        <v>68.172484599589325</v>
      </c>
      <c r="G110" s="1">
        <v>93</v>
      </c>
      <c r="H110" s="1">
        <v>0</v>
      </c>
      <c r="I110" s="1">
        <v>1</v>
      </c>
      <c r="J110" s="15">
        <v>1</v>
      </c>
      <c r="K110" s="15">
        <v>0.7457117414662684</v>
      </c>
      <c r="M110" s="2">
        <v>81.051334702258728</v>
      </c>
      <c r="N110" s="2">
        <v>0.70003933169932742</v>
      </c>
    </row>
    <row r="111" spans="1:14" x14ac:dyDescent="0.25">
      <c r="A111" s="1">
        <v>108</v>
      </c>
      <c r="B111" s="55">
        <v>66.956878850102669</v>
      </c>
      <c r="C111" s="1">
        <v>0</v>
      </c>
      <c r="D111" s="1">
        <v>1</v>
      </c>
      <c r="F111" s="55">
        <v>68.50102669404518</v>
      </c>
      <c r="G111" s="1">
        <v>92</v>
      </c>
      <c r="H111" s="1">
        <v>0</v>
      </c>
      <c r="I111" s="1">
        <v>1</v>
      </c>
      <c r="J111" s="15">
        <v>1</v>
      </c>
      <c r="K111" s="15">
        <v>0.7457117414662684</v>
      </c>
      <c r="M111" s="2">
        <v>84.271047227926076</v>
      </c>
      <c r="N111" s="2">
        <v>0.70003933169932742</v>
      </c>
    </row>
    <row r="112" spans="1:14" x14ac:dyDescent="0.25">
      <c r="A112" s="1">
        <v>109</v>
      </c>
      <c r="B112" s="55">
        <v>67.548254620123203</v>
      </c>
      <c r="C112" s="1">
        <v>0</v>
      </c>
      <c r="D112" s="1">
        <v>1</v>
      </c>
      <c r="F112" s="55">
        <v>69.059548254620125</v>
      </c>
      <c r="G112" s="1">
        <v>91</v>
      </c>
      <c r="H112" s="1">
        <v>0</v>
      </c>
      <c r="I112" s="1">
        <v>1</v>
      </c>
      <c r="J112" s="15">
        <v>1</v>
      </c>
      <c r="K112" s="15">
        <v>0.7457117414662684</v>
      </c>
      <c r="M112" s="2">
        <v>84.271047227926076</v>
      </c>
      <c r="N112" s="2">
        <v>0.68892759627552858</v>
      </c>
    </row>
    <row r="113" spans="1:14" x14ac:dyDescent="0.25">
      <c r="A113" s="1">
        <v>110</v>
      </c>
      <c r="B113" s="55">
        <v>67.646817248459953</v>
      </c>
      <c r="C113" s="1">
        <v>0</v>
      </c>
      <c r="D113" s="1">
        <v>1</v>
      </c>
      <c r="F113" s="55">
        <v>69.092402464065714</v>
      </c>
      <c r="G113" s="1">
        <v>90</v>
      </c>
      <c r="H113" s="1">
        <v>1</v>
      </c>
      <c r="I113" s="1">
        <v>0</v>
      </c>
      <c r="J113" s="15">
        <v>0.98888888888888893</v>
      </c>
      <c r="K113" s="15">
        <v>0.73742605544997653</v>
      </c>
      <c r="M113" s="2">
        <v>91.400410677618069</v>
      </c>
      <c r="N113" s="2">
        <v>0.68892759627552858</v>
      </c>
    </row>
    <row r="114" spans="1:14" x14ac:dyDescent="0.25">
      <c r="A114" s="1">
        <v>111</v>
      </c>
      <c r="B114" s="55">
        <v>67.71252566735113</v>
      </c>
      <c r="C114" s="1">
        <v>1</v>
      </c>
      <c r="D114" s="1">
        <v>1</v>
      </c>
      <c r="F114" s="55">
        <v>69.125256673511288</v>
      </c>
      <c r="G114" s="1">
        <v>89</v>
      </c>
      <c r="H114" s="1">
        <v>0</v>
      </c>
      <c r="I114" s="1">
        <v>1</v>
      </c>
      <c r="J114" s="15">
        <v>1</v>
      </c>
      <c r="K114" s="15">
        <v>0.73742605544997653</v>
      </c>
      <c r="M114" s="2">
        <v>91.400410677618069</v>
      </c>
      <c r="N114" s="2">
        <v>0.6768411472180631</v>
      </c>
    </row>
    <row r="115" spans="1:14" x14ac:dyDescent="0.25">
      <c r="A115" s="1">
        <v>112</v>
      </c>
      <c r="B115" s="55">
        <v>67.745379876796719</v>
      </c>
      <c r="C115" s="1">
        <v>1</v>
      </c>
      <c r="D115" s="1">
        <v>1</v>
      </c>
      <c r="F115" s="55">
        <v>69.256673511293641</v>
      </c>
      <c r="G115" s="1">
        <v>88</v>
      </c>
      <c r="H115" s="1">
        <v>1</v>
      </c>
      <c r="I115" s="1">
        <v>0</v>
      </c>
      <c r="J115" s="15">
        <v>0.98863636363636365</v>
      </c>
      <c r="K115" s="15">
        <v>0.72904621391077229</v>
      </c>
      <c r="M115" s="2">
        <v>99.94250513347022</v>
      </c>
      <c r="N115" s="2">
        <v>0.6768411472180631</v>
      </c>
    </row>
    <row r="116" spans="1:14" x14ac:dyDescent="0.25">
      <c r="A116" s="1">
        <v>113</v>
      </c>
      <c r="B116" s="55">
        <v>68.172484599589325</v>
      </c>
      <c r="C116" s="1">
        <v>0</v>
      </c>
      <c r="D116" s="1">
        <v>1</v>
      </c>
      <c r="F116" s="55">
        <v>69.388090349075981</v>
      </c>
      <c r="G116" s="1">
        <v>87</v>
      </c>
      <c r="H116" s="1">
        <v>0</v>
      </c>
      <c r="I116" s="1">
        <v>1</v>
      </c>
      <c r="J116" s="15">
        <v>1</v>
      </c>
      <c r="K116" s="15">
        <v>0.72904621391077229</v>
      </c>
      <c r="M116" s="2">
        <v>99.94250513347022</v>
      </c>
      <c r="N116" s="2">
        <v>0.66382497131002338</v>
      </c>
    </row>
    <row r="117" spans="1:14" x14ac:dyDescent="0.25">
      <c r="A117" s="1">
        <v>114</v>
      </c>
      <c r="B117" s="55">
        <v>68.50102669404518</v>
      </c>
      <c r="C117" s="1">
        <v>0</v>
      </c>
      <c r="D117" s="1">
        <v>1</v>
      </c>
      <c r="F117" s="55">
        <v>70.636550308008211</v>
      </c>
      <c r="G117" s="1">
        <v>86</v>
      </c>
      <c r="H117" s="1">
        <v>0</v>
      </c>
      <c r="I117" s="1">
        <v>1</v>
      </c>
      <c r="J117" s="15">
        <v>1</v>
      </c>
      <c r="K117" s="15">
        <v>0.72904621391077229</v>
      </c>
      <c r="M117" s="2">
        <v>109.66735112936345</v>
      </c>
      <c r="N117" s="2">
        <v>0.66382497131002338</v>
      </c>
    </row>
    <row r="118" spans="1:14" x14ac:dyDescent="0.25">
      <c r="A118" s="1">
        <v>115</v>
      </c>
      <c r="B118" s="55">
        <v>69.059548254620125</v>
      </c>
      <c r="C118" s="1">
        <v>0</v>
      </c>
      <c r="D118" s="1">
        <v>1</v>
      </c>
      <c r="F118" s="55">
        <v>70.833675564681727</v>
      </c>
      <c r="G118" s="1">
        <v>85</v>
      </c>
      <c r="H118" s="1">
        <v>0</v>
      </c>
      <c r="I118" s="1">
        <v>1</v>
      </c>
      <c r="J118" s="15">
        <v>1</v>
      </c>
      <c r="K118" s="15">
        <v>0.72904621391077229</v>
      </c>
      <c r="M118" s="2">
        <v>109.66735112936345</v>
      </c>
      <c r="N118" s="2">
        <v>0.64485854355830841</v>
      </c>
    </row>
    <row r="119" spans="1:14" x14ac:dyDescent="0.25">
      <c r="A119" s="1">
        <v>116</v>
      </c>
      <c r="B119" s="55">
        <v>69.092402464065714</v>
      </c>
      <c r="C119" s="1">
        <v>1</v>
      </c>
      <c r="D119" s="1">
        <v>1</v>
      </c>
      <c r="F119" s="55">
        <v>71.129363449691994</v>
      </c>
      <c r="G119" s="1">
        <v>84</v>
      </c>
      <c r="H119" s="1">
        <v>0</v>
      </c>
      <c r="I119" s="1">
        <v>1</v>
      </c>
      <c r="J119" s="15">
        <v>1</v>
      </c>
      <c r="K119" s="15">
        <v>0.72904621391077229</v>
      </c>
      <c r="M119" s="2">
        <v>182.83367556468173</v>
      </c>
      <c r="N119" s="2">
        <v>0.64485854355830841</v>
      </c>
    </row>
    <row r="120" spans="1:14" x14ac:dyDescent="0.25">
      <c r="A120" s="1">
        <v>117</v>
      </c>
      <c r="B120" s="55">
        <v>69.125256673511288</v>
      </c>
      <c r="C120" s="1">
        <v>0</v>
      </c>
      <c r="D120" s="1">
        <v>1</v>
      </c>
      <c r="F120" s="55">
        <v>72.57494866529774</v>
      </c>
      <c r="G120" s="1">
        <v>83</v>
      </c>
      <c r="H120" s="1">
        <v>0</v>
      </c>
      <c r="I120" s="1">
        <v>1</v>
      </c>
      <c r="J120" s="15">
        <v>1</v>
      </c>
      <c r="K120" s="15">
        <v>0.72904621391077229</v>
      </c>
    </row>
    <row r="121" spans="1:14" x14ac:dyDescent="0.25">
      <c r="A121" s="1">
        <v>118</v>
      </c>
      <c r="B121" s="55">
        <v>69.256673511293641</v>
      </c>
      <c r="C121" s="1">
        <v>1</v>
      </c>
      <c r="D121" s="1">
        <v>1</v>
      </c>
      <c r="F121" s="55">
        <v>73.166324435318273</v>
      </c>
      <c r="G121" s="1">
        <v>82</v>
      </c>
      <c r="H121" s="1">
        <v>0</v>
      </c>
      <c r="I121" s="1">
        <v>2</v>
      </c>
      <c r="J121" s="15">
        <v>1</v>
      </c>
      <c r="K121" s="15">
        <v>0.72904621391077229</v>
      </c>
    </row>
    <row r="122" spans="1:14" x14ac:dyDescent="0.25">
      <c r="A122" s="1">
        <v>119</v>
      </c>
      <c r="B122" s="55">
        <v>69.388090349075981</v>
      </c>
      <c r="C122" s="1">
        <v>0</v>
      </c>
      <c r="D122" s="1">
        <v>1</v>
      </c>
      <c r="F122" s="55">
        <v>74.119096509240251</v>
      </c>
      <c r="G122" s="1">
        <v>80</v>
      </c>
      <c r="H122" s="1">
        <v>1</v>
      </c>
      <c r="I122" s="1">
        <v>0</v>
      </c>
      <c r="J122" s="15">
        <v>0.98750000000000004</v>
      </c>
      <c r="K122" s="15">
        <v>0.71993313623688771</v>
      </c>
    </row>
    <row r="123" spans="1:14" x14ac:dyDescent="0.25">
      <c r="A123" s="1">
        <v>120</v>
      </c>
      <c r="B123" s="55">
        <v>70.636550308008211</v>
      </c>
      <c r="C123" s="1">
        <v>0</v>
      </c>
      <c r="D123" s="1">
        <v>1</v>
      </c>
      <c r="F123" s="55">
        <v>74.381930184804929</v>
      </c>
      <c r="G123" s="1">
        <v>79</v>
      </c>
      <c r="H123" s="1">
        <v>0</v>
      </c>
      <c r="I123" s="1">
        <v>1</v>
      </c>
      <c r="J123" s="15">
        <v>1</v>
      </c>
      <c r="K123" s="15">
        <v>0.71993313623688771</v>
      </c>
    </row>
    <row r="124" spans="1:14" x14ac:dyDescent="0.25">
      <c r="A124" s="1">
        <v>121</v>
      </c>
      <c r="B124" s="55">
        <v>70.833675564681727</v>
      </c>
      <c r="C124" s="1">
        <v>0</v>
      </c>
      <c r="D124" s="1">
        <v>1</v>
      </c>
      <c r="F124" s="55">
        <v>76.845995893223815</v>
      </c>
      <c r="G124" s="1">
        <v>78</v>
      </c>
      <c r="H124" s="1">
        <v>0</v>
      </c>
      <c r="I124" s="1">
        <v>1</v>
      </c>
      <c r="J124" s="15">
        <v>1</v>
      </c>
      <c r="K124" s="15">
        <v>0.71993313623688771</v>
      </c>
    </row>
    <row r="125" spans="1:14" x14ac:dyDescent="0.25">
      <c r="A125" s="1">
        <v>122</v>
      </c>
      <c r="B125" s="55">
        <v>71.129363449691994</v>
      </c>
      <c r="C125" s="1">
        <v>0</v>
      </c>
      <c r="D125" s="1">
        <v>1</v>
      </c>
      <c r="F125" s="55">
        <v>77.568788501026688</v>
      </c>
      <c r="G125" s="1">
        <v>77</v>
      </c>
      <c r="H125" s="1">
        <v>0</v>
      </c>
      <c r="I125" s="1">
        <v>1</v>
      </c>
      <c r="J125" s="15">
        <v>1</v>
      </c>
      <c r="K125" s="15">
        <v>0.71993313623688771</v>
      </c>
    </row>
    <row r="126" spans="1:14" x14ac:dyDescent="0.25">
      <c r="A126" s="1">
        <v>123</v>
      </c>
      <c r="B126" s="55">
        <v>72.57494866529774</v>
      </c>
      <c r="C126" s="1">
        <v>0</v>
      </c>
      <c r="D126" s="1">
        <v>1</v>
      </c>
      <c r="F126" s="55">
        <v>78.422997946611915</v>
      </c>
      <c r="G126" s="1">
        <v>76</v>
      </c>
      <c r="H126" s="1">
        <v>0</v>
      </c>
      <c r="I126" s="1">
        <v>1</v>
      </c>
      <c r="J126" s="15">
        <v>1</v>
      </c>
      <c r="K126" s="15">
        <v>0.71993313623688771</v>
      </c>
    </row>
    <row r="127" spans="1:14" x14ac:dyDescent="0.25">
      <c r="A127" s="1">
        <v>124</v>
      </c>
      <c r="B127" s="55">
        <v>73.166324435318273</v>
      </c>
      <c r="C127" s="1">
        <v>0</v>
      </c>
      <c r="D127" s="1">
        <v>1</v>
      </c>
      <c r="F127" s="55">
        <v>78.455852156057489</v>
      </c>
      <c r="G127" s="1">
        <v>75</v>
      </c>
      <c r="H127" s="1">
        <v>1</v>
      </c>
      <c r="I127" s="1">
        <v>0</v>
      </c>
      <c r="J127" s="15">
        <v>0.98666666666666669</v>
      </c>
      <c r="K127" s="15">
        <v>0.71033402775372922</v>
      </c>
    </row>
    <row r="128" spans="1:14" x14ac:dyDescent="0.25">
      <c r="A128" s="1">
        <v>125</v>
      </c>
      <c r="B128" s="55">
        <v>73.166324435318273</v>
      </c>
      <c r="C128" s="1">
        <v>0</v>
      </c>
      <c r="D128" s="1">
        <v>1</v>
      </c>
      <c r="F128" s="55">
        <v>78.948665297741272</v>
      </c>
      <c r="G128" s="1">
        <v>74</v>
      </c>
      <c r="H128" s="1">
        <v>0</v>
      </c>
      <c r="I128" s="1">
        <v>1</v>
      </c>
      <c r="J128" s="15">
        <v>1</v>
      </c>
      <c r="K128" s="15">
        <v>0.71033402775372922</v>
      </c>
    </row>
    <row r="129" spans="1:11" x14ac:dyDescent="0.25">
      <c r="A129" s="1">
        <v>126</v>
      </c>
      <c r="B129" s="55">
        <v>74.119096509240251</v>
      </c>
      <c r="C129" s="1">
        <v>1</v>
      </c>
      <c r="D129" s="1">
        <v>1</v>
      </c>
      <c r="F129" s="55">
        <v>79.704312114989733</v>
      </c>
      <c r="G129" s="1">
        <v>73</v>
      </c>
      <c r="H129" s="1">
        <v>0</v>
      </c>
      <c r="I129" s="1">
        <v>2</v>
      </c>
      <c r="J129" s="15">
        <v>1</v>
      </c>
      <c r="K129" s="15">
        <v>0.71033402775372922</v>
      </c>
    </row>
    <row r="130" spans="1:11" x14ac:dyDescent="0.25">
      <c r="A130" s="1">
        <v>127</v>
      </c>
      <c r="B130" s="55">
        <v>74.381930184804929</v>
      </c>
      <c r="C130" s="1">
        <v>0</v>
      </c>
      <c r="D130" s="1">
        <v>1</v>
      </c>
      <c r="F130" s="55">
        <v>79.868583162217661</v>
      </c>
      <c r="G130" s="1">
        <v>71</v>
      </c>
      <c r="H130" s="1">
        <v>0</v>
      </c>
      <c r="I130" s="1">
        <v>1</v>
      </c>
      <c r="J130" s="15">
        <v>1</v>
      </c>
      <c r="K130" s="15">
        <v>0.71033402775372922</v>
      </c>
    </row>
    <row r="131" spans="1:11" x14ac:dyDescent="0.25">
      <c r="A131" s="1">
        <v>128</v>
      </c>
      <c r="B131" s="55">
        <v>76.845995893223815</v>
      </c>
      <c r="C131" s="1">
        <v>0</v>
      </c>
      <c r="D131" s="1">
        <v>1</v>
      </c>
      <c r="F131" s="55">
        <v>80.821355236139624</v>
      </c>
      <c r="G131" s="1">
        <v>70</v>
      </c>
      <c r="H131" s="1">
        <v>0</v>
      </c>
      <c r="I131" s="1">
        <v>1</v>
      </c>
      <c r="J131" s="15">
        <v>1</v>
      </c>
      <c r="K131" s="15">
        <v>0.71033402775372922</v>
      </c>
    </row>
    <row r="132" spans="1:11" x14ac:dyDescent="0.25">
      <c r="A132" s="1">
        <v>129</v>
      </c>
      <c r="B132" s="55">
        <v>77.568788501026688</v>
      </c>
      <c r="C132" s="1">
        <v>0</v>
      </c>
      <c r="D132" s="1">
        <v>1</v>
      </c>
      <c r="F132" s="55">
        <v>81.051334702258728</v>
      </c>
      <c r="G132" s="1">
        <v>69</v>
      </c>
      <c r="H132" s="1">
        <v>1</v>
      </c>
      <c r="I132" s="1">
        <v>0</v>
      </c>
      <c r="J132" s="15">
        <v>0.98550724637681164</v>
      </c>
      <c r="K132" s="15">
        <v>0.70003933169932742</v>
      </c>
    </row>
    <row r="133" spans="1:11" x14ac:dyDescent="0.25">
      <c r="A133" s="1">
        <v>130</v>
      </c>
      <c r="B133" s="55">
        <v>78.422997946611915</v>
      </c>
      <c r="C133" s="1">
        <v>0</v>
      </c>
      <c r="D133" s="1">
        <v>1</v>
      </c>
      <c r="F133" s="55">
        <v>81.872689938398352</v>
      </c>
      <c r="G133" s="1">
        <v>68</v>
      </c>
      <c r="H133" s="1">
        <v>0</v>
      </c>
      <c r="I133" s="1">
        <v>1</v>
      </c>
      <c r="J133" s="15">
        <v>1</v>
      </c>
      <c r="K133" s="15">
        <v>0.70003933169932742</v>
      </c>
    </row>
    <row r="134" spans="1:11" x14ac:dyDescent="0.25">
      <c r="A134" s="1">
        <v>131</v>
      </c>
      <c r="B134" s="55">
        <v>78.455852156057489</v>
      </c>
      <c r="C134" s="1">
        <v>1</v>
      </c>
      <c r="D134" s="1">
        <v>1</v>
      </c>
      <c r="F134" s="55">
        <v>81.905544147843941</v>
      </c>
      <c r="G134" s="1">
        <v>67</v>
      </c>
      <c r="H134" s="1">
        <v>0</v>
      </c>
      <c r="I134" s="1">
        <v>1</v>
      </c>
      <c r="J134" s="15">
        <v>1</v>
      </c>
      <c r="K134" s="15">
        <v>0.70003933169932742</v>
      </c>
    </row>
    <row r="135" spans="1:11" x14ac:dyDescent="0.25">
      <c r="A135" s="1">
        <v>132</v>
      </c>
      <c r="B135" s="55">
        <v>78.948665297741272</v>
      </c>
      <c r="C135" s="1">
        <v>0</v>
      </c>
      <c r="D135" s="1">
        <v>1</v>
      </c>
      <c r="F135" s="55">
        <v>82.82546201232033</v>
      </c>
      <c r="G135" s="1">
        <v>66</v>
      </c>
      <c r="H135" s="1">
        <v>0</v>
      </c>
      <c r="I135" s="1">
        <v>1</v>
      </c>
      <c r="J135" s="15">
        <v>1</v>
      </c>
      <c r="K135" s="15">
        <v>0.70003933169932742</v>
      </c>
    </row>
    <row r="136" spans="1:11" x14ac:dyDescent="0.25">
      <c r="A136" s="1">
        <v>133</v>
      </c>
      <c r="B136" s="55">
        <v>79.704312114989733</v>
      </c>
      <c r="C136" s="1">
        <v>0</v>
      </c>
      <c r="D136" s="1">
        <v>1</v>
      </c>
      <c r="F136" s="55">
        <v>83.515400410677614</v>
      </c>
      <c r="G136" s="1">
        <v>65</v>
      </c>
      <c r="H136" s="1">
        <v>0</v>
      </c>
      <c r="I136" s="1">
        <v>1</v>
      </c>
      <c r="J136" s="15">
        <v>1</v>
      </c>
      <c r="K136" s="15">
        <v>0.70003933169932742</v>
      </c>
    </row>
    <row r="137" spans="1:11" x14ac:dyDescent="0.25">
      <c r="A137" s="1">
        <v>134</v>
      </c>
      <c r="B137" s="55">
        <v>79.704312114989733</v>
      </c>
      <c r="C137" s="1">
        <v>0</v>
      </c>
      <c r="D137" s="1">
        <v>1</v>
      </c>
      <c r="F137" s="55">
        <v>84.073921971252574</v>
      </c>
      <c r="G137" s="1">
        <v>64</v>
      </c>
      <c r="H137" s="1">
        <v>0</v>
      </c>
      <c r="I137" s="1">
        <v>1</v>
      </c>
      <c r="J137" s="15">
        <v>1</v>
      </c>
      <c r="K137" s="15">
        <v>0.70003933169932742</v>
      </c>
    </row>
    <row r="138" spans="1:11" x14ac:dyDescent="0.25">
      <c r="A138" s="1">
        <v>135</v>
      </c>
      <c r="B138" s="55">
        <v>79.868583162217661</v>
      </c>
      <c r="C138" s="1">
        <v>0</v>
      </c>
      <c r="D138" s="1">
        <v>1</v>
      </c>
      <c r="F138" s="55">
        <v>84.271047227926076</v>
      </c>
      <c r="G138" s="1">
        <v>63</v>
      </c>
      <c r="H138" s="1">
        <v>1</v>
      </c>
      <c r="I138" s="1">
        <v>0</v>
      </c>
      <c r="J138" s="15">
        <v>0.98412698412698407</v>
      </c>
      <c r="K138" s="15">
        <v>0.68892759627552858</v>
      </c>
    </row>
    <row r="139" spans="1:11" x14ac:dyDescent="0.25">
      <c r="A139" s="1">
        <v>136</v>
      </c>
      <c r="B139" s="55">
        <v>80.821355236139624</v>
      </c>
      <c r="C139" s="1">
        <v>0</v>
      </c>
      <c r="D139" s="1">
        <v>1</v>
      </c>
      <c r="F139" s="55">
        <v>84.435318275154003</v>
      </c>
      <c r="G139" s="1">
        <v>62</v>
      </c>
      <c r="H139" s="1">
        <v>0</v>
      </c>
      <c r="I139" s="1">
        <v>1</v>
      </c>
      <c r="J139" s="15">
        <v>1</v>
      </c>
      <c r="K139" s="15">
        <v>0.68892759627552858</v>
      </c>
    </row>
    <row r="140" spans="1:11" x14ac:dyDescent="0.25">
      <c r="A140" s="1">
        <v>137</v>
      </c>
      <c r="B140" s="55">
        <v>81.051334702258728</v>
      </c>
      <c r="C140" s="1">
        <v>1</v>
      </c>
      <c r="D140" s="1">
        <v>1</v>
      </c>
      <c r="F140" s="55">
        <v>87.392197125256672</v>
      </c>
      <c r="G140" s="1">
        <v>61</v>
      </c>
      <c r="H140" s="1">
        <v>0</v>
      </c>
      <c r="I140" s="1">
        <v>1</v>
      </c>
      <c r="J140" s="15">
        <v>1</v>
      </c>
      <c r="K140" s="15">
        <v>0.68892759627552858</v>
      </c>
    </row>
    <row r="141" spans="1:11" x14ac:dyDescent="0.25">
      <c r="A141" s="1">
        <v>138</v>
      </c>
      <c r="B141" s="55">
        <v>81.872689938398352</v>
      </c>
      <c r="C141" s="1">
        <v>0</v>
      </c>
      <c r="D141" s="1">
        <v>1</v>
      </c>
      <c r="F141" s="55">
        <v>87.589322381930188</v>
      </c>
      <c r="G141" s="1">
        <v>60</v>
      </c>
      <c r="H141" s="1">
        <v>0</v>
      </c>
      <c r="I141" s="1">
        <v>1</v>
      </c>
      <c r="J141" s="15">
        <v>1</v>
      </c>
      <c r="K141" s="15">
        <v>0.68892759627552858</v>
      </c>
    </row>
    <row r="142" spans="1:11" x14ac:dyDescent="0.25">
      <c r="A142" s="1">
        <v>139</v>
      </c>
      <c r="B142" s="55">
        <v>81.905544147843941</v>
      </c>
      <c r="C142" s="1">
        <v>0</v>
      </c>
      <c r="D142" s="1">
        <v>1</v>
      </c>
      <c r="F142" s="55">
        <v>87.917864476386043</v>
      </c>
      <c r="G142" s="1">
        <v>59</v>
      </c>
      <c r="H142" s="1">
        <v>0</v>
      </c>
      <c r="I142" s="1">
        <v>1</v>
      </c>
      <c r="J142" s="15">
        <v>1</v>
      </c>
      <c r="K142" s="15">
        <v>0.68892759627552858</v>
      </c>
    </row>
    <row r="143" spans="1:11" x14ac:dyDescent="0.25">
      <c r="A143" s="1">
        <v>140</v>
      </c>
      <c r="B143" s="55">
        <v>82.82546201232033</v>
      </c>
      <c r="C143" s="1">
        <v>0</v>
      </c>
      <c r="D143" s="1">
        <v>1</v>
      </c>
      <c r="F143" s="55">
        <v>89.954825462012323</v>
      </c>
      <c r="G143" s="1">
        <v>58</v>
      </c>
      <c r="H143" s="1">
        <v>0</v>
      </c>
      <c r="I143" s="1">
        <v>1</v>
      </c>
      <c r="J143" s="15">
        <v>1</v>
      </c>
      <c r="K143" s="15">
        <v>0.68892759627552858</v>
      </c>
    </row>
    <row r="144" spans="1:11" x14ac:dyDescent="0.25">
      <c r="A144" s="1">
        <v>141</v>
      </c>
      <c r="B144" s="55">
        <v>83.515400410677614</v>
      </c>
      <c r="C144" s="1">
        <v>0</v>
      </c>
      <c r="D144" s="1">
        <v>1</v>
      </c>
      <c r="F144" s="55">
        <v>91.400410677618069</v>
      </c>
      <c r="G144" s="1">
        <v>57</v>
      </c>
      <c r="H144" s="1">
        <v>1</v>
      </c>
      <c r="I144" s="1">
        <v>0</v>
      </c>
      <c r="J144" s="15">
        <v>0.98245614035087714</v>
      </c>
      <c r="K144" s="15">
        <v>0.6768411472180631</v>
      </c>
    </row>
    <row r="145" spans="1:11" x14ac:dyDescent="0.25">
      <c r="A145" s="1">
        <v>142</v>
      </c>
      <c r="B145" s="55">
        <v>84.073921971252574</v>
      </c>
      <c r="C145" s="1">
        <v>0</v>
      </c>
      <c r="D145" s="1">
        <v>1</v>
      </c>
      <c r="F145" s="55">
        <v>91.564681724845997</v>
      </c>
      <c r="G145" s="1">
        <v>56</v>
      </c>
      <c r="H145" s="1">
        <v>0</v>
      </c>
      <c r="I145" s="1">
        <v>1</v>
      </c>
      <c r="J145" s="15">
        <v>1</v>
      </c>
      <c r="K145" s="15">
        <v>0.6768411472180631</v>
      </c>
    </row>
    <row r="146" spans="1:11" x14ac:dyDescent="0.25">
      <c r="A146" s="1">
        <v>143</v>
      </c>
      <c r="B146" s="55">
        <v>84.271047227926076</v>
      </c>
      <c r="C146" s="1">
        <v>1</v>
      </c>
      <c r="D146" s="1">
        <v>1</v>
      </c>
      <c r="F146" s="55">
        <v>98.03696098562628</v>
      </c>
      <c r="G146" s="1">
        <v>55</v>
      </c>
      <c r="H146" s="1">
        <v>0</v>
      </c>
      <c r="I146" s="1">
        <v>1</v>
      </c>
      <c r="J146" s="15">
        <v>1</v>
      </c>
      <c r="K146" s="15">
        <v>0.6768411472180631</v>
      </c>
    </row>
    <row r="147" spans="1:11" x14ac:dyDescent="0.25">
      <c r="A147" s="1">
        <v>144</v>
      </c>
      <c r="B147" s="55">
        <v>84.435318275154003</v>
      </c>
      <c r="C147" s="1">
        <v>0</v>
      </c>
      <c r="D147" s="1">
        <v>1</v>
      </c>
      <c r="F147" s="55">
        <v>99.613963039014379</v>
      </c>
      <c r="G147" s="1">
        <v>54</v>
      </c>
      <c r="H147" s="1">
        <v>0</v>
      </c>
      <c r="I147" s="1">
        <v>1</v>
      </c>
      <c r="J147" s="15">
        <v>1</v>
      </c>
      <c r="K147" s="15">
        <v>0.6768411472180631</v>
      </c>
    </row>
    <row r="148" spans="1:11" x14ac:dyDescent="0.25">
      <c r="A148" s="1">
        <v>145</v>
      </c>
      <c r="B148" s="55">
        <v>87.392197125256672</v>
      </c>
      <c r="C148" s="1">
        <v>0</v>
      </c>
      <c r="D148" s="1">
        <v>1</v>
      </c>
      <c r="F148" s="55">
        <v>99.876796714579058</v>
      </c>
      <c r="G148" s="1">
        <v>53</v>
      </c>
      <c r="H148" s="1">
        <v>0</v>
      </c>
      <c r="I148" s="1">
        <v>1</v>
      </c>
      <c r="J148" s="15">
        <v>1</v>
      </c>
      <c r="K148" s="15">
        <v>0.6768411472180631</v>
      </c>
    </row>
    <row r="149" spans="1:11" x14ac:dyDescent="0.25">
      <c r="A149" s="1">
        <v>146</v>
      </c>
      <c r="B149" s="55">
        <v>87.589322381930188</v>
      </c>
      <c r="C149" s="1">
        <v>0</v>
      </c>
      <c r="D149" s="1">
        <v>1</v>
      </c>
      <c r="F149" s="55">
        <v>99.94250513347022</v>
      </c>
      <c r="G149" s="1">
        <v>52</v>
      </c>
      <c r="H149" s="1">
        <v>1</v>
      </c>
      <c r="I149" s="1">
        <v>0</v>
      </c>
      <c r="J149" s="15">
        <v>0.98076923076923073</v>
      </c>
      <c r="K149" s="15">
        <v>0.66382497131002338</v>
      </c>
    </row>
    <row r="150" spans="1:11" x14ac:dyDescent="0.25">
      <c r="A150" s="1">
        <v>147</v>
      </c>
      <c r="B150" s="55">
        <v>87.917864476386043</v>
      </c>
      <c r="C150" s="1">
        <v>0</v>
      </c>
      <c r="D150" s="1">
        <v>1</v>
      </c>
      <c r="F150" s="55">
        <v>100.76386036960986</v>
      </c>
      <c r="G150" s="1">
        <v>51</v>
      </c>
      <c r="H150" s="1">
        <v>0</v>
      </c>
      <c r="I150" s="1">
        <v>1</v>
      </c>
      <c r="J150" s="15">
        <v>1</v>
      </c>
      <c r="K150" s="15">
        <v>0.66382497131002338</v>
      </c>
    </row>
    <row r="151" spans="1:11" x14ac:dyDescent="0.25">
      <c r="A151" s="1">
        <v>148</v>
      </c>
      <c r="B151" s="55">
        <v>89.954825462012323</v>
      </c>
      <c r="C151" s="1">
        <v>0</v>
      </c>
      <c r="D151" s="1">
        <v>1</v>
      </c>
      <c r="F151" s="55">
        <v>101.15811088295688</v>
      </c>
      <c r="G151" s="1">
        <v>50</v>
      </c>
      <c r="H151" s="1">
        <v>0</v>
      </c>
      <c r="I151" s="1">
        <v>1</v>
      </c>
      <c r="J151" s="15">
        <v>1</v>
      </c>
      <c r="K151" s="15">
        <v>0.66382497131002338</v>
      </c>
    </row>
    <row r="152" spans="1:11" x14ac:dyDescent="0.25">
      <c r="A152" s="1">
        <v>149</v>
      </c>
      <c r="B152" s="55">
        <v>91.400410677618069</v>
      </c>
      <c r="C152" s="1">
        <v>1</v>
      </c>
      <c r="D152" s="1">
        <v>1</v>
      </c>
      <c r="F152" s="55">
        <v>101.88090349075975</v>
      </c>
      <c r="G152" s="1">
        <v>49</v>
      </c>
      <c r="H152" s="1">
        <v>0</v>
      </c>
      <c r="I152" s="1">
        <v>1</v>
      </c>
      <c r="J152" s="15">
        <v>1</v>
      </c>
      <c r="K152" s="15">
        <v>0.66382497131002338</v>
      </c>
    </row>
    <row r="153" spans="1:11" x14ac:dyDescent="0.25">
      <c r="A153" s="1">
        <v>150</v>
      </c>
      <c r="B153" s="55">
        <v>91.564681724845997</v>
      </c>
      <c r="C153" s="1">
        <v>0</v>
      </c>
      <c r="D153" s="1">
        <v>1</v>
      </c>
      <c r="F153" s="55">
        <v>103.29363449691992</v>
      </c>
      <c r="G153" s="1">
        <v>48</v>
      </c>
      <c r="H153" s="1">
        <v>0</v>
      </c>
      <c r="I153" s="1">
        <v>1</v>
      </c>
      <c r="J153" s="15">
        <v>1</v>
      </c>
      <c r="K153" s="15">
        <v>0.66382497131002338</v>
      </c>
    </row>
    <row r="154" spans="1:11" x14ac:dyDescent="0.25">
      <c r="A154" s="1">
        <v>151</v>
      </c>
      <c r="B154" s="55">
        <v>98.03696098562628</v>
      </c>
      <c r="C154" s="1">
        <v>0</v>
      </c>
      <c r="D154" s="1">
        <v>1</v>
      </c>
      <c r="F154" s="55">
        <v>103.5564681724846</v>
      </c>
      <c r="G154" s="1">
        <v>47</v>
      </c>
      <c r="H154" s="1">
        <v>0</v>
      </c>
      <c r="I154" s="1">
        <v>1</v>
      </c>
      <c r="J154" s="15">
        <v>1</v>
      </c>
      <c r="K154" s="15">
        <v>0.66382497131002338</v>
      </c>
    </row>
    <row r="155" spans="1:11" x14ac:dyDescent="0.25">
      <c r="A155" s="1">
        <v>152</v>
      </c>
      <c r="B155" s="55">
        <v>99.613963039014379</v>
      </c>
      <c r="C155" s="1">
        <v>0</v>
      </c>
      <c r="D155" s="1">
        <v>1</v>
      </c>
      <c r="F155" s="55">
        <v>103.62217659137578</v>
      </c>
      <c r="G155" s="1">
        <v>46</v>
      </c>
      <c r="H155" s="1">
        <v>0</v>
      </c>
      <c r="I155" s="1">
        <v>1</v>
      </c>
      <c r="J155" s="15">
        <v>1</v>
      </c>
      <c r="K155" s="15">
        <v>0.66382497131002338</v>
      </c>
    </row>
    <row r="156" spans="1:11" x14ac:dyDescent="0.25">
      <c r="A156" s="1">
        <v>153</v>
      </c>
      <c r="B156" s="55">
        <v>99.876796714579058</v>
      </c>
      <c r="C156" s="1">
        <v>0</v>
      </c>
      <c r="D156" s="1">
        <v>1</v>
      </c>
      <c r="F156" s="55">
        <v>104.47638603696099</v>
      </c>
      <c r="G156" s="1">
        <v>45</v>
      </c>
      <c r="H156" s="1">
        <v>0</v>
      </c>
      <c r="I156" s="1">
        <v>1</v>
      </c>
      <c r="J156" s="15">
        <v>1</v>
      </c>
      <c r="K156" s="15">
        <v>0.66382497131002338</v>
      </c>
    </row>
    <row r="157" spans="1:11" x14ac:dyDescent="0.25">
      <c r="A157" s="1">
        <v>154</v>
      </c>
      <c r="B157" s="55">
        <v>99.94250513347022</v>
      </c>
      <c r="C157" s="1">
        <v>1</v>
      </c>
      <c r="D157" s="1">
        <v>1</v>
      </c>
      <c r="F157" s="55">
        <v>104.54209445585215</v>
      </c>
      <c r="G157" s="1">
        <v>44</v>
      </c>
      <c r="H157" s="1">
        <v>0</v>
      </c>
      <c r="I157" s="1">
        <v>1</v>
      </c>
      <c r="J157" s="15">
        <v>1</v>
      </c>
      <c r="K157" s="15">
        <v>0.66382497131002338</v>
      </c>
    </row>
    <row r="158" spans="1:11" x14ac:dyDescent="0.25">
      <c r="A158" s="1">
        <v>155</v>
      </c>
      <c r="B158" s="55">
        <v>100.76386036960986</v>
      </c>
      <c r="C158" s="1">
        <v>0</v>
      </c>
      <c r="D158" s="1">
        <v>1</v>
      </c>
      <c r="F158" s="55">
        <v>104.64065708418892</v>
      </c>
      <c r="G158" s="1">
        <v>43</v>
      </c>
      <c r="H158" s="1">
        <v>0</v>
      </c>
      <c r="I158" s="1">
        <v>1</v>
      </c>
      <c r="J158" s="15">
        <v>1</v>
      </c>
      <c r="K158" s="15">
        <v>0.66382497131002338</v>
      </c>
    </row>
    <row r="159" spans="1:11" x14ac:dyDescent="0.25">
      <c r="A159" s="1">
        <v>156</v>
      </c>
      <c r="B159" s="55">
        <v>101.15811088295688</v>
      </c>
      <c r="C159" s="1">
        <v>0</v>
      </c>
      <c r="D159" s="1">
        <v>1</v>
      </c>
      <c r="F159" s="55">
        <v>105.10061601642711</v>
      </c>
      <c r="G159" s="1">
        <v>42</v>
      </c>
      <c r="H159" s="1">
        <v>0</v>
      </c>
      <c r="I159" s="1">
        <v>1</v>
      </c>
      <c r="J159" s="15">
        <v>1</v>
      </c>
      <c r="K159" s="15">
        <v>0.66382497131002338</v>
      </c>
    </row>
    <row r="160" spans="1:11" x14ac:dyDescent="0.25">
      <c r="A160" s="1">
        <v>157</v>
      </c>
      <c r="B160" s="55">
        <v>101.88090349075975</v>
      </c>
      <c r="C160" s="1">
        <v>0</v>
      </c>
      <c r="D160" s="1">
        <v>1</v>
      </c>
      <c r="F160" s="55">
        <v>106.05338809034907</v>
      </c>
      <c r="G160" s="1">
        <v>41</v>
      </c>
      <c r="H160" s="1">
        <v>0</v>
      </c>
      <c r="I160" s="1">
        <v>1</v>
      </c>
      <c r="J160" s="15">
        <v>1</v>
      </c>
      <c r="K160" s="15">
        <v>0.66382497131002338</v>
      </c>
    </row>
    <row r="161" spans="1:11" x14ac:dyDescent="0.25">
      <c r="A161" s="1">
        <v>158</v>
      </c>
      <c r="B161" s="55">
        <v>103.29363449691992</v>
      </c>
      <c r="C161" s="1">
        <v>0</v>
      </c>
      <c r="D161" s="1">
        <v>1</v>
      </c>
      <c r="F161" s="55">
        <v>106.08624229979466</v>
      </c>
      <c r="G161" s="1">
        <v>40</v>
      </c>
      <c r="H161" s="1">
        <v>0</v>
      </c>
      <c r="I161" s="1">
        <v>1</v>
      </c>
      <c r="J161" s="15">
        <v>1</v>
      </c>
      <c r="K161" s="15">
        <v>0.66382497131002338</v>
      </c>
    </row>
    <row r="162" spans="1:11" x14ac:dyDescent="0.25">
      <c r="A162" s="1">
        <v>159</v>
      </c>
      <c r="B162" s="55">
        <v>103.5564681724846</v>
      </c>
      <c r="C162" s="1">
        <v>0</v>
      </c>
      <c r="D162" s="1">
        <v>1</v>
      </c>
      <c r="F162" s="55">
        <v>107.69609856262834</v>
      </c>
      <c r="G162" s="1">
        <v>39</v>
      </c>
      <c r="H162" s="1">
        <v>0</v>
      </c>
      <c r="I162" s="1">
        <v>1</v>
      </c>
      <c r="J162" s="15">
        <v>1</v>
      </c>
      <c r="K162" s="15">
        <v>0.66382497131002338</v>
      </c>
    </row>
    <row r="163" spans="1:11" x14ac:dyDescent="0.25">
      <c r="A163" s="1">
        <v>160</v>
      </c>
      <c r="B163" s="55">
        <v>103.62217659137578</v>
      </c>
      <c r="C163" s="1">
        <v>0</v>
      </c>
      <c r="D163" s="1">
        <v>1</v>
      </c>
      <c r="F163" s="55">
        <v>108.32032854209446</v>
      </c>
      <c r="G163" s="1">
        <v>38</v>
      </c>
      <c r="H163" s="1">
        <v>0</v>
      </c>
      <c r="I163" s="1">
        <v>1</v>
      </c>
      <c r="J163" s="15">
        <v>1</v>
      </c>
      <c r="K163" s="15">
        <v>0.66382497131002338</v>
      </c>
    </row>
    <row r="164" spans="1:11" x14ac:dyDescent="0.25">
      <c r="A164" s="1">
        <v>161</v>
      </c>
      <c r="B164" s="55">
        <v>104.47638603696099</v>
      </c>
      <c r="C164" s="1">
        <v>0</v>
      </c>
      <c r="D164" s="1">
        <v>1</v>
      </c>
      <c r="F164" s="55">
        <v>109.3388090349076</v>
      </c>
      <c r="G164" s="1">
        <v>37</v>
      </c>
      <c r="H164" s="1">
        <v>0</v>
      </c>
      <c r="I164" s="1">
        <v>1</v>
      </c>
      <c r="J164" s="15">
        <v>1</v>
      </c>
      <c r="K164" s="15">
        <v>0.66382497131002338</v>
      </c>
    </row>
    <row r="165" spans="1:11" x14ac:dyDescent="0.25">
      <c r="A165" s="1">
        <v>162</v>
      </c>
      <c r="B165" s="55">
        <v>104.54209445585215</v>
      </c>
      <c r="C165" s="1">
        <v>0</v>
      </c>
      <c r="D165" s="1">
        <v>1</v>
      </c>
      <c r="F165" s="55">
        <v>109.40451745379877</v>
      </c>
      <c r="G165" s="1">
        <v>36</v>
      </c>
      <c r="H165" s="1">
        <v>0</v>
      </c>
      <c r="I165" s="1">
        <v>1</v>
      </c>
      <c r="J165" s="15">
        <v>1</v>
      </c>
      <c r="K165" s="15">
        <v>0.66382497131002338</v>
      </c>
    </row>
    <row r="166" spans="1:11" x14ac:dyDescent="0.25">
      <c r="A166" s="1">
        <v>163</v>
      </c>
      <c r="B166" s="55">
        <v>104.64065708418892</v>
      </c>
      <c r="C166" s="1">
        <v>0</v>
      </c>
      <c r="D166" s="1">
        <v>1</v>
      </c>
      <c r="F166" s="55">
        <v>109.66735112936345</v>
      </c>
      <c r="G166" s="1">
        <v>35</v>
      </c>
      <c r="H166" s="1">
        <v>1</v>
      </c>
      <c r="I166" s="1">
        <v>0</v>
      </c>
      <c r="J166" s="15">
        <v>0.97142857142857142</v>
      </c>
      <c r="K166" s="15">
        <v>0.64485854355830841</v>
      </c>
    </row>
    <row r="167" spans="1:11" x14ac:dyDescent="0.25">
      <c r="A167" s="1">
        <v>164</v>
      </c>
      <c r="B167" s="55">
        <v>105.10061601642711</v>
      </c>
      <c r="C167" s="1">
        <v>0</v>
      </c>
      <c r="D167" s="1">
        <v>1</v>
      </c>
      <c r="F167" s="55">
        <v>111.14579055441479</v>
      </c>
      <c r="G167" s="1">
        <v>34</v>
      </c>
      <c r="H167" s="1">
        <v>0</v>
      </c>
      <c r="I167" s="1">
        <v>1</v>
      </c>
      <c r="J167" s="15">
        <v>1</v>
      </c>
      <c r="K167" s="15">
        <v>0.64485854355830841</v>
      </c>
    </row>
    <row r="168" spans="1:11" x14ac:dyDescent="0.25">
      <c r="A168" s="1">
        <v>165</v>
      </c>
      <c r="B168" s="55">
        <v>106.05338809034907</v>
      </c>
      <c r="C168" s="1">
        <v>0</v>
      </c>
      <c r="D168" s="1">
        <v>1</v>
      </c>
      <c r="F168" s="55">
        <v>111.17864476386038</v>
      </c>
      <c r="G168" s="1">
        <v>33</v>
      </c>
      <c r="H168" s="1">
        <v>0</v>
      </c>
      <c r="I168" s="1">
        <v>1</v>
      </c>
      <c r="J168" s="15">
        <v>1</v>
      </c>
      <c r="K168" s="15">
        <v>0.64485854355830841</v>
      </c>
    </row>
    <row r="169" spans="1:11" x14ac:dyDescent="0.25">
      <c r="A169" s="1">
        <v>166</v>
      </c>
      <c r="B169" s="55">
        <v>106.08624229979466</v>
      </c>
      <c r="C169" s="1">
        <v>0</v>
      </c>
      <c r="D169" s="1">
        <v>1</v>
      </c>
      <c r="F169" s="55">
        <v>111.21149897330595</v>
      </c>
      <c r="G169" s="1">
        <v>32</v>
      </c>
      <c r="H169" s="1">
        <v>0</v>
      </c>
      <c r="I169" s="1">
        <v>1</v>
      </c>
      <c r="J169" s="15">
        <v>1</v>
      </c>
      <c r="K169" s="15">
        <v>0.64485854355830841</v>
      </c>
    </row>
    <row r="170" spans="1:11" x14ac:dyDescent="0.25">
      <c r="A170" s="1">
        <v>167</v>
      </c>
      <c r="B170" s="55">
        <v>107.69609856262834</v>
      </c>
      <c r="C170" s="1">
        <v>0</v>
      </c>
      <c r="D170" s="1">
        <v>1</v>
      </c>
      <c r="F170" s="55">
        <v>111.31006160164272</v>
      </c>
      <c r="G170" s="1">
        <v>31</v>
      </c>
      <c r="H170" s="1">
        <v>0</v>
      </c>
      <c r="I170" s="1">
        <v>1</v>
      </c>
      <c r="J170" s="15">
        <v>1</v>
      </c>
      <c r="K170" s="15">
        <v>0.64485854355830841</v>
      </c>
    </row>
    <row r="171" spans="1:11" x14ac:dyDescent="0.25">
      <c r="A171" s="1">
        <v>168</v>
      </c>
      <c r="B171" s="55">
        <v>108.32032854209446</v>
      </c>
      <c r="C171" s="1">
        <v>0</v>
      </c>
      <c r="D171" s="1">
        <v>1</v>
      </c>
      <c r="F171" s="55">
        <v>111.77002053388091</v>
      </c>
      <c r="G171" s="1">
        <v>30</v>
      </c>
      <c r="H171" s="1">
        <v>0</v>
      </c>
      <c r="I171" s="1">
        <v>1</v>
      </c>
      <c r="J171" s="15">
        <v>1</v>
      </c>
      <c r="K171" s="15">
        <v>0.64485854355830841</v>
      </c>
    </row>
    <row r="172" spans="1:11" x14ac:dyDescent="0.25">
      <c r="A172" s="1">
        <v>169</v>
      </c>
      <c r="B172" s="55">
        <v>109.3388090349076</v>
      </c>
      <c r="C172" s="1">
        <v>0</v>
      </c>
      <c r="D172" s="1">
        <v>1</v>
      </c>
      <c r="F172" s="55">
        <v>113.05133470225873</v>
      </c>
      <c r="G172" s="1">
        <v>29</v>
      </c>
      <c r="H172" s="1">
        <v>0</v>
      </c>
      <c r="I172" s="1">
        <v>1</v>
      </c>
      <c r="J172" s="15">
        <v>1</v>
      </c>
      <c r="K172" s="15">
        <v>0.64485854355830841</v>
      </c>
    </row>
    <row r="173" spans="1:11" x14ac:dyDescent="0.25">
      <c r="A173" s="1">
        <v>170</v>
      </c>
      <c r="B173" s="55">
        <v>109.40451745379877</v>
      </c>
      <c r="C173" s="1">
        <v>0</v>
      </c>
      <c r="D173" s="1">
        <v>1</v>
      </c>
      <c r="F173" s="55">
        <v>113.60985626283367</v>
      </c>
      <c r="G173" s="1">
        <v>28</v>
      </c>
      <c r="H173" s="1">
        <v>0</v>
      </c>
      <c r="I173" s="1">
        <v>1</v>
      </c>
      <c r="J173" s="15">
        <v>1</v>
      </c>
      <c r="K173" s="15">
        <v>0.64485854355830841</v>
      </c>
    </row>
    <row r="174" spans="1:11" x14ac:dyDescent="0.25">
      <c r="A174" s="1">
        <v>171</v>
      </c>
      <c r="B174" s="55">
        <v>109.66735112936345</v>
      </c>
      <c r="C174" s="1">
        <v>1</v>
      </c>
      <c r="D174" s="1">
        <v>1</v>
      </c>
      <c r="F174" s="55">
        <v>113.64271047227926</v>
      </c>
      <c r="G174" s="1">
        <v>27</v>
      </c>
      <c r="H174" s="1">
        <v>0</v>
      </c>
      <c r="I174" s="1">
        <v>2</v>
      </c>
      <c r="J174" s="15">
        <v>1</v>
      </c>
      <c r="K174" s="15">
        <v>0.64485854355830841</v>
      </c>
    </row>
    <row r="175" spans="1:11" x14ac:dyDescent="0.25">
      <c r="A175" s="1">
        <v>172</v>
      </c>
      <c r="B175" s="55">
        <v>111.14579055441479</v>
      </c>
      <c r="C175" s="1">
        <v>0</v>
      </c>
      <c r="D175" s="1">
        <v>1</v>
      </c>
      <c r="F175" s="55">
        <v>114.20123203285421</v>
      </c>
      <c r="G175" s="1">
        <v>25</v>
      </c>
      <c r="H175" s="1">
        <v>0</v>
      </c>
      <c r="I175" s="1">
        <v>1</v>
      </c>
      <c r="J175" s="15">
        <v>1</v>
      </c>
      <c r="K175" s="15">
        <v>0.64485854355830841</v>
      </c>
    </row>
    <row r="176" spans="1:11" x14ac:dyDescent="0.25">
      <c r="A176" s="1">
        <v>173</v>
      </c>
      <c r="B176" s="55">
        <v>111.17864476386038</v>
      </c>
      <c r="C176" s="1">
        <v>0</v>
      </c>
      <c r="D176" s="1">
        <v>1</v>
      </c>
      <c r="F176" s="55">
        <v>115.74537987679672</v>
      </c>
      <c r="G176" s="1">
        <v>24</v>
      </c>
      <c r="H176" s="1">
        <v>0</v>
      </c>
      <c r="I176" s="1">
        <v>1</v>
      </c>
      <c r="J176" s="15">
        <v>1</v>
      </c>
      <c r="K176" s="15">
        <v>0.64485854355830841</v>
      </c>
    </row>
    <row r="177" spans="1:11" x14ac:dyDescent="0.25">
      <c r="A177" s="1">
        <v>174</v>
      </c>
      <c r="B177" s="55">
        <v>111.21149897330595</v>
      </c>
      <c r="C177" s="1">
        <v>0</v>
      </c>
      <c r="D177" s="1">
        <v>1</v>
      </c>
      <c r="F177" s="55">
        <v>120.47638603696099</v>
      </c>
      <c r="G177" s="1">
        <v>23</v>
      </c>
      <c r="H177" s="1">
        <v>0</v>
      </c>
      <c r="I177" s="1">
        <v>1</v>
      </c>
      <c r="J177" s="15">
        <v>1</v>
      </c>
      <c r="K177" s="15">
        <v>0.64485854355830841</v>
      </c>
    </row>
    <row r="178" spans="1:11" x14ac:dyDescent="0.25">
      <c r="A178" s="1">
        <v>175</v>
      </c>
      <c r="B178" s="55">
        <v>111.31006160164272</v>
      </c>
      <c r="C178" s="1">
        <v>0</v>
      </c>
      <c r="D178" s="1">
        <v>1</v>
      </c>
      <c r="F178" s="55">
        <v>121.39630390143738</v>
      </c>
      <c r="G178" s="1">
        <v>22</v>
      </c>
      <c r="H178" s="1">
        <v>0</v>
      </c>
      <c r="I178" s="1">
        <v>2</v>
      </c>
      <c r="J178" s="15">
        <v>1</v>
      </c>
      <c r="K178" s="15">
        <v>0.64485854355830841</v>
      </c>
    </row>
    <row r="179" spans="1:11" x14ac:dyDescent="0.25">
      <c r="A179" s="1">
        <v>176</v>
      </c>
      <c r="B179" s="55">
        <v>111.77002053388091</v>
      </c>
      <c r="C179" s="1">
        <v>0</v>
      </c>
      <c r="D179" s="1">
        <v>1</v>
      </c>
      <c r="F179" s="55">
        <v>124.05749486652978</v>
      </c>
      <c r="G179" s="1">
        <v>20</v>
      </c>
      <c r="H179" s="1">
        <v>0</v>
      </c>
      <c r="I179" s="1">
        <v>2</v>
      </c>
      <c r="J179" s="15">
        <v>1</v>
      </c>
      <c r="K179" s="15">
        <v>0.64485854355830841</v>
      </c>
    </row>
    <row r="180" spans="1:11" x14ac:dyDescent="0.25">
      <c r="A180" s="1">
        <v>177</v>
      </c>
      <c r="B180" s="55">
        <v>113.05133470225873</v>
      </c>
      <c r="C180" s="1">
        <v>0</v>
      </c>
      <c r="D180" s="1">
        <v>1</v>
      </c>
      <c r="F180" s="55">
        <v>125.83162217659138</v>
      </c>
      <c r="G180" s="1">
        <v>18</v>
      </c>
      <c r="H180" s="1">
        <v>0</v>
      </c>
      <c r="I180" s="1">
        <v>1</v>
      </c>
      <c r="J180" s="15">
        <v>1</v>
      </c>
      <c r="K180" s="15">
        <v>0.64485854355830841</v>
      </c>
    </row>
    <row r="181" spans="1:11" x14ac:dyDescent="0.25">
      <c r="A181" s="1">
        <v>178</v>
      </c>
      <c r="B181" s="55">
        <v>113.60985626283367</v>
      </c>
      <c r="C181" s="1">
        <v>0</v>
      </c>
      <c r="D181" s="1">
        <v>1</v>
      </c>
      <c r="F181" s="55">
        <v>126.68583162217659</v>
      </c>
      <c r="G181" s="1">
        <v>17</v>
      </c>
      <c r="H181" s="1">
        <v>0</v>
      </c>
      <c r="I181" s="1">
        <v>1</v>
      </c>
      <c r="J181" s="15">
        <v>1</v>
      </c>
      <c r="K181" s="15">
        <v>0.64485854355830841</v>
      </c>
    </row>
    <row r="182" spans="1:11" x14ac:dyDescent="0.25">
      <c r="A182" s="1">
        <v>179</v>
      </c>
      <c r="B182" s="55">
        <v>113.64271047227926</v>
      </c>
      <c r="C182" s="1">
        <v>0</v>
      </c>
      <c r="D182" s="1">
        <v>1</v>
      </c>
      <c r="F182" s="55">
        <v>127.21149897330595</v>
      </c>
      <c r="G182" s="1">
        <v>16</v>
      </c>
      <c r="H182" s="1">
        <v>0</v>
      </c>
      <c r="I182" s="1">
        <v>1</v>
      </c>
      <c r="J182" s="15">
        <v>1</v>
      </c>
      <c r="K182" s="15">
        <v>0.64485854355830841</v>
      </c>
    </row>
    <row r="183" spans="1:11" x14ac:dyDescent="0.25">
      <c r="A183" s="1">
        <v>180</v>
      </c>
      <c r="B183" s="55">
        <v>113.64271047227926</v>
      </c>
      <c r="C183" s="1">
        <v>0</v>
      </c>
      <c r="D183" s="1">
        <v>1</v>
      </c>
      <c r="F183" s="55">
        <v>128.42710472279262</v>
      </c>
      <c r="G183" s="1">
        <v>15</v>
      </c>
      <c r="H183" s="1">
        <v>0</v>
      </c>
      <c r="I183" s="1">
        <v>1</v>
      </c>
      <c r="J183" s="15">
        <v>1</v>
      </c>
      <c r="K183" s="15">
        <v>0.64485854355830841</v>
      </c>
    </row>
    <row r="184" spans="1:11" x14ac:dyDescent="0.25">
      <c r="A184" s="1">
        <v>181</v>
      </c>
      <c r="B184" s="55">
        <v>114.20123203285421</v>
      </c>
      <c r="C184" s="1">
        <v>0</v>
      </c>
      <c r="D184" s="1">
        <v>1</v>
      </c>
      <c r="F184" s="55">
        <v>130.36550308008214</v>
      </c>
      <c r="G184" s="1">
        <v>14</v>
      </c>
      <c r="H184" s="1">
        <v>0</v>
      </c>
      <c r="I184" s="1">
        <v>1</v>
      </c>
      <c r="J184" s="15">
        <v>1</v>
      </c>
      <c r="K184" s="15">
        <v>0.64485854355830841</v>
      </c>
    </row>
    <row r="185" spans="1:11" x14ac:dyDescent="0.25">
      <c r="A185" s="1">
        <v>182</v>
      </c>
      <c r="B185" s="55">
        <v>115.74537987679672</v>
      </c>
      <c r="C185" s="1">
        <v>0</v>
      </c>
      <c r="D185" s="1">
        <v>1</v>
      </c>
      <c r="F185" s="55">
        <v>131.44969199178644</v>
      </c>
      <c r="G185" s="1">
        <v>13</v>
      </c>
      <c r="H185" s="1">
        <v>0</v>
      </c>
      <c r="I185" s="1">
        <v>1</v>
      </c>
      <c r="J185" s="15">
        <v>1</v>
      </c>
      <c r="K185" s="15">
        <v>0.64485854355830841</v>
      </c>
    </row>
    <row r="186" spans="1:11" x14ac:dyDescent="0.25">
      <c r="A186" s="1">
        <v>183</v>
      </c>
      <c r="B186" s="55">
        <v>120.47638603696099</v>
      </c>
      <c r="C186" s="1">
        <v>0</v>
      </c>
      <c r="D186" s="1">
        <v>1</v>
      </c>
      <c r="F186" s="55">
        <v>134.80082135523614</v>
      </c>
      <c r="G186" s="1">
        <v>12</v>
      </c>
      <c r="H186" s="1">
        <v>0</v>
      </c>
      <c r="I186" s="1">
        <v>1</v>
      </c>
      <c r="J186" s="15">
        <v>1</v>
      </c>
      <c r="K186" s="15">
        <v>0.64485854355830841</v>
      </c>
    </row>
    <row r="187" spans="1:11" x14ac:dyDescent="0.25">
      <c r="A187" s="1">
        <v>184</v>
      </c>
      <c r="B187" s="55">
        <v>121.39630390143738</v>
      </c>
      <c r="C187" s="1">
        <v>0</v>
      </c>
      <c r="D187" s="1">
        <v>1</v>
      </c>
      <c r="F187" s="55">
        <v>135.3264887063655</v>
      </c>
      <c r="G187" s="1">
        <v>11</v>
      </c>
      <c r="H187" s="1">
        <v>0</v>
      </c>
      <c r="I187" s="1">
        <v>1</v>
      </c>
      <c r="J187" s="15">
        <v>1</v>
      </c>
      <c r="K187" s="15">
        <v>0.64485854355830841</v>
      </c>
    </row>
    <row r="188" spans="1:11" x14ac:dyDescent="0.25">
      <c r="A188" s="1">
        <v>185</v>
      </c>
      <c r="B188" s="55">
        <v>121.39630390143738</v>
      </c>
      <c r="C188" s="1">
        <v>0</v>
      </c>
      <c r="D188" s="1">
        <v>1</v>
      </c>
      <c r="F188" s="55">
        <v>135.49075975359344</v>
      </c>
      <c r="G188" s="1">
        <v>10</v>
      </c>
      <c r="H188" s="1">
        <v>0</v>
      </c>
      <c r="I188" s="1">
        <v>1</v>
      </c>
      <c r="J188" s="15">
        <v>1</v>
      </c>
      <c r="K188" s="15">
        <v>0.64485854355830841</v>
      </c>
    </row>
    <row r="189" spans="1:11" x14ac:dyDescent="0.25">
      <c r="A189" s="1">
        <v>186</v>
      </c>
      <c r="B189" s="55">
        <v>124.05749486652978</v>
      </c>
      <c r="C189" s="1">
        <v>0</v>
      </c>
      <c r="D189" s="1">
        <v>1</v>
      </c>
      <c r="F189" s="55">
        <v>138.21765913757702</v>
      </c>
      <c r="G189" s="1">
        <v>9</v>
      </c>
      <c r="H189" s="1">
        <v>0</v>
      </c>
      <c r="I189" s="1">
        <v>1</v>
      </c>
      <c r="J189" s="15">
        <v>1</v>
      </c>
      <c r="K189" s="15">
        <v>0.64485854355830841</v>
      </c>
    </row>
    <row r="190" spans="1:11" x14ac:dyDescent="0.25">
      <c r="A190" s="1">
        <v>187</v>
      </c>
      <c r="B190" s="55">
        <v>124.05749486652978</v>
      </c>
      <c r="C190" s="1">
        <v>0</v>
      </c>
      <c r="D190" s="1">
        <v>1</v>
      </c>
      <c r="F190" s="55">
        <v>141.60164271047228</v>
      </c>
      <c r="G190" s="1">
        <v>8</v>
      </c>
      <c r="H190" s="1">
        <v>0</v>
      </c>
      <c r="I190" s="1">
        <v>1</v>
      </c>
      <c r="J190" s="15">
        <v>1</v>
      </c>
      <c r="K190" s="15">
        <v>0.64485854355830841</v>
      </c>
    </row>
    <row r="191" spans="1:11" x14ac:dyDescent="0.25">
      <c r="A191" s="1">
        <v>188</v>
      </c>
      <c r="B191" s="55">
        <v>125.83162217659138</v>
      </c>
      <c r="C191" s="1">
        <v>0</v>
      </c>
      <c r="D191" s="1">
        <v>1</v>
      </c>
      <c r="F191" s="55">
        <v>144.22997946611909</v>
      </c>
      <c r="G191" s="1">
        <v>7</v>
      </c>
      <c r="H191" s="1">
        <v>0</v>
      </c>
      <c r="I191" s="1">
        <v>1</v>
      </c>
      <c r="J191" s="15">
        <v>1</v>
      </c>
      <c r="K191" s="15">
        <v>0.64485854355830841</v>
      </c>
    </row>
    <row r="192" spans="1:11" x14ac:dyDescent="0.25">
      <c r="A192" s="1">
        <v>189</v>
      </c>
      <c r="B192" s="55">
        <v>126.68583162217659</v>
      </c>
      <c r="C192" s="1">
        <v>0</v>
      </c>
      <c r="D192" s="1">
        <v>1</v>
      </c>
      <c r="F192" s="55">
        <v>147.15400410677617</v>
      </c>
      <c r="G192" s="1">
        <v>6</v>
      </c>
      <c r="H192" s="1">
        <v>0</v>
      </c>
      <c r="I192" s="1">
        <v>1</v>
      </c>
      <c r="J192" s="15">
        <v>1</v>
      </c>
      <c r="K192" s="15">
        <v>0.64485854355830841</v>
      </c>
    </row>
    <row r="193" spans="1:11" x14ac:dyDescent="0.25">
      <c r="A193" s="1">
        <v>190</v>
      </c>
      <c r="B193" s="55">
        <v>127.21149897330595</v>
      </c>
      <c r="C193" s="1">
        <v>0</v>
      </c>
      <c r="D193" s="1">
        <v>1</v>
      </c>
      <c r="F193" s="55">
        <v>147.58110882956879</v>
      </c>
      <c r="G193" s="1">
        <v>5</v>
      </c>
      <c r="H193" s="1">
        <v>0</v>
      </c>
      <c r="I193" s="1">
        <v>1</v>
      </c>
      <c r="J193" s="15">
        <v>1</v>
      </c>
      <c r="K193" s="15">
        <v>0.64485854355830841</v>
      </c>
    </row>
    <row r="194" spans="1:11" x14ac:dyDescent="0.25">
      <c r="A194" s="1">
        <v>191</v>
      </c>
      <c r="B194" s="55">
        <v>128.42710472279262</v>
      </c>
      <c r="C194" s="1">
        <v>0</v>
      </c>
      <c r="D194" s="1">
        <v>1</v>
      </c>
      <c r="F194" s="55">
        <v>153.36344969199178</v>
      </c>
      <c r="G194" s="1">
        <v>4</v>
      </c>
      <c r="H194" s="1">
        <v>0</v>
      </c>
      <c r="I194" s="1">
        <v>1</v>
      </c>
      <c r="J194" s="15">
        <v>1</v>
      </c>
      <c r="K194" s="15">
        <v>0.64485854355830841</v>
      </c>
    </row>
    <row r="195" spans="1:11" x14ac:dyDescent="0.25">
      <c r="A195" s="1">
        <v>192</v>
      </c>
      <c r="B195" s="55">
        <v>130.36550308008214</v>
      </c>
      <c r="C195" s="1">
        <v>0</v>
      </c>
      <c r="D195" s="1">
        <v>1</v>
      </c>
      <c r="F195" s="55">
        <v>154.02053388090349</v>
      </c>
      <c r="G195" s="1">
        <v>3</v>
      </c>
      <c r="H195" s="1">
        <v>0</v>
      </c>
      <c r="I195" s="1">
        <v>1</v>
      </c>
      <c r="J195" s="15">
        <v>1</v>
      </c>
      <c r="K195" s="15">
        <v>0.64485854355830841</v>
      </c>
    </row>
    <row r="196" spans="1:11" x14ac:dyDescent="0.25">
      <c r="A196" s="1">
        <v>193</v>
      </c>
      <c r="B196" s="55">
        <v>131.44969199178644</v>
      </c>
      <c r="C196" s="1">
        <v>0</v>
      </c>
      <c r="D196" s="1">
        <v>1</v>
      </c>
      <c r="F196" s="55">
        <v>161.83983572895278</v>
      </c>
      <c r="G196" s="1">
        <v>2</v>
      </c>
      <c r="H196" s="1">
        <v>0</v>
      </c>
      <c r="I196" s="1">
        <v>1</v>
      </c>
      <c r="J196" s="15">
        <v>1</v>
      </c>
      <c r="K196" s="15">
        <v>0.64485854355830841</v>
      </c>
    </row>
    <row r="197" spans="1:11" x14ac:dyDescent="0.25">
      <c r="A197" s="1">
        <v>194</v>
      </c>
      <c r="B197" s="55">
        <v>134.80082135523614</v>
      </c>
      <c r="C197" s="1">
        <v>0</v>
      </c>
      <c r="D197" s="1">
        <v>1</v>
      </c>
      <c r="F197" s="55">
        <v>182.83367556468173</v>
      </c>
      <c r="G197" s="1">
        <v>1</v>
      </c>
      <c r="H197" s="1">
        <v>0</v>
      </c>
      <c r="I197" s="1">
        <v>1</v>
      </c>
      <c r="J197" s="15">
        <v>1</v>
      </c>
      <c r="K197" s="15">
        <v>0.64485854355830841</v>
      </c>
    </row>
    <row r="198" spans="1:11" x14ac:dyDescent="0.25">
      <c r="A198" s="1">
        <v>195</v>
      </c>
      <c r="B198" s="55">
        <v>135.3264887063655</v>
      </c>
      <c r="C198" s="1">
        <v>0</v>
      </c>
      <c r="D198" s="1">
        <v>1</v>
      </c>
    </row>
    <row r="199" spans="1:11" x14ac:dyDescent="0.25">
      <c r="A199" s="1">
        <v>196</v>
      </c>
      <c r="B199" s="55">
        <v>135.49075975359344</v>
      </c>
      <c r="C199" s="1">
        <v>0</v>
      </c>
      <c r="D199" s="1">
        <v>1</v>
      </c>
    </row>
    <row r="200" spans="1:11" x14ac:dyDescent="0.25">
      <c r="A200" s="1">
        <v>197</v>
      </c>
      <c r="B200" s="55">
        <v>138.21765913757702</v>
      </c>
      <c r="C200" s="1">
        <v>0</v>
      </c>
      <c r="D200" s="1">
        <v>1</v>
      </c>
    </row>
    <row r="201" spans="1:11" x14ac:dyDescent="0.25">
      <c r="A201" s="1">
        <v>198</v>
      </c>
      <c r="B201" s="55">
        <v>141.60164271047228</v>
      </c>
      <c r="C201" s="1">
        <v>0</v>
      </c>
      <c r="D201" s="1">
        <v>1</v>
      </c>
    </row>
    <row r="202" spans="1:11" x14ac:dyDescent="0.25">
      <c r="A202" s="1">
        <v>199</v>
      </c>
      <c r="B202" s="55">
        <v>144.22997946611909</v>
      </c>
      <c r="C202" s="1">
        <v>0</v>
      </c>
      <c r="D202" s="1">
        <v>1</v>
      </c>
    </row>
    <row r="203" spans="1:11" x14ac:dyDescent="0.25">
      <c r="A203" s="1">
        <v>200</v>
      </c>
      <c r="B203" s="55">
        <v>147.15400410677617</v>
      </c>
      <c r="C203" s="1">
        <v>0</v>
      </c>
      <c r="D203" s="1">
        <v>1</v>
      </c>
    </row>
    <row r="204" spans="1:11" x14ac:dyDescent="0.25">
      <c r="A204" s="1">
        <v>201</v>
      </c>
      <c r="B204" s="55">
        <v>147.58110882956879</v>
      </c>
      <c r="C204" s="1">
        <v>0</v>
      </c>
      <c r="D204" s="1">
        <v>1</v>
      </c>
    </row>
    <row r="205" spans="1:11" x14ac:dyDescent="0.25">
      <c r="A205" s="1">
        <v>202</v>
      </c>
      <c r="B205" s="55">
        <v>153.36344969199178</v>
      </c>
      <c r="C205" s="1">
        <v>0</v>
      </c>
      <c r="D205" s="1">
        <v>1</v>
      </c>
    </row>
    <row r="206" spans="1:11" x14ac:dyDescent="0.25">
      <c r="A206" s="1">
        <v>203</v>
      </c>
      <c r="B206" s="55">
        <v>154.02053388090349</v>
      </c>
      <c r="C206" s="1">
        <v>0</v>
      </c>
      <c r="D206" s="1">
        <v>1</v>
      </c>
    </row>
    <row r="207" spans="1:11" x14ac:dyDescent="0.25">
      <c r="A207" s="1">
        <v>204</v>
      </c>
      <c r="B207" s="55">
        <v>161.83983572895278</v>
      </c>
      <c r="C207" s="1">
        <v>0</v>
      </c>
      <c r="D207" s="1">
        <v>1</v>
      </c>
    </row>
    <row r="208" spans="1:11" x14ac:dyDescent="0.25">
      <c r="A208" s="1">
        <v>205</v>
      </c>
      <c r="B208" s="55">
        <v>182.83367556468173</v>
      </c>
      <c r="C208" s="1">
        <v>0</v>
      </c>
      <c r="D208" s="1">
        <v>1</v>
      </c>
    </row>
  </sheetData>
  <mergeCells count="1">
    <mergeCell ref="A1:G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81DA-9DC7-417E-BB25-34ACA03DE614}">
  <sheetPr codeName="Sheet7"/>
  <dimension ref="A1:FU198"/>
  <sheetViews>
    <sheetView topLeftCell="M4" workbookViewId="0">
      <selection activeCell="AL21" sqref="AL21"/>
    </sheetView>
  </sheetViews>
  <sheetFormatPr defaultRowHeight="15" x14ac:dyDescent="0.25"/>
  <cols>
    <col min="1" max="1" width="16.5703125" customWidth="1"/>
    <col min="8" max="8" width="17.85546875" customWidth="1"/>
    <col min="9" max="9" width="15" customWidth="1"/>
    <col min="10" max="10" width="9.85546875" style="1" customWidth="1"/>
    <col min="11" max="11" width="10.28515625" style="1" customWidth="1"/>
    <col min="12" max="13" width="9.140625" style="1"/>
    <col min="15" max="15" width="17.7109375" customWidth="1"/>
    <col min="20" max="20" width="11.28515625" customWidth="1"/>
    <col min="21" max="21" width="17" customWidth="1"/>
    <col min="38" max="38" width="12" bestFit="1" customWidth="1"/>
    <col min="143" max="143" width="24.7109375" customWidth="1"/>
  </cols>
  <sheetData>
    <row r="1" spans="1:175" x14ac:dyDescent="0.25">
      <c r="A1" s="57" t="s">
        <v>765</v>
      </c>
      <c r="B1" s="57" t="s">
        <v>724</v>
      </c>
      <c r="C1" s="57" t="s">
        <v>725</v>
      </c>
      <c r="D1" s="57" t="s">
        <v>726</v>
      </c>
      <c r="E1" s="57" t="s">
        <v>727</v>
      </c>
      <c r="F1" s="57" t="s">
        <v>758</v>
      </c>
      <c r="H1" s="57" t="s">
        <v>3</v>
      </c>
      <c r="I1" s="59" t="s">
        <v>724</v>
      </c>
      <c r="J1" s="62" t="s">
        <v>725</v>
      </c>
      <c r="K1" s="62" t="s">
        <v>726</v>
      </c>
      <c r="L1" s="62" t="s">
        <v>727</v>
      </c>
      <c r="M1" s="62" t="s">
        <v>758</v>
      </c>
    </row>
    <row r="2" spans="1:175" x14ac:dyDescent="0.25">
      <c r="A2" t="s">
        <v>728</v>
      </c>
      <c r="B2" s="15">
        <v>0.42234911733093</v>
      </c>
      <c r="C2" s="15">
        <v>8.0764019493177394E-3</v>
      </c>
      <c r="D2" s="15"/>
      <c r="E2" s="15"/>
      <c r="F2" s="15"/>
      <c r="H2" t="s">
        <v>728</v>
      </c>
      <c r="I2" t="s">
        <v>759</v>
      </c>
      <c r="J2" s="14" t="s">
        <v>737</v>
      </c>
      <c r="K2" s="14"/>
      <c r="L2" s="14"/>
      <c r="M2" s="14"/>
    </row>
    <row r="3" spans="1:175" x14ac:dyDescent="0.25">
      <c r="A3" t="s">
        <v>729</v>
      </c>
      <c r="B3" s="15">
        <v>0.63866487822979201</v>
      </c>
      <c r="C3" s="15">
        <v>1.6019908498331501</v>
      </c>
      <c r="D3" s="15">
        <v>58.380402583788701</v>
      </c>
      <c r="E3" s="15"/>
      <c r="F3" s="15"/>
      <c r="H3" t="s">
        <v>729</v>
      </c>
      <c r="I3" t="s">
        <v>759</v>
      </c>
      <c r="J3" s="14" t="s">
        <v>738</v>
      </c>
      <c r="K3" s="14" t="s">
        <v>739</v>
      </c>
      <c r="L3" s="14"/>
      <c r="M3" s="14"/>
    </row>
    <row r="4" spans="1:175" x14ac:dyDescent="0.25">
      <c r="A4" t="s">
        <v>730</v>
      </c>
      <c r="B4" s="15">
        <v>0.63867131243913799</v>
      </c>
      <c r="C4" s="15">
        <v>1.60196503609936</v>
      </c>
      <c r="D4" s="15">
        <v>1.4808397376316099E-3</v>
      </c>
      <c r="F4" s="15"/>
      <c r="H4" t="s">
        <v>730</v>
      </c>
      <c r="I4" t="s">
        <v>767</v>
      </c>
      <c r="J4" t="s">
        <v>738</v>
      </c>
      <c r="K4" t="s">
        <v>739</v>
      </c>
      <c r="L4" s="14"/>
      <c r="M4" s="14"/>
    </row>
    <row r="5" spans="1:175" x14ac:dyDescent="0.25">
      <c r="A5" t="s">
        <v>731</v>
      </c>
      <c r="B5" s="15">
        <v>0.64530091230555298</v>
      </c>
      <c r="C5" s="15">
        <v>2.0535569426276899E-2</v>
      </c>
      <c r="D5" s="15">
        <v>8.6810267068728204E-3</v>
      </c>
      <c r="E5" s="15"/>
      <c r="F5" s="15"/>
      <c r="H5" t="s">
        <v>731</v>
      </c>
      <c r="I5" t="s">
        <v>759</v>
      </c>
      <c r="J5" s="14" t="s">
        <v>738</v>
      </c>
      <c r="K5" s="14" t="s">
        <v>737</v>
      </c>
      <c r="L5" s="14"/>
      <c r="M5" s="14"/>
    </row>
    <row r="6" spans="1:175" x14ac:dyDescent="0.25">
      <c r="A6" t="s">
        <v>732</v>
      </c>
      <c r="B6" s="15">
        <v>0.62693093069108297</v>
      </c>
      <c r="C6" s="15">
        <v>2.0012853388186902</v>
      </c>
      <c r="D6" s="15">
        <v>3.5685557574287603E-2</v>
      </c>
      <c r="E6" s="15"/>
      <c r="F6" s="15"/>
      <c r="H6" t="s">
        <v>732</v>
      </c>
      <c r="I6" t="s">
        <v>759</v>
      </c>
      <c r="J6" s="14" t="s">
        <v>738</v>
      </c>
      <c r="K6" s="14" t="s">
        <v>737</v>
      </c>
      <c r="L6" s="14"/>
      <c r="M6" s="14"/>
    </row>
    <row r="7" spans="1:175" x14ac:dyDescent="0.25">
      <c r="A7" t="s">
        <v>733</v>
      </c>
      <c r="B7" s="15">
        <v>0.57591172372710098</v>
      </c>
      <c r="C7" s="15">
        <v>1.8377454646909199</v>
      </c>
      <c r="D7" s="15">
        <v>53.319353376977602</v>
      </c>
      <c r="E7" s="15"/>
      <c r="F7" s="15"/>
      <c r="H7" t="s">
        <v>733</v>
      </c>
      <c r="I7" t="s">
        <v>759</v>
      </c>
      <c r="J7" s="14" t="s">
        <v>738</v>
      </c>
      <c r="K7" s="14" t="s">
        <v>739</v>
      </c>
      <c r="L7" s="14"/>
      <c r="M7" s="14"/>
    </row>
    <row r="8" spans="1:175" x14ac:dyDescent="0.25">
      <c r="A8" t="s">
        <v>734</v>
      </c>
      <c r="B8" s="15">
        <v>0.54348179449624401</v>
      </c>
      <c r="C8" s="15">
        <v>4.0693334288749901</v>
      </c>
      <c r="D8" s="15">
        <v>0.99778927226894898</v>
      </c>
      <c r="E8" s="15"/>
      <c r="F8" s="15"/>
      <c r="H8" t="s">
        <v>734</v>
      </c>
      <c r="I8" t="s">
        <v>759</v>
      </c>
      <c r="J8" s="14" t="s">
        <v>740</v>
      </c>
      <c r="K8" s="14" t="s">
        <v>741</v>
      </c>
      <c r="L8" s="14"/>
      <c r="M8" s="14"/>
    </row>
    <row r="9" spans="1:175" x14ac:dyDescent="0.25">
      <c r="A9" t="s">
        <v>735</v>
      </c>
      <c r="B9" s="15">
        <v>0.59371146651538498</v>
      </c>
      <c r="C9" s="15">
        <v>4.0252996509105996</v>
      </c>
      <c r="D9" s="15">
        <v>0.847045936033192</v>
      </c>
      <c r="E9" s="15">
        <v>0.33524378025856399</v>
      </c>
      <c r="F9" s="15"/>
      <c r="H9" t="s">
        <v>735</v>
      </c>
      <c r="I9" t="s">
        <v>759</v>
      </c>
      <c r="J9" s="14" t="s">
        <v>742</v>
      </c>
      <c r="K9" s="14" t="s">
        <v>743</v>
      </c>
      <c r="L9" s="14" t="s">
        <v>744</v>
      </c>
      <c r="M9" s="14"/>
    </row>
    <row r="10" spans="1:175" x14ac:dyDescent="0.25">
      <c r="A10" t="s">
        <v>748</v>
      </c>
      <c r="B10" s="15">
        <v>0.60246711623881899</v>
      </c>
      <c r="C10" s="15">
        <v>0.51455393642107905</v>
      </c>
      <c r="D10" s="15">
        <v>1.8949329919583699</v>
      </c>
      <c r="E10" s="15">
        <v>5.7023005628149903</v>
      </c>
      <c r="F10" s="15"/>
      <c r="H10" t="s">
        <v>748</v>
      </c>
      <c r="I10" t="s">
        <v>759</v>
      </c>
      <c r="J10" s="14" t="s">
        <v>738</v>
      </c>
      <c r="K10" s="14" t="s">
        <v>739</v>
      </c>
      <c r="L10" s="14" t="s">
        <v>751</v>
      </c>
      <c r="M10" s="14"/>
    </row>
    <row r="11" spans="1:175" x14ac:dyDescent="0.25">
      <c r="A11" t="s">
        <v>736</v>
      </c>
      <c r="B11" s="15">
        <v>0.593550284362239</v>
      </c>
      <c r="C11" s="15">
        <v>4.0253722662761904</v>
      </c>
      <c r="D11" s="15">
        <v>0.84749091188339898</v>
      </c>
      <c r="E11" s="15">
        <v>0.33359029993228101</v>
      </c>
      <c r="F11" s="15">
        <v>1.1576232934139999E-3</v>
      </c>
      <c r="H11" t="s">
        <v>736</v>
      </c>
      <c r="I11" t="s">
        <v>759</v>
      </c>
      <c r="J11" s="14" t="s">
        <v>742</v>
      </c>
      <c r="K11" s="14" t="s">
        <v>743</v>
      </c>
      <c r="L11" s="14" t="s">
        <v>744</v>
      </c>
      <c r="M11" s="14" t="s">
        <v>745</v>
      </c>
    </row>
    <row r="12" spans="1:175" x14ac:dyDescent="0.25">
      <c r="A12" t="s">
        <v>749</v>
      </c>
      <c r="B12" s="15">
        <v>0.58747846359885603</v>
      </c>
      <c r="C12" s="15">
        <v>4.0270208434255599</v>
      </c>
      <c r="D12" s="15">
        <v>2.6488924248738099</v>
      </c>
      <c r="E12" s="55">
        <v>10.112700230278</v>
      </c>
      <c r="F12" s="55">
        <v>120.62004340318499</v>
      </c>
      <c r="H12" t="s">
        <v>749</v>
      </c>
      <c r="I12" t="s">
        <v>759</v>
      </c>
      <c r="J12" s="14" t="s">
        <v>742</v>
      </c>
      <c r="K12" s="14" t="s">
        <v>743</v>
      </c>
      <c r="L12" s="14" t="s">
        <v>752</v>
      </c>
      <c r="M12" s="14" t="s">
        <v>753</v>
      </c>
    </row>
    <row r="13" spans="1:175" x14ac:dyDescent="0.25">
      <c r="DC13" t="s">
        <v>771</v>
      </c>
      <c r="DN13" t="s">
        <v>771</v>
      </c>
      <c r="DY13" t="s">
        <v>771</v>
      </c>
    </row>
    <row r="14" spans="1:175" x14ac:dyDescent="0.25">
      <c r="A14" s="9"/>
      <c r="B14" s="103" t="s">
        <v>12</v>
      </c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5"/>
      <c r="AJ14" s="9"/>
      <c r="AK14" s="103" t="s">
        <v>23</v>
      </c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5"/>
      <c r="BS14" s="9"/>
      <c r="BT14" s="103" t="s">
        <v>19</v>
      </c>
      <c r="BU14" s="104"/>
      <c r="BV14" s="104"/>
      <c r="BW14" s="104"/>
      <c r="BX14" s="104"/>
      <c r="BY14" s="104"/>
      <c r="BZ14" s="104"/>
      <c r="CA14" s="104"/>
      <c r="CB14" s="104"/>
      <c r="CC14" s="104"/>
      <c r="CD14" s="104"/>
      <c r="CE14" s="104"/>
      <c r="CF14" s="104"/>
      <c r="CG14" s="104"/>
      <c r="CH14" s="104"/>
      <c r="CI14" s="104"/>
      <c r="CJ14" s="104"/>
      <c r="CK14" s="104"/>
      <c r="CL14" s="104"/>
      <c r="CM14" s="104"/>
      <c r="CN14" s="104"/>
      <c r="CO14" s="104"/>
      <c r="CP14" s="104"/>
      <c r="CQ14" s="104"/>
      <c r="CR14" s="104"/>
      <c r="CS14" s="104"/>
      <c r="CT14" s="104"/>
      <c r="CU14" s="104"/>
      <c r="CV14" s="104"/>
      <c r="CW14" s="104"/>
      <c r="CX14" s="104"/>
      <c r="CY14" s="104"/>
      <c r="CZ14" s="105"/>
      <c r="DB14" s="9"/>
      <c r="DC14" s="20" t="s">
        <v>771</v>
      </c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5"/>
      <c r="EL14" s="9"/>
      <c r="EM14" s="103" t="s">
        <v>12</v>
      </c>
      <c r="EN14" s="104"/>
      <c r="EO14" s="104"/>
      <c r="EP14" s="104"/>
      <c r="EQ14" s="104"/>
      <c r="ER14" s="104"/>
      <c r="ES14" s="104"/>
      <c r="ET14" s="104"/>
      <c r="EU14" s="104"/>
      <c r="EV14" s="104"/>
      <c r="EW14" s="104"/>
      <c r="EX14" s="104"/>
      <c r="EY14" s="104"/>
      <c r="EZ14" s="104"/>
      <c r="FA14" s="104"/>
      <c r="FB14" s="104"/>
      <c r="FC14" s="104"/>
      <c r="FD14" s="104"/>
      <c r="FE14" s="104"/>
      <c r="FF14" s="104"/>
      <c r="FG14" s="104"/>
      <c r="FH14" s="104"/>
      <c r="FI14" s="104"/>
      <c r="FJ14" s="104"/>
      <c r="FK14" s="104"/>
      <c r="FL14" s="104"/>
      <c r="FM14" s="104"/>
      <c r="FN14" s="104"/>
      <c r="FO14" s="104"/>
      <c r="FP14" s="104"/>
      <c r="FQ14" s="104"/>
      <c r="FR14" s="104"/>
      <c r="FS14" s="105"/>
    </row>
    <row r="15" spans="1:175" x14ac:dyDescent="0.25">
      <c r="A15" s="10"/>
      <c r="B15" s="103" t="s">
        <v>20</v>
      </c>
      <c r="C15" s="104"/>
      <c r="D15" s="104"/>
      <c r="E15" s="104"/>
      <c r="F15" s="104"/>
      <c r="G15" s="104"/>
      <c r="H15" s="104"/>
      <c r="I15" s="104"/>
      <c r="J15" s="104"/>
      <c r="K15" s="104"/>
      <c r="L15" s="105"/>
      <c r="M15" s="103" t="s">
        <v>746</v>
      </c>
      <c r="N15" s="104"/>
      <c r="O15" s="104"/>
      <c r="P15" s="104"/>
      <c r="Q15" s="104"/>
      <c r="R15" s="104"/>
      <c r="S15" s="104"/>
      <c r="T15" s="104"/>
      <c r="U15" s="104"/>
      <c r="V15" s="104"/>
      <c r="W15" s="105"/>
      <c r="X15" s="103" t="s">
        <v>747</v>
      </c>
      <c r="Y15" s="104"/>
      <c r="Z15" s="104"/>
      <c r="AA15" s="104"/>
      <c r="AB15" s="104"/>
      <c r="AC15" s="104"/>
      <c r="AD15" s="104"/>
      <c r="AE15" s="104"/>
      <c r="AF15" s="104"/>
      <c r="AG15" s="104"/>
      <c r="AH15" s="105"/>
      <c r="AJ15" s="10"/>
      <c r="AK15" s="103" t="s">
        <v>20</v>
      </c>
      <c r="AL15" s="104"/>
      <c r="AM15" s="104"/>
      <c r="AN15" s="104"/>
      <c r="AO15" s="104"/>
      <c r="AP15" s="104"/>
      <c r="AQ15" s="104"/>
      <c r="AR15" s="104"/>
      <c r="AS15" s="104"/>
      <c r="AT15" s="104"/>
      <c r="AU15" s="105"/>
      <c r="AV15" s="103" t="s">
        <v>746</v>
      </c>
      <c r="AW15" s="104"/>
      <c r="AX15" s="104"/>
      <c r="AY15" s="104"/>
      <c r="AZ15" s="104"/>
      <c r="BA15" s="104"/>
      <c r="BB15" s="104"/>
      <c r="BC15" s="104"/>
      <c r="BD15" s="104"/>
      <c r="BE15" s="104"/>
      <c r="BF15" s="105"/>
      <c r="BG15" s="103" t="s">
        <v>747</v>
      </c>
      <c r="BH15" s="104"/>
      <c r="BI15" s="104"/>
      <c r="BJ15" s="104"/>
      <c r="BK15" s="104"/>
      <c r="BL15" s="104"/>
      <c r="BM15" s="104"/>
      <c r="BN15" s="104"/>
      <c r="BO15" s="104"/>
      <c r="BP15" s="104"/>
      <c r="BQ15" s="105"/>
      <c r="BS15" s="10"/>
      <c r="BT15" s="103" t="s">
        <v>20</v>
      </c>
      <c r="BU15" s="104"/>
      <c r="BV15" s="104"/>
      <c r="BW15" s="104"/>
      <c r="BX15" s="104"/>
      <c r="BY15" s="104"/>
      <c r="BZ15" s="104"/>
      <c r="CA15" s="104"/>
      <c r="CB15" s="104"/>
      <c r="CC15" s="104"/>
      <c r="CD15" s="105"/>
      <c r="CE15" s="103" t="s">
        <v>746</v>
      </c>
      <c r="CF15" s="104"/>
      <c r="CG15" s="104"/>
      <c r="CH15" s="104"/>
      <c r="CI15" s="104"/>
      <c r="CJ15" s="104"/>
      <c r="CK15" s="104"/>
      <c r="CL15" s="104"/>
      <c r="CM15" s="104"/>
      <c r="CN15" s="104"/>
      <c r="CO15" s="105"/>
      <c r="CP15" s="103" t="s">
        <v>747</v>
      </c>
      <c r="CQ15" s="104"/>
      <c r="CR15" s="104"/>
      <c r="CS15" s="104"/>
      <c r="CT15" s="104"/>
      <c r="CU15" s="104"/>
      <c r="CV15" s="104"/>
      <c r="CW15" s="104"/>
      <c r="CX15" s="104"/>
      <c r="CY15" s="104"/>
      <c r="CZ15" s="105"/>
      <c r="DB15" s="10"/>
      <c r="DC15" s="20" t="s">
        <v>20</v>
      </c>
      <c r="DD15" s="64"/>
      <c r="DE15" s="64"/>
      <c r="DF15" s="64"/>
      <c r="DG15" s="64"/>
      <c r="DH15" s="64"/>
      <c r="DI15" s="64"/>
      <c r="DJ15" s="64"/>
      <c r="DK15" s="64"/>
      <c r="DL15" s="64"/>
      <c r="DM15" s="65"/>
      <c r="DN15" s="20" t="s">
        <v>746</v>
      </c>
      <c r="DO15" s="64"/>
      <c r="DP15" s="64"/>
      <c r="DQ15" s="64"/>
      <c r="DR15" s="64"/>
      <c r="DS15" s="64"/>
      <c r="DT15" s="64"/>
      <c r="DU15" s="64"/>
      <c r="DV15" s="64"/>
      <c r="DW15" s="64"/>
      <c r="DX15" s="65"/>
      <c r="DY15" s="20" t="s">
        <v>747</v>
      </c>
      <c r="DZ15" s="64"/>
      <c r="EA15" s="64"/>
      <c r="EB15" s="64"/>
      <c r="EC15" s="64"/>
      <c r="ED15" s="64"/>
      <c r="EE15" s="64"/>
      <c r="EF15" s="64"/>
      <c r="EG15" s="64"/>
      <c r="EH15" s="64"/>
      <c r="EI15" s="65"/>
      <c r="EL15" s="10"/>
      <c r="EM15" s="103" t="s">
        <v>20</v>
      </c>
      <c r="EN15" s="104"/>
      <c r="EO15" s="104"/>
      <c r="EP15" s="104"/>
      <c r="EQ15" s="104"/>
      <c r="ER15" s="104"/>
      <c r="ES15" s="104"/>
      <c r="ET15" s="104"/>
      <c r="EU15" s="104"/>
      <c r="EV15" s="104"/>
      <c r="EW15" s="105"/>
      <c r="EX15" s="103" t="s">
        <v>746</v>
      </c>
      <c r="EY15" s="104"/>
      <c r="EZ15" s="104"/>
      <c r="FA15" s="104"/>
      <c r="FB15" s="104"/>
      <c r="FC15" s="104"/>
      <c r="FD15" s="104"/>
      <c r="FE15" s="104"/>
      <c r="FF15" s="104"/>
      <c r="FG15" s="104"/>
      <c r="FH15" s="105"/>
      <c r="FI15" s="103" t="s">
        <v>747</v>
      </c>
      <c r="FJ15" s="104"/>
      <c r="FK15" s="104"/>
      <c r="FL15" s="104"/>
      <c r="FM15" s="104"/>
      <c r="FN15" s="104"/>
      <c r="FO15" s="104"/>
      <c r="FP15" s="104"/>
      <c r="FQ15" s="104"/>
      <c r="FR15" s="104"/>
      <c r="FS15" s="105"/>
    </row>
    <row r="16" spans="1:175" x14ac:dyDescent="0.25">
      <c r="A16" s="22" t="s">
        <v>10</v>
      </c>
      <c r="B16" s="7" t="s">
        <v>728</v>
      </c>
      <c r="C16" s="7" t="s">
        <v>729</v>
      </c>
      <c r="D16" s="7" t="s">
        <v>730</v>
      </c>
      <c r="E16" s="7" t="s">
        <v>731</v>
      </c>
      <c r="F16" s="7" t="s">
        <v>732</v>
      </c>
      <c r="G16" s="7" t="s">
        <v>733</v>
      </c>
      <c r="H16" s="7" t="s">
        <v>734</v>
      </c>
      <c r="I16" s="7" t="s">
        <v>735</v>
      </c>
      <c r="J16" s="7" t="s">
        <v>748</v>
      </c>
      <c r="K16" s="7" t="s">
        <v>736</v>
      </c>
      <c r="L16" s="20" t="s">
        <v>749</v>
      </c>
      <c r="M16" s="7" t="s">
        <v>728</v>
      </c>
      <c r="N16" s="7" t="s">
        <v>729</v>
      </c>
      <c r="O16" s="7" t="s">
        <v>730</v>
      </c>
      <c r="P16" s="7" t="s">
        <v>731</v>
      </c>
      <c r="Q16" s="7" t="s">
        <v>732</v>
      </c>
      <c r="R16" s="7" t="s">
        <v>733</v>
      </c>
      <c r="S16" s="7" t="s">
        <v>734</v>
      </c>
      <c r="T16" s="7" t="s">
        <v>735</v>
      </c>
      <c r="U16" s="7" t="s">
        <v>748</v>
      </c>
      <c r="V16" s="7" t="s">
        <v>736</v>
      </c>
      <c r="W16" s="7" t="s">
        <v>749</v>
      </c>
      <c r="X16" s="7" t="s">
        <v>728</v>
      </c>
      <c r="Y16" s="7" t="s">
        <v>729</v>
      </c>
      <c r="Z16" s="7" t="s">
        <v>730</v>
      </c>
      <c r="AA16" s="7" t="s">
        <v>731</v>
      </c>
      <c r="AB16" s="7" t="s">
        <v>732</v>
      </c>
      <c r="AC16" s="7" t="s">
        <v>733</v>
      </c>
      <c r="AD16" s="7" t="s">
        <v>734</v>
      </c>
      <c r="AE16" s="7" t="s">
        <v>735</v>
      </c>
      <c r="AF16" s="7" t="s">
        <v>748</v>
      </c>
      <c r="AG16" s="7" t="s">
        <v>736</v>
      </c>
      <c r="AH16" s="7" t="s">
        <v>749</v>
      </c>
      <c r="AJ16" s="22" t="s">
        <v>10</v>
      </c>
      <c r="AK16" s="7" t="s">
        <v>728</v>
      </c>
      <c r="AL16" s="7" t="s">
        <v>729</v>
      </c>
      <c r="AM16" s="7" t="s">
        <v>730</v>
      </c>
      <c r="AN16" s="7" t="s">
        <v>731</v>
      </c>
      <c r="AO16" s="7" t="s">
        <v>732</v>
      </c>
      <c r="AP16" s="7" t="s">
        <v>733</v>
      </c>
      <c r="AQ16" s="7" t="s">
        <v>734</v>
      </c>
      <c r="AR16" s="7" t="s">
        <v>735</v>
      </c>
      <c r="AS16" s="7" t="s">
        <v>748</v>
      </c>
      <c r="AT16" s="7" t="s">
        <v>736</v>
      </c>
      <c r="AU16" s="20" t="s">
        <v>749</v>
      </c>
      <c r="AV16" s="7" t="s">
        <v>728</v>
      </c>
      <c r="AW16" s="7" t="s">
        <v>729</v>
      </c>
      <c r="AX16" s="7" t="s">
        <v>730</v>
      </c>
      <c r="AY16" s="7" t="s">
        <v>731</v>
      </c>
      <c r="AZ16" s="7" t="s">
        <v>732</v>
      </c>
      <c r="BA16" s="7" t="s">
        <v>733</v>
      </c>
      <c r="BB16" s="7" t="s">
        <v>734</v>
      </c>
      <c r="BC16" s="7" t="s">
        <v>735</v>
      </c>
      <c r="BD16" s="7" t="s">
        <v>748</v>
      </c>
      <c r="BE16" s="7" t="s">
        <v>736</v>
      </c>
      <c r="BF16" s="7" t="s">
        <v>749</v>
      </c>
      <c r="BG16" s="7" t="s">
        <v>728</v>
      </c>
      <c r="BH16" s="7" t="s">
        <v>729</v>
      </c>
      <c r="BI16" s="7" t="s">
        <v>730</v>
      </c>
      <c r="BJ16" s="7" t="s">
        <v>731</v>
      </c>
      <c r="BK16" s="7" t="s">
        <v>732</v>
      </c>
      <c r="BL16" s="7" t="s">
        <v>733</v>
      </c>
      <c r="BM16" s="7" t="s">
        <v>734</v>
      </c>
      <c r="BN16" s="7" t="s">
        <v>735</v>
      </c>
      <c r="BO16" s="7" t="s">
        <v>748</v>
      </c>
      <c r="BP16" s="7" t="s">
        <v>736</v>
      </c>
      <c r="BQ16" s="7" t="s">
        <v>749</v>
      </c>
      <c r="BS16" s="22" t="s">
        <v>10</v>
      </c>
      <c r="BT16" s="7" t="s">
        <v>728</v>
      </c>
      <c r="BU16" s="7" t="s">
        <v>729</v>
      </c>
      <c r="BV16" s="7" t="s">
        <v>730</v>
      </c>
      <c r="BW16" s="7" t="s">
        <v>731</v>
      </c>
      <c r="BX16" s="7" t="s">
        <v>732</v>
      </c>
      <c r="BY16" s="7" t="s">
        <v>733</v>
      </c>
      <c r="BZ16" s="7" t="s">
        <v>734</v>
      </c>
      <c r="CA16" s="7" t="s">
        <v>735</v>
      </c>
      <c r="CB16" s="7" t="s">
        <v>748</v>
      </c>
      <c r="CC16" s="7" t="s">
        <v>736</v>
      </c>
      <c r="CD16" s="20" t="s">
        <v>749</v>
      </c>
      <c r="CE16" s="7" t="s">
        <v>728</v>
      </c>
      <c r="CF16" s="7" t="s">
        <v>729</v>
      </c>
      <c r="CG16" s="7" t="s">
        <v>730</v>
      </c>
      <c r="CH16" s="7" t="s">
        <v>731</v>
      </c>
      <c r="CI16" s="7" t="s">
        <v>732</v>
      </c>
      <c r="CJ16" s="7" t="s">
        <v>733</v>
      </c>
      <c r="CK16" s="7" t="s">
        <v>734</v>
      </c>
      <c r="CL16" s="7" t="s">
        <v>735</v>
      </c>
      <c r="CM16" s="7" t="s">
        <v>748</v>
      </c>
      <c r="CN16" s="7" t="s">
        <v>736</v>
      </c>
      <c r="CO16" s="7" t="s">
        <v>749</v>
      </c>
      <c r="CP16" s="7" t="s">
        <v>728</v>
      </c>
      <c r="CQ16" s="7" t="s">
        <v>729</v>
      </c>
      <c r="CR16" s="7" t="s">
        <v>730</v>
      </c>
      <c r="CS16" s="7" t="s">
        <v>731</v>
      </c>
      <c r="CT16" s="7" t="s">
        <v>732</v>
      </c>
      <c r="CU16" s="7" t="s">
        <v>733</v>
      </c>
      <c r="CV16" s="7" t="s">
        <v>734</v>
      </c>
      <c r="CW16" s="7" t="s">
        <v>735</v>
      </c>
      <c r="CX16" s="7" t="s">
        <v>748</v>
      </c>
      <c r="CY16" s="7" t="s">
        <v>736</v>
      </c>
      <c r="CZ16" s="7" t="s">
        <v>749</v>
      </c>
      <c r="DB16" s="22" t="s">
        <v>10</v>
      </c>
      <c r="DC16" s="7" t="s">
        <v>728</v>
      </c>
      <c r="DD16" s="7" t="s">
        <v>729</v>
      </c>
      <c r="DE16" s="7" t="s">
        <v>730</v>
      </c>
      <c r="DF16" s="7" t="s">
        <v>731</v>
      </c>
      <c r="DG16" s="7" t="s">
        <v>732</v>
      </c>
      <c r="DH16" s="7" t="s">
        <v>733</v>
      </c>
      <c r="DI16" s="7" t="s">
        <v>734</v>
      </c>
      <c r="DJ16" s="7" t="s">
        <v>735</v>
      </c>
      <c r="DK16" s="7" t="s">
        <v>748</v>
      </c>
      <c r="DL16" s="7" t="s">
        <v>736</v>
      </c>
      <c r="DM16" s="20" t="s">
        <v>749</v>
      </c>
      <c r="DN16" s="7" t="s">
        <v>728</v>
      </c>
      <c r="DO16" s="7" t="s">
        <v>729</v>
      </c>
      <c r="DP16" s="7" t="s">
        <v>730</v>
      </c>
      <c r="DQ16" s="7" t="s">
        <v>731</v>
      </c>
      <c r="DR16" s="7" t="s">
        <v>732</v>
      </c>
      <c r="DS16" s="7" t="s">
        <v>733</v>
      </c>
      <c r="DT16" s="7" t="s">
        <v>734</v>
      </c>
      <c r="DU16" s="7" t="s">
        <v>735</v>
      </c>
      <c r="DV16" s="7" t="s">
        <v>748</v>
      </c>
      <c r="DW16" s="7" t="s">
        <v>736</v>
      </c>
      <c r="DX16" s="7" t="s">
        <v>749</v>
      </c>
      <c r="DY16" s="7" t="s">
        <v>728</v>
      </c>
      <c r="DZ16" s="7" t="s">
        <v>729</v>
      </c>
      <c r="EA16" s="7" t="s">
        <v>730</v>
      </c>
      <c r="EB16" s="7" t="s">
        <v>731</v>
      </c>
      <c r="EC16" s="7" t="s">
        <v>732</v>
      </c>
      <c r="ED16" s="7" t="s">
        <v>733</v>
      </c>
      <c r="EE16" s="7" t="s">
        <v>734</v>
      </c>
      <c r="EF16" s="7" t="s">
        <v>735</v>
      </c>
      <c r="EG16" s="7" t="s">
        <v>748</v>
      </c>
      <c r="EH16" s="7" t="s">
        <v>736</v>
      </c>
      <c r="EI16" s="7" t="s">
        <v>749</v>
      </c>
      <c r="EL16" s="22" t="s">
        <v>754</v>
      </c>
      <c r="EM16" s="7" t="s">
        <v>766</v>
      </c>
      <c r="EN16" s="7" t="s">
        <v>729</v>
      </c>
      <c r="EO16" s="7" t="s">
        <v>730</v>
      </c>
      <c r="EP16" s="7" t="s">
        <v>731</v>
      </c>
      <c r="EQ16" s="7" t="s">
        <v>732</v>
      </c>
      <c r="ER16" s="7" t="s">
        <v>733</v>
      </c>
      <c r="ES16" s="7" t="s">
        <v>734</v>
      </c>
      <c r="ET16" s="7" t="s">
        <v>735</v>
      </c>
      <c r="EU16" s="7" t="s">
        <v>748</v>
      </c>
      <c r="EV16" s="7" t="s">
        <v>736</v>
      </c>
      <c r="EW16" s="20" t="s">
        <v>749</v>
      </c>
      <c r="EX16" s="7" t="s">
        <v>728</v>
      </c>
      <c r="EY16" s="7" t="s">
        <v>729</v>
      </c>
      <c r="EZ16" s="7" t="s">
        <v>730</v>
      </c>
      <c r="FA16" s="7" t="s">
        <v>731</v>
      </c>
      <c r="FB16" s="7" t="s">
        <v>732</v>
      </c>
      <c r="FC16" s="7" t="s">
        <v>733</v>
      </c>
      <c r="FD16" s="7" t="s">
        <v>734</v>
      </c>
      <c r="FE16" s="7" t="s">
        <v>735</v>
      </c>
      <c r="FF16" s="7" t="s">
        <v>748</v>
      </c>
      <c r="FG16" s="7" t="s">
        <v>736</v>
      </c>
      <c r="FH16" s="7" t="s">
        <v>749</v>
      </c>
      <c r="FI16" s="7" t="s">
        <v>728</v>
      </c>
      <c r="FJ16" s="7" t="s">
        <v>729</v>
      </c>
      <c r="FK16" s="7" t="s">
        <v>730</v>
      </c>
      <c r="FL16" s="7" t="s">
        <v>731</v>
      </c>
      <c r="FM16" s="7" t="s">
        <v>732</v>
      </c>
      <c r="FN16" s="7" t="s">
        <v>733</v>
      </c>
      <c r="FO16" s="7" t="s">
        <v>734</v>
      </c>
      <c r="FP16" s="7" t="s">
        <v>735</v>
      </c>
      <c r="FQ16" s="7" t="s">
        <v>748</v>
      </c>
      <c r="FR16" s="7" t="s">
        <v>736</v>
      </c>
      <c r="FS16" s="7" t="s">
        <v>749</v>
      </c>
    </row>
    <row r="17" spans="1:177" x14ac:dyDescent="0.25">
      <c r="A17" s="1">
        <v>0</v>
      </c>
      <c r="B17" s="23" cm="1">
        <f t="array" ref="B17:B57">smixexp(A17:A57,B2,C2)</f>
        <v>1</v>
      </c>
      <c r="C17" s="8" cm="1">
        <f t="array" ref="C17:C57">Smixweibull(A17:A57,B3,C3,D3)</f>
        <v>1</v>
      </c>
      <c r="D17" s="8" cm="1">
        <f t="array" ref="D17:D57">SmixweibullPH(A17:A57,B4,C4,D4)</f>
        <v>1</v>
      </c>
      <c r="E17" s="8" cm="1">
        <f t="array" ref="E17:E57">Smixgompertz(A17:A57,B5,C5,D5)</f>
        <v>1</v>
      </c>
      <c r="F17" s="8" cm="1">
        <f t="array" ref="F17:F57">Smixgamma(A17:A57,B6,C6,D6)</f>
        <v>1</v>
      </c>
      <c r="G17" s="8" cm="1">
        <f t="array" ref="G17:G57">Smixllogis(A17:A57,B7,C7,D7)</f>
        <v>1</v>
      </c>
      <c r="H17" s="8" cm="1">
        <f t="array" ref="H17:H57">Smixlnorm(A17:A57,B8,C8,D8)</f>
        <v>1</v>
      </c>
      <c r="I17" s="8" cm="1">
        <f t="array" ref="I17:I57">Smixgengamma(A17:A57,B9,C9,D9,E9)</f>
        <v>1</v>
      </c>
      <c r="J17" s="8" cm="1">
        <f t="array" ref="J17:J57">Smixgengamma_orig(A17:A57,B10,C10,D10,E10)</f>
        <v>1</v>
      </c>
      <c r="K17" s="28" cm="1">
        <f t="array" ref="K17:K57">Smixgenf(A17:A57,B11,C11,D11,E11,F11)</f>
        <v>1</v>
      </c>
      <c r="L17" s="8" cm="1">
        <f t="array" ref="L17:L57">Smixgenf_orig(A17:A57,B12,C12,D12,E12,F12)</f>
        <v>1</v>
      </c>
      <c r="M17" s="29">
        <v>1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30">
        <v>1</v>
      </c>
      <c r="T17" s="30">
        <v>1</v>
      </c>
      <c r="U17" s="30">
        <v>1</v>
      </c>
      <c r="V17" s="30">
        <v>1</v>
      </c>
      <c r="W17" s="31">
        <v>1</v>
      </c>
      <c r="X17" t="b">
        <f t="shared" ref="X17:X57" si="0">ROUND(B17,6)=ROUND(M17,6)</f>
        <v>1</v>
      </c>
      <c r="Y17" t="b">
        <f t="shared" ref="Y17:Y57" si="1">ROUND(C17,6)=ROUND(N17,6)</f>
        <v>1</v>
      </c>
      <c r="Z17" t="b">
        <f t="shared" ref="Z17:Z57" si="2">ROUND(D17,6)=ROUND(O17,6)</f>
        <v>1</v>
      </c>
      <c r="AA17" t="b">
        <f t="shared" ref="AA17:AA57" si="3">ROUND(E17,6)=ROUND(P17,6)</f>
        <v>1</v>
      </c>
      <c r="AB17" t="b">
        <f t="shared" ref="AB17:AB57" si="4">ROUND(F17,6)=ROUND(Q17,6)</f>
        <v>1</v>
      </c>
      <c r="AC17" t="b">
        <f t="shared" ref="AC17:AC57" si="5">ROUND(G17,6)=ROUND(R17,6)</f>
        <v>1</v>
      </c>
      <c r="AD17" t="b">
        <f t="shared" ref="AD17:AD57" si="6">ROUND(H17,6)=ROUND(S17,6)</f>
        <v>1</v>
      </c>
      <c r="AE17" t="b">
        <f t="shared" ref="AE17:AE57" si="7">ROUND(I17,6)=ROUND(T17,6)</f>
        <v>1</v>
      </c>
      <c r="AF17" t="b">
        <f t="shared" ref="AF17:AF57" si="8">ROUND(J17,6)=ROUND(U17,6)</f>
        <v>1</v>
      </c>
      <c r="AG17" t="b">
        <f t="shared" ref="AG17:AG57" si="9">ROUND(K17,6)=ROUND(V17,6)</f>
        <v>1</v>
      </c>
      <c r="AH17" t="b">
        <f t="shared" ref="AH17:AH57" si="10">ROUND(L17,6)=ROUND(W17,6)</f>
        <v>1</v>
      </c>
      <c r="AJ17" s="1">
        <v>0</v>
      </c>
      <c r="AK17" s="23" cm="1">
        <f t="array" ref="AK17:AK57">chmixexp(A17:A57,B2,C2)</f>
        <v>0</v>
      </c>
      <c r="AL17" s="8" cm="1">
        <f t="array" ref="AL17:AL57">chmixweibull(A17:A57,B3,C3,D3)</f>
        <v>0</v>
      </c>
      <c r="AM17" s="8" cm="1">
        <f t="array" ref="AM17:AM57">chmixweibullPH(A17:A57,B4,C4,D4)</f>
        <v>0</v>
      </c>
      <c r="AN17" s="8" cm="1">
        <f t="array" ref="AN17:AN57">chmixgompertz(A17:A57,B5,C5,D5)</f>
        <v>0</v>
      </c>
      <c r="AO17" s="8" cm="1">
        <f t="array" ref="AO17:AO57">chmixgamma(A17:A57,B6,C6,D6)</f>
        <v>0</v>
      </c>
      <c r="AP17" s="8" cm="1">
        <f t="array" ref="AP17:AP57">chmixllogis(A17:A57,B7,C7,D7)</f>
        <v>0</v>
      </c>
      <c r="AQ17" s="8" cm="1">
        <f t="array" ref="AQ17:AQ57">chmixlnorm(A17:A57,B8,C8,D8)</f>
        <v>0</v>
      </c>
      <c r="AR17" s="8" cm="1">
        <f t="array" ref="AR17:AR57">chmixgengamma(A17:A57,B9,C9,D9,E9)</f>
        <v>0</v>
      </c>
      <c r="AS17" s="8" cm="1">
        <f t="array" ref="AS17:AS57">chmixgengamma_orig(A17:A57,B10,C10,D10,E10)</f>
        <v>0</v>
      </c>
      <c r="AT17" s="28" cm="1">
        <f t="array" ref="AT17:AT57">chmixgenf(A17:A57,B11,C11,D11,E11,F11)</f>
        <v>0</v>
      </c>
      <c r="AU17" s="8" cm="1">
        <f t="array" ref="AU17:AU57">chmixgenf_orig(A17:A57,B12,C12,D12,E12,F12)</f>
        <v>0</v>
      </c>
      <c r="AV17" s="48">
        <v>0</v>
      </c>
      <c r="AW17" s="49">
        <v>0</v>
      </c>
      <c r="AX17" s="49">
        <v>0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50">
        <v>0</v>
      </c>
      <c r="BG17" s="41" t="b">
        <f>ROUND(AK17,6)=ROUND(AV17,6)</f>
        <v>1</v>
      </c>
      <c r="BH17" s="42" t="b">
        <f t="shared" ref="BH17:BQ42" si="11">ROUND(AL17,6)=ROUND(AW17,6)</f>
        <v>1</v>
      </c>
      <c r="BI17" s="42" t="b">
        <f t="shared" si="11"/>
        <v>1</v>
      </c>
      <c r="BJ17" s="42" t="b">
        <f t="shared" si="11"/>
        <v>1</v>
      </c>
      <c r="BK17" s="42" t="b">
        <f t="shared" si="11"/>
        <v>1</v>
      </c>
      <c r="BL17" s="42" t="b">
        <f t="shared" si="11"/>
        <v>1</v>
      </c>
      <c r="BM17" s="42" t="b">
        <f t="shared" si="11"/>
        <v>1</v>
      </c>
      <c r="BN17" s="42" t="b">
        <f t="shared" si="11"/>
        <v>1</v>
      </c>
      <c r="BO17" s="42" t="b">
        <f t="shared" si="11"/>
        <v>1</v>
      </c>
      <c r="BP17" s="42" t="b">
        <f t="shared" si="11"/>
        <v>1</v>
      </c>
      <c r="BQ17" s="43" t="b">
        <f t="shared" si="11"/>
        <v>1</v>
      </c>
      <c r="BS17" s="1">
        <v>0</v>
      </c>
      <c r="BT17" s="23" cm="1">
        <f t="array" ref="BT17:BT57">hmixexp(A17:A57,B2,C2)</f>
        <v>4.6653407148135899E-3</v>
      </c>
      <c r="BU17" s="8" cm="1">
        <f t="array" ref="BU17:BU57">hmixweibull(A17:A57,B3,C3,D3)</f>
        <v>0</v>
      </c>
      <c r="BV17" s="8" cm="1">
        <f t="array" ref="BV17:BV57">hmixweibullPH(A17:A57,B4,C4,D4)</f>
        <v>0</v>
      </c>
      <c r="BW17" s="8" cm="1">
        <f t="array" ref="BW17:BW57">hmixgompertz(A17:A57,B5,C5,D5)</f>
        <v>0</v>
      </c>
      <c r="BX17" s="8" cm="1">
        <f t="array" ref="BX17:BX57">hmixgamma(A17:A57,B6,C6,D6)</f>
        <v>0</v>
      </c>
      <c r="BY17" s="8" cm="1">
        <f t="array" ref="BY17:BY57">hmixllogis(A17:A57,B7,C7,D7)</f>
        <v>0</v>
      </c>
      <c r="BZ17" s="8" cm="1">
        <f t="array" ref="BZ17:BZ57">hmixlnorm(A17:A57,B8,C8,D8)</f>
        <v>0</v>
      </c>
      <c r="CA17" s="8" cm="1">
        <f t="array" ref="CA17:CA57">hmixgengamma(A17:A57,B9,C9,D9,E9)</f>
        <v>0</v>
      </c>
      <c r="CB17" s="8" cm="1">
        <f t="array" ref="CB17:CB57">hmixgengamma_orig(A17:A57,B10,C10,D10,E10)</f>
        <v>0</v>
      </c>
      <c r="CC17" s="28" cm="1">
        <f t="array" ref="CC17:CC57">hmixgenf(A17:A57,B11,C11,D11,E11,F11)</f>
        <v>0</v>
      </c>
      <c r="CD17" s="8" cm="1">
        <f t="array" ref="CD17:CD57">hmixgenf_orig(A17:A57,B12,C12,D12,E12,F12)</f>
        <v>0</v>
      </c>
      <c r="CE17" s="32">
        <v>4.6653407148135899E-3</v>
      </c>
      <c r="CF17" s="30">
        <v>0</v>
      </c>
      <c r="CG17" s="30">
        <v>0</v>
      </c>
      <c r="CH17" s="30">
        <v>3.07915225317892E-3</v>
      </c>
      <c r="CI17" s="30">
        <v>0</v>
      </c>
      <c r="CJ17" s="30">
        <v>0</v>
      </c>
      <c r="CK17" s="30">
        <v>0</v>
      </c>
      <c r="CL17" s="30"/>
      <c r="CM17" s="30">
        <v>0</v>
      </c>
      <c r="CN17" s="30"/>
      <c r="CO17" s="31"/>
      <c r="CP17" t="b">
        <f>ROUND(BT17,6)=ROUND(CE17,6)</f>
        <v>1</v>
      </c>
      <c r="CQ17" t="b">
        <f t="shared" ref="CQ17:CZ42" si="12">ROUND(BU17,6)=ROUND(CF17,6)</f>
        <v>1</v>
      </c>
      <c r="CR17" t="b">
        <f t="shared" si="12"/>
        <v>1</v>
      </c>
      <c r="CS17" t="b">
        <f t="shared" si="12"/>
        <v>0</v>
      </c>
      <c r="CT17" t="b">
        <f t="shared" si="12"/>
        <v>1</v>
      </c>
      <c r="CU17" t="b">
        <f t="shared" si="12"/>
        <v>1</v>
      </c>
      <c r="CV17" t="b">
        <f t="shared" si="12"/>
        <v>1</v>
      </c>
      <c r="CW17" t="b">
        <f t="shared" si="12"/>
        <v>1</v>
      </c>
      <c r="CX17" t="b">
        <f t="shared" si="12"/>
        <v>1</v>
      </c>
      <c r="CY17" t="b">
        <f t="shared" si="12"/>
        <v>1</v>
      </c>
      <c r="CZ17" t="b">
        <f t="shared" si="12"/>
        <v>1</v>
      </c>
      <c r="DB17" s="72">
        <v>0</v>
      </c>
      <c r="DC17" s="84" cm="1">
        <f t="array" ref="DC17:DC23">rmstmixexp(DB17:DB23,B2,C2)</f>
        <v>0</v>
      </c>
      <c r="DD17" s="69" cm="1">
        <f t="array" ref="DD17:DD23">rmstmixweibull(DB17:DB23,B3,C3,D3)</f>
        <v>0</v>
      </c>
      <c r="DE17" s="69" cm="1">
        <f t="array" ref="DE17:DE23">rmstmixweibullPH(DB17:DB23,B4,C4,D4)</f>
        <v>0</v>
      </c>
      <c r="DF17" s="69" cm="1">
        <f t="array" ref="DF17:DF23">rmstmixgompertz(DB17:DB23,B5,C5,D5)</f>
        <v>0</v>
      </c>
      <c r="DG17" s="69" cm="1">
        <f t="array" ref="DG17:DG23">rmstmixgamma(DB17:DB23,B6,C6,D6)</f>
        <v>0</v>
      </c>
      <c r="DH17" s="69" cm="1">
        <f t="array" ref="DH17:DH23">rmstmixllogis(DB17:DB23,B7,C7,D7)</f>
        <v>0</v>
      </c>
      <c r="DI17" s="69" cm="1">
        <f t="array" ref="DI17:DI23">rmstmixlnorm(DB17:DB23,B8,C8,D8)</f>
        <v>0</v>
      </c>
      <c r="DJ17" s="69" cm="1">
        <f t="array" ref="DJ17:DJ23">rmstmixgengamma(DB17:DB23,B9,C9,D9,E9)</f>
        <v>0</v>
      </c>
      <c r="DK17" s="69" cm="1">
        <f t="array" ref="DK17:DK23">rmstmixgengamma_orig(DB17:DB23,B10,C10,D10,E10)</f>
        <v>0</v>
      </c>
      <c r="DL17" s="69" cm="1">
        <f t="array" ref="DL17:DL23">rmstmixgenf(DB17:DB23,B11,C11,D11,E11,F11)</f>
        <v>0</v>
      </c>
      <c r="DM17" s="69" cm="1">
        <f t="array" ref="DM17:DM23">rmstmixgenf_orig(DB17:DB23,B12,C12,D12,E12,F12)</f>
        <v>0</v>
      </c>
      <c r="DN17" s="85">
        <v>0</v>
      </c>
      <c r="DO17" s="86">
        <v>0</v>
      </c>
      <c r="DP17" s="86">
        <v>0</v>
      </c>
      <c r="DQ17" s="86">
        <v>0</v>
      </c>
      <c r="DR17" s="86">
        <v>0</v>
      </c>
      <c r="DS17" s="86">
        <v>0</v>
      </c>
      <c r="DT17" s="86">
        <v>0</v>
      </c>
      <c r="DU17" s="86">
        <v>0</v>
      </c>
      <c r="DV17" s="86">
        <v>0</v>
      </c>
      <c r="DW17" s="86">
        <v>0</v>
      </c>
      <c r="DX17" s="87">
        <v>0</v>
      </c>
      <c r="DY17" s="41" t="b">
        <f>ROUND(DC17,4)=ROUND(DN17,4)</f>
        <v>1</v>
      </c>
      <c r="DZ17" s="42" t="b">
        <f t="shared" ref="DZ17:EI23" si="13">ROUND(DD17,4)=ROUND(DO17,4)</f>
        <v>1</v>
      </c>
      <c r="EA17" s="42" t="b">
        <f t="shared" si="13"/>
        <v>1</v>
      </c>
      <c r="EB17" s="42" t="b">
        <f t="shared" si="13"/>
        <v>1</v>
      </c>
      <c r="EC17" s="42" t="b">
        <f t="shared" si="13"/>
        <v>1</v>
      </c>
      <c r="ED17" s="42" t="b">
        <f t="shared" si="13"/>
        <v>1</v>
      </c>
      <c r="EE17" s="42" t="b">
        <f t="shared" si="13"/>
        <v>1</v>
      </c>
      <c r="EF17" s="42" t="b">
        <f t="shared" si="13"/>
        <v>1</v>
      </c>
      <c r="EG17" s="42" t="b">
        <f t="shared" si="13"/>
        <v>1</v>
      </c>
      <c r="EH17" s="42" t="b">
        <f t="shared" si="13"/>
        <v>1</v>
      </c>
      <c r="EI17" s="43" t="b">
        <f t="shared" si="13"/>
        <v>1</v>
      </c>
      <c r="EL17" s="1">
        <v>0.1</v>
      </c>
      <c r="EM17" s="39" cm="1">
        <f t="array" ref="EM17:EM19">qmixexp(EL17:EL19,B2,C2)</f>
        <v>23.536419249527153</v>
      </c>
      <c r="EN17" s="11" cm="1">
        <f t="array" ref="EN17:EN19">qmixweibull(EL17:EL19,B3,C3,D3)</f>
        <v>28.889483575818986</v>
      </c>
      <c r="EO17" s="11" cm="1">
        <f t="array" ref="EO17:EO19">qmixweibullPH(EL17:EL19,B4,C4,D4)</f>
        <v>28.889278908782565</v>
      </c>
      <c r="EP17" s="11" cm="1">
        <f t="array" ref="EP17:EP19">qmixgompertz(EL17:EL19,B5,C5,D5)</f>
        <v>28.172937001194793</v>
      </c>
      <c r="EQ17" s="11" cm="1">
        <f t="array" ref="EQ17:EQ19">qmixgamma(EL17:EL19,B6,C6,D6)</f>
        <v>28.339643799588693</v>
      </c>
      <c r="ER17" s="11" cm="1">
        <f t="array" ref="ER17:ER19">qmixllogis(EL17:EL19,B7,C7,D7)</f>
        <v>28.119654661367164</v>
      </c>
      <c r="ES17" s="11" cm="1">
        <f t="array" ref="ES17:ES19">qmixlnorm(EL17:EL19,B8,C8,D8)</f>
        <v>26.994676453413941</v>
      </c>
      <c r="ET17" s="11" cm="1">
        <f t="array" ref="ET17:ET19">qmixgengamma(EL17:EL19,B9,C9,D9,E9)</f>
        <v>27.51861031851795</v>
      </c>
      <c r="EU17" s="11" cm="1">
        <f t="array" ref="EU17:EU19">qmixgengamma_orig(EL17:EL19,B10,C10,D10,E10)</f>
        <v>27.674085903958428</v>
      </c>
      <c r="EV17" s="40" cm="1">
        <f t="array" ref="EV17:EV19">qmixgenf(EL17:EL19,B11,C11,D11,E11,F11)</f>
        <v>27.518045135713272</v>
      </c>
      <c r="EW17" s="11" cm="1">
        <f t="array" ref="EW17:EW19">qmixgenf_orig(EL17:EL19,B12,C12,D12,E12,F12)</f>
        <v>27.434993353851279</v>
      </c>
      <c r="EX17" s="52">
        <v>23.536419249527199</v>
      </c>
      <c r="EY17" s="53">
        <v>28.889483575819</v>
      </c>
      <c r="EZ17" s="53">
        <v>28.889278908782298</v>
      </c>
      <c r="FA17" s="53">
        <v>28.1729370011948</v>
      </c>
      <c r="FB17" s="53">
        <v>28.3396437995887</v>
      </c>
      <c r="FC17" s="53">
        <v>28.1196546613672</v>
      </c>
      <c r="FD17" s="53">
        <v>26.994676453414002</v>
      </c>
      <c r="FE17" s="53">
        <v>27.518615915798801</v>
      </c>
      <c r="FF17" s="53">
        <v>27.674084804379</v>
      </c>
      <c r="FG17" s="53"/>
      <c r="FH17" s="54">
        <v>27.4349949218294</v>
      </c>
      <c r="FI17" t="b">
        <f>ROUND(EM17,3)=ROUND(EX17,3)</f>
        <v>1</v>
      </c>
      <c r="FJ17" t="b">
        <f t="shared" ref="FJ17:FS19" si="14">ROUND(EN17,3)=ROUND(EY17,3)</f>
        <v>1</v>
      </c>
      <c r="FK17" t="b">
        <f t="shared" si="14"/>
        <v>1</v>
      </c>
      <c r="FL17" t="b">
        <f t="shared" si="14"/>
        <v>1</v>
      </c>
      <c r="FM17" t="b">
        <f t="shared" si="14"/>
        <v>1</v>
      </c>
      <c r="FN17" t="b">
        <f t="shared" si="14"/>
        <v>1</v>
      </c>
      <c r="FO17" t="b">
        <f t="shared" si="14"/>
        <v>1</v>
      </c>
      <c r="FP17" t="b">
        <f t="shared" si="14"/>
        <v>1</v>
      </c>
      <c r="FQ17" t="b">
        <f t="shared" si="14"/>
        <v>1</v>
      </c>
      <c r="FR17" t="b">
        <f t="shared" si="14"/>
        <v>0</v>
      </c>
      <c r="FS17" t="b">
        <f t="shared" si="14"/>
        <v>1</v>
      </c>
    </row>
    <row r="18" spans="1:177" x14ac:dyDescent="0.25">
      <c r="A18" s="1">
        <f t="shared" ref="A18:A56" si="15">A17+6</f>
        <v>6</v>
      </c>
      <c r="B18" s="23">
        <v>0.97267535692120399</v>
      </c>
      <c r="C18" s="8">
        <v>0.99068254842763914</v>
      </c>
      <c r="D18" s="8">
        <v>0.99068204344951249</v>
      </c>
      <c r="E18" s="8">
        <v>0.98087367774552625</v>
      </c>
      <c r="F18" s="8">
        <v>0.99260013781371315</v>
      </c>
      <c r="G18" s="8">
        <v>0.99248106399290104</v>
      </c>
      <c r="H18" s="8">
        <v>0.99487495557686989</v>
      </c>
      <c r="I18" s="8">
        <v>0.99406670034537059</v>
      </c>
      <c r="J18" s="8">
        <v>0.99377411262733251</v>
      </c>
      <c r="K18" s="8">
        <v>0.9940679327217834</v>
      </c>
      <c r="L18" s="8">
        <v>0.99420754366719855</v>
      </c>
      <c r="M18" s="32">
        <v>0.97267535692120399</v>
      </c>
      <c r="N18" s="12">
        <v>0.99068254842763903</v>
      </c>
      <c r="O18" s="12">
        <v>0.99068204344951205</v>
      </c>
      <c r="P18" s="12">
        <v>0.98087367774552603</v>
      </c>
      <c r="Q18" s="12">
        <v>0.99260013781371303</v>
      </c>
      <c r="R18" s="12">
        <v>0.99248106399290104</v>
      </c>
      <c r="S18" s="12">
        <v>0.99487495557687</v>
      </c>
      <c r="T18" s="12">
        <v>0.99406670034537004</v>
      </c>
      <c r="U18" s="12">
        <v>0.99377411262733195</v>
      </c>
      <c r="V18" s="12">
        <v>0.99406793272178495</v>
      </c>
      <c r="W18" s="33">
        <v>0.99420754366719899</v>
      </c>
      <c r="X18" t="b">
        <f t="shared" si="0"/>
        <v>1</v>
      </c>
      <c r="Y18" t="b">
        <f t="shared" si="1"/>
        <v>1</v>
      </c>
      <c r="Z18" t="b">
        <f t="shared" si="2"/>
        <v>1</v>
      </c>
      <c r="AA18" t="b">
        <f t="shared" si="3"/>
        <v>1</v>
      </c>
      <c r="AB18" t="b">
        <f t="shared" si="4"/>
        <v>1</v>
      </c>
      <c r="AC18" t="b">
        <f t="shared" si="5"/>
        <v>1</v>
      </c>
      <c r="AD18" t="b">
        <f t="shared" si="6"/>
        <v>1</v>
      </c>
      <c r="AE18" t="b">
        <f t="shared" si="7"/>
        <v>1</v>
      </c>
      <c r="AF18" t="b">
        <f t="shared" si="8"/>
        <v>1</v>
      </c>
      <c r="AG18" t="b">
        <f t="shared" si="9"/>
        <v>1</v>
      </c>
      <c r="AH18" t="b">
        <f t="shared" si="10"/>
        <v>1</v>
      </c>
      <c r="AJ18" s="1">
        <f t="shared" ref="AJ18:AJ57" si="16">AJ17+6</f>
        <v>6</v>
      </c>
      <c r="AK18" s="23">
        <v>2.7704904144229794E-2</v>
      </c>
      <c r="AL18" s="8">
        <v>9.3611305538447657E-3</v>
      </c>
      <c r="AM18" s="8">
        <v>9.3616402814625087E-3</v>
      </c>
      <c r="AN18" s="8">
        <v>1.931159657106403E-2</v>
      </c>
      <c r="AO18" s="8">
        <v>7.4273769876686971E-3</v>
      </c>
      <c r="AP18" s="8">
        <v>7.5473457031515253E-3</v>
      </c>
      <c r="AQ18" s="8">
        <v>5.138222508096096E-3</v>
      </c>
      <c r="AR18" s="8">
        <v>5.950971613716648E-3</v>
      </c>
      <c r="AS18" s="8">
        <v>6.2453490288915175E-3</v>
      </c>
      <c r="AT18" s="8">
        <v>5.9497318823701784E-3</v>
      </c>
      <c r="AU18" s="8">
        <v>5.809297674633381E-3</v>
      </c>
      <c r="AV18" s="32">
        <v>2.7704904144229801E-2</v>
      </c>
      <c r="AW18" s="12">
        <v>9.3611305538447692E-3</v>
      </c>
      <c r="AX18" s="12">
        <v>9.3616402814626198E-3</v>
      </c>
      <c r="AY18" s="12">
        <v>1.9311596571063998E-2</v>
      </c>
      <c r="AZ18" s="12">
        <v>7.4273769876685904E-3</v>
      </c>
      <c r="BA18" s="12">
        <v>7.5473457031514099E-3</v>
      </c>
      <c r="BB18" s="12">
        <v>5.1382225080961004E-3</v>
      </c>
      <c r="BC18" s="12">
        <v>5.9509716137169802E-3</v>
      </c>
      <c r="BD18" s="12">
        <v>6.2453490288917404E-3</v>
      </c>
      <c r="BE18" s="12">
        <v>5.9497318823681696E-3</v>
      </c>
      <c r="BF18" s="33">
        <v>5.8092976746328198E-3</v>
      </c>
      <c r="BG18" s="44" t="b">
        <f>ROUND(AK18,6)=ROUND(AV18,6)</f>
        <v>1</v>
      </c>
      <c r="BH18" t="b">
        <f t="shared" si="11"/>
        <v>1</v>
      </c>
      <c r="BI18" t="b">
        <f t="shared" si="11"/>
        <v>1</v>
      </c>
      <c r="BJ18" t="b">
        <f t="shared" si="11"/>
        <v>1</v>
      </c>
      <c r="BK18" t="b">
        <f t="shared" si="11"/>
        <v>1</v>
      </c>
      <c r="BL18" t="b">
        <f t="shared" si="11"/>
        <v>1</v>
      </c>
      <c r="BM18" t="b">
        <f t="shared" si="11"/>
        <v>1</v>
      </c>
      <c r="BN18" t="b">
        <f t="shared" si="11"/>
        <v>1</v>
      </c>
      <c r="BO18" t="b">
        <f t="shared" si="11"/>
        <v>1</v>
      </c>
      <c r="BP18" t="b">
        <f t="shared" si="11"/>
        <v>1</v>
      </c>
      <c r="BQ18" s="45" t="b">
        <f t="shared" si="11"/>
        <v>1</v>
      </c>
      <c r="BS18" s="1">
        <f t="shared" ref="BS18:BS57" si="17">BS17+6</f>
        <v>6</v>
      </c>
      <c r="BT18" s="23">
        <v>4.5695163165808978E-3</v>
      </c>
      <c r="BU18" s="8">
        <v>2.4784844926738106E-3</v>
      </c>
      <c r="BV18" s="8">
        <v>2.4785777710195946E-3</v>
      </c>
      <c r="BW18" s="8">
        <v>3.3593528776153033E-3</v>
      </c>
      <c r="BX18" s="8">
        <v>2.3124178148451486E-3</v>
      </c>
      <c r="BY18" s="8">
        <v>2.2792885255722658E-3</v>
      </c>
      <c r="BZ18" s="8">
        <v>2.2594116783447851E-3</v>
      </c>
      <c r="CA18" s="8">
        <v>2.2597470616940556E-3</v>
      </c>
      <c r="CB18" s="8">
        <v>2.2701438397657253E-3</v>
      </c>
      <c r="CC18" s="8">
        <v>2.2596856299397314E-3</v>
      </c>
      <c r="CD18" s="8">
        <v>2.2538813409869679E-3</v>
      </c>
      <c r="CE18" s="32">
        <v>4.5695163165809004E-3</v>
      </c>
      <c r="CF18" s="12">
        <v>2.4784844926738102E-3</v>
      </c>
      <c r="CG18" s="12">
        <v>2.4785777710196201E-3</v>
      </c>
      <c r="CH18" s="12">
        <v>3.3593528776152998E-3</v>
      </c>
      <c r="CI18" s="12">
        <v>2.3124178148451499E-3</v>
      </c>
      <c r="CJ18" s="12">
        <v>2.2792885255722602E-3</v>
      </c>
      <c r="CK18" s="12">
        <v>2.2594116783447799E-3</v>
      </c>
      <c r="CL18" s="12">
        <v>2.2597470616940699E-3</v>
      </c>
      <c r="CM18" s="12">
        <v>2.2701438397657401E-3</v>
      </c>
      <c r="CN18" s="12">
        <v>2.2596856299389899E-3</v>
      </c>
      <c r="CO18" s="33">
        <v>2.2538813409867398E-3</v>
      </c>
      <c r="CP18" t="b">
        <f>ROUND(BT18,6)=ROUND(CE18,6)</f>
        <v>1</v>
      </c>
      <c r="CQ18" t="b">
        <f t="shared" si="12"/>
        <v>1</v>
      </c>
      <c r="CR18" t="b">
        <f t="shared" si="12"/>
        <v>1</v>
      </c>
      <c r="CS18" t="b">
        <f t="shared" si="12"/>
        <v>1</v>
      </c>
      <c r="CT18" t="b">
        <f t="shared" si="12"/>
        <v>1</v>
      </c>
      <c r="CU18" t="b">
        <f t="shared" si="12"/>
        <v>1</v>
      </c>
      <c r="CV18" t="b">
        <f t="shared" si="12"/>
        <v>1</v>
      </c>
      <c r="CW18" t="b">
        <f t="shared" si="12"/>
        <v>1</v>
      </c>
      <c r="CX18" t="b">
        <f t="shared" si="12"/>
        <v>1</v>
      </c>
      <c r="CY18" t="b">
        <f t="shared" si="12"/>
        <v>1</v>
      </c>
      <c r="CZ18" t="b">
        <f t="shared" si="12"/>
        <v>1</v>
      </c>
      <c r="DB18" s="73">
        <v>12</v>
      </c>
      <c r="DC18" s="68">
        <v>11.674689177848308</v>
      </c>
      <c r="DD18" s="55">
        <v>11.871027998203084</v>
      </c>
      <c r="DE18" s="55">
        <v>11.871022093492702</v>
      </c>
      <c r="DF18" s="55">
        <v>11.767945726647277</v>
      </c>
      <c r="DG18" s="55">
        <v>11.889346854062838</v>
      </c>
      <c r="DH18" s="55">
        <v>11.888626539618111</v>
      </c>
      <c r="DI18" s="55">
        <v>11.905924675873436</v>
      </c>
      <c r="DJ18" s="55">
        <v>11.900907906862768</v>
      </c>
      <c r="DK18" s="55">
        <v>11.898708932042966</v>
      </c>
      <c r="DL18" s="55">
        <v>11.900916296725295</v>
      </c>
      <c r="DM18" s="55">
        <v>11.901934772536022</v>
      </c>
      <c r="DN18" s="88">
        <v>11.674689159415999</v>
      </c>
      <c r="DO18" s="89">
        <v>11.8710281488099</v>
      </c>
      <c r="DP18" s="89">
        <v>11.8710222441019</v>
      </c>
      <c r="DQ18" s="89">
        <v>11.767945744676499</v>
      </c>
      <c r="DR18" s="89">
        <v>11.8893470127139</v>
      </c>
      <c r="DS18" s="89">
        <v>11.8886266977453</v>
      </c>
      <c r="DT18" s="89">
        <v>11.9059248602794</v>
      </c>
      <c r="DU18" s="89">
        <v>11.900908079759599</v>
      </c>
      <c r="DV18" s="89">
        <v>11.8987091018539</v>
      </c>
      <c r="DW18" s="89">
        <v>11.9009164696393</v>
      </c>
      <c r="DX18" s="90">
        <v>11.901934947064399</v>
      </c>
      <c r="DY18" s="44" t="b">
        <f t="shared" ref="DY18:DY23" si="18">ROUND(DC18,4)=ROUND(DN18,4)</f>
        <v>1</v>
      </c>
      <c r="DZ18" t="b">
        <f t="shared" si="13"/>
        <v>1</v>
      </c>
      <c r="EA18" t="b">
        <f t="shared" si="13"/>
        <v>1</v>
      </c>
      <c r="EB18" t="b">
        <f t="shared" si="13"/>
        <v>1</v>
      </c>
      <c r="EC18" t="b">
        <f t="shared" si="13"/>
        <v>1</v>
      </c>
      <c r="ED18" t="b">
        <f t="shared" si="13"/>
        <v>1</v>
      </c>
      <c r="EE18" t="b">
        <f t="shared" si="13"/>
        <v>1</v>
      </c>
      <c r="EF18" t="b">
        <f t="shared" si="13"/>
        <v>1</v>
      </c>
      <c r="EG18" t="b">
        <f t="shared" si="13"/>
        <v>1</v>
      </c>
      <c r="EH18" t="b">
        <f t="shared" si="13"/>
        <v>1</v>
      </c>
      <c r="EI18" s="45" t="b">
        <f t="shared" si="13"/>
        <v>1</v>
      </c>
      <c r="EL18" s="1">
        <f>EL17+0.1</f>
        <v>0.2</v>
      </c>
      <c r="EM18" s="39">
        <v>52.62238080831753</v>
      </c>
      <c r="EN18" s="11">
        <v>51.039635770399613</v>
      </c>
      <c r="EO18" s="11">
        <v>51.039944461842438</v>
      </c>
      <c r="EP18" s="11">
        <v>52.892398848344392</v>
      </c>
      <c r="EQ18" s="11">
        <v>50.376991921281999</v>
      </c>
      <c r="ER18" s="11">
        <v>50.119879750226772</v>
      </c>
      <c r="ES18" s="11">
        <v>50.093246516970105</v>
      </c>
      <c r="ET18" s="11">
        <v>50.038701468989871</v>
      </c>
      <c r="EU18" s="11">
        <v>50.058921588908049</v>
      </c>
      <c r="EV18" s="11">
        <v>50.04140055946057</v>
      </c>
      <c r="EW18" s="11">
        <v>50.031606627326958</v>
      </c>
      <c r="EX18" s="52">
        <v>52.622380808317502</v>
      </c>
      <c r="EY18" s="53">
        <v>51.039635770399698</v>
      </c>
      <c r="EZ18" s="53">
        <v>51.039944461841898</v>
      </c>
      <c r="FA18" s="53">
        <v>52.892398848344399</v>
      </c>
      <c r="FB18" s="53">
        <v>50.376991921281999</v>
      </c>
      <c r="FC18" s="53">
        <v>50.119879750226701</v>
      </c>
      <c r="FD18" s="53">
        <v>50.093246516970098</v>
      </c>
      <c r="FE18" s="53">
        <v>50.038702730420901</v>
      </c>
      <c r="FF18" s="53">
        <v>50.058928513507801</v>
      </c>
      <c r="FG18" s="53"/>
      <c r="FH18" s="54">
        <v>50.031603514815998</v>
      </c>
      <c r="FI18" t="b">
        <f t="shared" ref="FI18:FI19" si="19">ROUND(EM18,3)=ROUND(EX18,3)</f>
        <v>1</v>
      </c>
      <c r="FJ18" t="b">
        <f t="shared" si="14"/>
        <v>1</v>
      </c>
      <c r="FK18" t="b">
        <f t="shared" si="14"/>
        <v>1</v>
      </c>
      <c r="FL18" t="b">
        <f t="shared" si="14"/>
        <v>1</v>
      </c>
      <c r="FM18" t="b">
        <f t="shared" si="14"/>
        <v>1</v>
      </c>
      <c r="FN18" t="b">
        <f t="shared" si="14"/>
        <v>1</v>
      </c>
      <c r="FO18" t="b">
        <f t="shared" si="14"/>
        <v>1</v>
      </c>
      <c r="FP18" t="b">
        <f t="shared" si="14"/>
        <v>1</v>
      </c>
      <c r="FQ18" t="b">
        <f t="shared" si="14"/>
        <v>1</v>
      </c>
      <c r="FR18" t="b">
        <f t="shared" si="14"/>
        <v>0</v>
      </c>
      <c r="FS18" t="b">
        <f t="shared" si="14"/>
        <v>1</v>
      </c>
    </row>
    <row r="19" spans="1:177" x14ac:dyDescent="0.25">
      <c r="A19" s="1">
        <f t="shared" si="15"/>
        <v>12</v>
      </c>
      <c r="B19" s="23">
        <v>0.9466432525397156</v>
      </c>
      <c r="C19" s="8">
        <v>0.9724514898672838</v>
      </c>
      <c r="D19" s="8">
        <v>0.97245052297356949</v>
      </c>
      <c r="E19" s="8">
        <v>0.96047949868664118</v>
      </c>
      <c r="F19" s="8">
        <v>0.97421547757980687</v>
      </c>
      <c r="G19" s="8">
        <v>0.97429671877301038</v>
      </c>
      <c r="H19" s="8">
        <v>0.97436638330445413</v>
      </c>
      <c r="I19" s="8">
        <v>0.97460786127895427</v>
      </c>
      <c r="J19" s="8">
        <v>0.97455774954926733</v>
      </c>
      <c r="K19" s="8">
        <v>0.97460776888889122</v>
      </c>
      <c r="L19" s="8">
        <v>0.97462233412755861</v>
      </c>
      <c r="M19" s="32">
        <v>0.94664325253971504</v>
      </c>
      <c r="N19" s="12">
        <v>0.97245148986728402</v>
      </c>
      <c r="O19" s="12">
        <v>0.97245052297356904</v>
      </c>
      <c r="P19" s="12">
        <v>0.96047949868664095</v>
      </c>
      <c r="Q19" s="12">
        <v>0.97421547757980698</v>
      </c>
      <c r="R19" s="12">
        <v>0.97429671877301005</v>
      </c>
      <c r="S19" s="12">
        <v>0.97436638330445402</v>
      </c>
      <c r="T19" s="12">
        <v>0.97460786127895305</v>
      </c>
      <c r="U19" s="12">
        <v>0.97455774954926599</v>
      </c>
      <c r="V19" s="12">
        <v>0.974607768888897</v>
      </c>
      <c r="W19" s="33">
        <v>0.97462233412756105</v>
      </c>
      <c r="X19" t="b">
        <f t="shared" si="0"/>
        <v>1</v>
      </c>
      <c r="Y19" t="b">
        <f t="shared" si="1"/>
        <v>1</v>
      </c>
      <c r="Z19" t="b">
        <f t="shared" si="2"/>
        <v>1</v>
      </c>
      <c r="AA19" t="b">
        <f t="shared" si="3"/>
        <v>1</v>
      </c>
      <c r="AB19" t="b">
        <f t="shared" si="4"/>
        <v>1</v>
      </c>
      <c r="AC19" t="b">
        <f t="shared" si="5"/>
        <v>1</v>
      </c>
      <c r="AD19" t="b">
        <f t="shared" si="6"/>
        <v>1</v>
      </c>
      <c r="AE19" t="b">
        <f t="shared" si="7"/>
        <v>1</v>
      </c>
      <c r="AF19" t="b">
        <f t="shared" si="8"/>
        <v>1</v>
      </c>
      <c r="AG19" t="b">
        <f t="shared" si="9"/>
        <v>1</v>
      </c>
      <c r="AH19" t="b">
        <f t="shared" si="10"/>
        <v>1</v>
      </c>
      <c r="AJ19" s="1">
        <f t="shared" si="16"/>
        <v>12</v>
      </c>
      <c r="AK19" s="23">
        <v>5.4832970033561253E-2</v>
      </c>
      <c r="AL19" s="8">
        <v>2.7935086618219349E-2</v>
      </c>
      <c r="AM19" s="8">
        <v>2.7936080903492262E-2</v>
      </c>
      <c r="AN19" s="8">
        <v>4.0322641419185512E-2</v>
      </c>
      <c r="AO19" s="8">
        <v>2.612277025919351E-2</v>
      </c>
      <c r="AP19" s="8">
        <v>2.6039382335420018E-2</v>
      </c>
      <c r="AQ19" s="8">
        <v>2.5967882514441053E-2</v>
      </c>
      <c r="AR19" s="8">
        <v>2.5720082445859428E-2</v>
      </c>
      <c r="AS19" s="8">
        <v>2.5771501093325395E-2</v>
      </c>
      <c r="AT19" s="8">
        <v>2.5720177243029749E-2</v>
      </c>
      <c r="AU19" s="8">
        <v>2.5705232636289769E-2</v>
      </c>
      <c r="AV19" s="32">
        <v>5.4832970033561398E-2</v>
      </c>
      <c r="AW19" s="12">
        <v>2.79350866182193E-2</v>
      </c>
      <c r="AX19" s="12">
        <v>2.7936080903492599E-2</v>
      </c>
      <c r="AY19" s="12">
        <v>4.0322641419185498E-2</v>
      </c>
      <c r="AZ19" s="12">
        <v>2.61227702591935E-2</v>
      </c>
      <c r="BA19" s="12">
        <v>2.60393823354199E-2</v>
      </c>
      <c r="BB19" s="12">
        <v>2.5967882514440901E-2</v>
      </c>
      <c r="BC19" s="12">
        <v>2.57200824458605E-2</v>
      </c>
      <c r="BD19" s="12">
        <v>2.5771501093326401E-2</v>
      </c>
      <c r="BE19" s="12">
        <v>2.5720177243024299E-2</v>
      </c>
      <c r="BF19" s="33">
        <v>2.57052326362875E-2</v>
      </c>
      <c r="BG19" s="44" t="b">
        <f t="shared" ref="BG19:BL57" si="20">ROUND(AK19,6)=ROUND(AV19,6)</f>
        <v>1</v>
      </c>
      <c r="BH19" t="b">
        <f t="shared" si="11"/>
        <v>1</v>
      </c>
      <c r="BI19" t="b">
        <f t="shared" si="11"/>
        <v>1</v>
      </c>
      <c r="BJ19" t="b">
        <f t="shared" si="11"/>
        <v>1</v>
      </c>
      <c r="BK19" t="b">
        <f t="shared" si="11"/>
        <v>1</v>
      </c>
      <c r="BL19" t="b">
        <f t="shared" si="11"/>
        <v>1</v>
      </c>
      <c r="BM19" t="b">
        <f t="shared" si="11"/>
        <v>1</v>
      </c>
      <c r="BN19" t="b">
        <f t="shared" si="11"/>
        <v>1</v>
      </c>
      <c r="BO19" t="b">
        <f t="shared" si="11"/>
        <v>1</v>
      </c>
      <c r="BP19" t="b">
        <f t="shared" si="11"/>
        <v>1</v>
      </c>
      <c r="BQ19" s="45" t="b">
        <f t="shared" si="11"/>
        <v>1</v>
      </c>
      <c r="BS19" s="1">
        <f t="shared" si="17"/>
        <v>12</v>
      </c>
      <c r="BT19" s="23">
        <v>4.4730791290760749E-3</v>
      </c>
      <c r="BU19" s="8">
        <v>3.63391298789198E-3</v>
      </c>
      <c r="BV19" s="8">
        <v>3.6339775477270218E-3</v>
      </c>
      <c r="BW19" s="8">
        <v>3.644697678154007E-3</v>
      </c>
      <c r="BX19" s="8">
        <v>3.8072753710685558E-3</v>
      </c>
      <c r="BY19" s="8">
        <v>3.7953178017027817E-3</v>
      </c>
      <c r="BZ19" s="8">
        <v>4.4246538881453443E-3</v>
      </c>
      <c r="CA19" s="8">
        <v>4.1474738521900274E-3</v>
      </c>
      <c r="CB19" s="8">
        <v>4.0736486346537384E-3</v>
      </c>
      <c r="CC19" s="8">
        <v>4.147885554747769E-3</v>
      </c>
      <c r="CD19" s="8">
        <v>4.1865500034669965E-3</v>
      </c>
      <c r="CE19" s="32">
        <v>4.4730791290760697E-3</v>
      </c>
      <c r="CF19" s="12">
        <v>3.63391298789198E-3</v>
      </c>
      <c r="CG19" s="12">
        <v>3.6339775477270699E-3</v>
      </c>
      <c r="CH19" s="12">
        <v>3.6446976781540001E-3</v>
      </c>
      <c r="CI19" s="12">
        <v>3.8072753710685601E-3</v>
      </c>
      <c r="CJ19" s="12">
        <v>3.79531780170277E-3</v>
      </c>
      <c r="CK19" s="12">
        <v>4.42465388814534E-3</v>
      </c>
      <c r="CL19" s="12">
        <v>4.1474738521900404E-3</v>
      </c>
      <c r="CM19" s="12">
        <v>4.0736486346537697E-3</v>
      </c>
      <c r="CN19" s="12">
        <v>4.1478855547464801E-3</v>
      </c>
      <c r="CO19" s="33">
        <v>4.1865500034665897E-3</v>
      </c>
      <c r="CP19" t="b">
        <f t="shared" ref="CP19:CU57" si="21">ROUND(BT19,6)=ROUND(CE19,6)</f>
        <v>1</v>
      </c>
      <c r="CQ19" t="b">
        <f t="shared" si="12"/>
        <v>1</v>
      </c>
      <c r="CR19" t="b">
        <f t="shared" si="12"/>
        <v>1</v>
      </c>
      <c r="CS19" t="b">
        <f t="shared" si="12"/>
        <v>1</v>
      </c>
      <c r="CT19" t="b">
        <f t="shared" si="12"/>
        <v>1</v>
      </c>
      <c r="CU19" t="b">
        <f t="shared" si="12"/>
        <v>1</v>
      </c>
      <c r="CV19" t="b">
        <f t="shared" si="12"/>
        <v>1</v>
      </c>
      <c r="CW19" t="b">
        <f t="shared" si="12"/>
        <v>1</v>
      </c>
      <c r="CX19" t="b">
        <f t="shared" si="12"/>
        <v>1</v>
      </c>
      <c r="CY19" t="b">
        <f t="shared" si="12"/>
        <v>1</v>
      </c>
      <c r="CZ19" t="b">
        <f t="shared" si="12"/>
        <v>1</v>
      </c>
      <c r="DB19" s="73">
        <v>24</v>
      </c>
      <c r="DC19" s="68">
        <v>22.73914597281399</v>
      </c>
      <c r="DD19" s="55">
        <v>23.254119876515261</v>
      </c>
      <c r="DE19" s="55">
        <v>23.254100147700168</v>
      </c>
      <c r="DF19" s="55">
        <v>23.032645278736066</v>
      </c>
      <c r="DG19" s="55">
        <v>23.274939448453413</v>
      </c>
      <c r="DH19" s="55">
        <v>23.272344235595334</v>
      </c>
      <c r="DI19" s="55">
        <v>23.251703256990108</v>
      </c>
      <c r="DJ19" s="55">
        <v>23.26615434367692</v>
      </c>
      <c r="DK19" s="55">
        <v>23.268413787468099</v>
      </c>
      <c r="DL19" s="55">
        <v>23.266136672159313</v>
      </c>
      <c r="DM19" s="55">
        <v>23.264680386068868</v>
      </c>
      <c r="DN19" s="88">
        <v>22.739145832165399</v>
      </c>
      <c r="DO19" s="89">
        <v>23.254120030153999</v>
      </c>
      <c r="DP19" s="89">
        <v>23.2541003013379</v>
      </c>
      <c r="DQ19" s="89">
        <v>23.032645410730499</v>
      </c>
      <c r="DR19" s="89">
        <v>23.274939611821999</v>
      </c>
      <c r="DS19" s="89">
        <v>23.272344402532799</v>
      </c>
      <c r="DT19" s="89">
        <v>23.2517034293016</v>
      </c>
      <c r="DU19" s="89">
        <v>23.266154513949999</v>
      </c>
      <c r="DV19" s="89">
        <v>23.268413956656602</v>
      </c>
      <c r="DW19" s="89">
        <v>23.266136842432001</v>
      </c>
      <c r="DX19" s="90">
        <v>23.264680556898998</v>
      </c>
      <c r="DY19" s="44" t="b">
        <f t="shared" si="18"/>
        <v>1</v>
      </c>
      <c r="DZ19" t="b">
        <f t="shared" si="13"/>
        <v>1</v>
      </c>
      <c r="EA19" t="b">
        <f t="shared" si="13"/>
        <v>1</v>
      </c>
      <c r="EB19" t="b">
        <f t="shared" si="13"/>
        <v>1</v>
      </c>
      <c r="EC19" t="b">
        <f t="shared" si="13"/>
        <v>1</v>
      </c>
      <c r="ED19" t="b">
        <f t="shared" si="13"/>
        <v>1</v>
      </c>
      <c r="EE19" t="b">
        <f t="shared" si="13"/>
        <v>1</v>
      </c>
      <c r="EF19" t="b">
        <f t="shared" si="13"/>
        <v>1</v>
      </c>
      <c r="EG19" t="b">
        <f t="shared" si="13"/>
        <v>1</v>
      </c>
      <c r="EH19" t="b">
        <f t="shared" si="13"/>
        <v>1</v>
      </c>
      <c r="EI19" s="45" t="b">
        <f t="shared" si="13"/>
        <v>1</v>
      </c>
      <c r="EL19" s="1">
        <f t="shared" ref="EL19" si="22">EL18+0.1</f>
        <v>0.30000000000000004</v>
      </c>
      <c r="EM19" s="39">
        <v>90.709349882042204</v>
      </c>
      <c r="EN19" s="11">
        <v>83.480714962749389</v>
      </c>
      <c r="EO19" s="11">
        <v>83.483014423464482</v>
      </c>
      <c r="EP19" s="11">
        <v>82.321099622423574</v>
      </c>
      <c r="EQ19" s="11">
        <v>84.737025740489059</v>
      </c>
      <c r="ER19" s="11">
        <v>86.199530015437276</v>
      </c>
      <c r="ES19" s="11">
        <v>87.630622448204804</v>
      </c>
      <c r="ET19" s="11">
        <v>86.463380592787757</v>
      </c>
      <c r="EU19" s="11">
        <v>86.040760248328496</v>
      </c>
      <c r="EV19" s="11">
        <v>86.474866559652369</v>
      </c>
      <c r="EW19" s="11">
        <v>86.707148713274563</v>
      </c>
      <c r="EX19" s="52">
        <v>90.709349882042204</v>
      </c>
      <c r="EY19" s="53">
        <v>83.480714962749602</v>
      </c>
      <c r="EZ19" s="53">
        <v>83.483014423463501</v>
      </c>
      <c r="FA19" s="53">
        <v>82.321099622423603</v>
      </c>
      <c r="FB19" s="53">
        <v>84.737025740489102</v>
      </c>
      <c r="FC19" s="53">
        <v>86.199530015437205</v>
      </c>
      <c r="FD19" s="53">
        <v>87.630622448204903</v>
      </c>
      <c r="FE19" s="53">
        <v>86.463360532984495</v>
      </c>
      <c r="FF19" s="53">
        <v>86.040758668517398</v>
      </c>
      <c r="FG19" s="53"/>
      <c r="FH19" s="54">
        <v>86.707152752368501</v>
      </c>
      <c r="FI19" t="b">
        <f t="shared" si="19"/>
        <v>1</v>
      </c>
      <c r="FJ19" t="b">
        <f t="shared" si="14"/>
        <v>1</v>
      </c>
      <c r="FK19" t="b">
        <f t="shared" si="14"/>
        <v>1</v>
      </c>
      <c r="FL19" t="b">
        <f t="shared" si="14"/>
        <v>1</v>
      </c>
      <c r="FM19" t="b">
        <f t="shared" si="14"/>
        <v>1</v>
      </c>
      <c r="FN19" t="b">
        <f t="shared" si="14"/>
        <v>1</v>
      </c>
      <c r="FO19" t="b">
        <f t="shared" si="14"/>
        <v>1</v>
      </c>
      <c r="FP19" t="b">
        <f t="shared" si="14"/>
        <v>1</v>
      </c>
      <c r="FQ19" t="b">
        <f t="shared" si="14"/>
        <v>1</v>
      </c>
      <c r="FR19" t="b">
        <f t="shared" si="14"/>
        <v>0</v>
      </c>
      <c r="FS19" t="b">
        <f t="shared" si="14"/>
        <v>1</v>
      </c>
    </row>
    <row r="20" spans="1:177" x14ac:dyDescent="0.25">
      <c r="A20" s="1">
        <f t="shared" si="15"/>
        <v>18</v>
      </c>
      <c r="B20" s="23">
        <v>0.9218425458452304</v>
      </c>
      <c r="C20" s="8">
        <v>0.94909661809878831</v>
      </c>
      <c r="D20" s="8">
        <v>0.9490954226102839</v>
      </c>
      <c r="E20" s="8">
        <v>0.93890097488583224</v>
      </c>
      <c r="F20" s="8">
        <v>0.94934513735032189</v>
      </c>
      <c r="G20" s="8">
        <v>0.94925380825710104</v>
      </c>
      <c r="H20" s="8">
        <v>0.94581702951578261</v>
      </c>
      <c r="I20" s="8">
        <v>0.9475638557097219</v>
      </c>
      <c r="J20" s="8">
        <v>0.94796067270314055</v>
      </c>
      <c r="K20" s="8">
        <v>0.94756143467186926</v>
      </c>
      <c r="L20" s="8">
        <v>0.94734175003254251</v>
      </c>
      <c r="M20" s="32">
        <v>0.92184254584522995</v>
      </c>
      <c r="N20" s="12">
        <v>0.94909661809878798</v>
      </c>
      <c r="O20" s="12">
        <v>0.94909542261028301</v>
      </c>
      <c r="P20" s="12">
        <v>0.93890097488583202</v>
      </c>
      <c r="Q20" s="12">
        <v>0.949345137350322</v>
      </c>
      <c r="R20" s="12">
        <v>0.94925380825710104</v>
      </c>
      <c r="S20" s="12">
        <v>0.94581702951578295</v>
      </c>
      <c r="T20" s="12">
        <v>0.94756385570971102</v>
      </c>
      <c r="U20" s="12">
        <v>0.947960672703139</v>
      </c>
      <c r="V20" s="12">
        <v>0.94756143467188303</v>
      </c>
      <c r="W20" s="33">
        <v>0.94734175003255106</v>
      </c>
      <c r="X20" t="b">
        <f t="shared" si="0"/>
        <v>1</v>
      </c>
      <c r="Y20" t="b">
        <f t="shared" si="1"/>
        <v>1</v>
      </c>
      <c r="Z20" t="b">
        <f t="shared" si="2"/>
        <v>1</v>
      </c>
      <c r="AA20" t="b">
        <f t="shared" si="3"/>
        <v>1</v>
      </c>
      <c r="AB20" t="b">
        <f t="shared" si="4"/>
        <v>1</v>
      </c>
      <c r="AC20" t="b">
        <f t="shared" si="5"/>
        <v>1</v>
      </c>
      <c r="AD20" t="b">
        <f t="shared" si="6"/>
        <v>1</v>
      </c>
      <c r="AE20" t="b">
        <f t="shared" si="7"/>
        <v>1</v>
      </c>
      <c r="AF20" t="b">
        <f t="shared" si="8"/>
        <v>1</v>
      </c>
      <c r="AG20" t="b">
        <f t="shared" si="9"/>
        <v>1</v>
      </c>
      <c r="AH20" t="b">
        <f t="shared" si="10"/>
        <v>1</v>
      </c>
      <c r="AJ20" s="1">
        <f t="shared" si="16"/>
        <v>18</v>
      </c>
      <c r="AK20" s="23">
        <v>8.1380844580514325E-2</v>
      </c>
      <c r="AL20" s="8">
        <v>5.2244675123782433E-2</v>
      </c>
      <c r="AM20" s="8">
        <v>5.2245934731323482E-2</v>
      </c>
      <c r="AN20" s="8">
        <v>6.3045263390522577E-2</v>
      </c>
      <c r="AO20" s="8">
        <v>5.1982861189022685E-2</v>
      </c>
      <c r="AP20" s="8">
        <v>5.2079068019330467E-2</v>
      </c>
      <c r="AQ20" s="8">
        <v>5.5706143525509504E-2</v>
      </c>
      <c r="AR20" s="8">
        <v>5.3860950407533192E-2</v>
      </c>
      <c r="AS20" s="8">
        <v>5.3442262077978586E-2</v>
      </c>
      <c r="AT20" s="8">
        <v>5.3863505423673734E-2</v>
      </c>
      <c r="AU20" s="8">
        <v>5.4095374409999043E-2</v>
      </c>
      <c r="AV20" s="32">
        <v>8.1380844580514297E-2</v>
      </c>
      <c r="AW20" s="12">
        <v>5.2244675123782398E-2</v>
      </c>
      <c r="AX20" s="12">
        <v>5.2245934731324203E-2</v>
      </c>
      <c r="AY20" s="12">
        <v>6.3045263390522605E-2</v>
      </c>
      <c r="AZ20" s="12">
        <v>5.1982861189022699E-2</v>
      </c>
      <c r="BA20" s="12">
        <v>5.20790680193303E-2</v>
      </c>
      <c r="BB20" s="12">
        <v>5.57061435255094E-2</v>
      </c>
      <c r="BC20" s="12">
        <v>5.3860950407544399E-2</v>
      </c>
      <c r="BD20" s="12">
        <v>5.3442262077980002E-2</v>
      </c>
      <c r="BE20" s="12">
        <v>5.3863505423658697E-2</v>
      </c>
      <c r="BF20" s="33">
        <v>5.4095374409989898E-2</v>
      </c>
      <c r="BG20" s="44" t="b">
        <f t="shared" si="20"/>
        <v>1</v>
      </c>
      <c r="BH20" t="b">
        <f t="shared" si="11"/>
        <v>1</v>
      </c>
      <c r="BI20" t="b">
        <f t="shared" si="11"/>
        <v>1</v>
      </c>
      <c r="BJ20" t="b">
        <f t="shared" si="11"/>
        <v>1</v>
      </c>
      <c r="BK20" t="b">
        <f t="shared" si="11"/>
        <v>1</v>
      </c>
      <c r="BL20" t="b">
        <f t="shared" si="11"/>
        <v>1</v>
      </c>
      <c r="BM20" t="b">
        <f t="shared" si="11"/>
        <v>1</v>
      </c>
      <c r="BN20" t="b">
        <f t="shared" si="11"/>
        <v>1</v>
      </c>
      <c r="BO20" t="b">
        <f t="shared" si="11"/>
        <v>1</v>
      </c>
      <c r="BP20" t="b">
        <f t="shared" si="11"/>
        <v>1</v>
      </c>
      <c r="BQ20" s="45" t="b">
        <f t="shared" si="11"/>
        <v>1</v>
      </c>
      <c r="BS20" s="1">
        <f t="shared" si="17"/>
        <v>18</v>
      </c>
      <c r="BT20" s="23">
        <v>4.3761374628521321E-3</v>
      </c>
      <c r="BU20" s="8">
        <v>4.420125262556876E-3</v>
      </c>
      <c r="BV20" s="8">
        <v>4.4201480701344109E-3</v>
      </c>
      <c r="BW20" s="8">
        <v>3.9286212990841517E-3</v>
      </c>
      <c r="BX20" s="8">
        <v>4.733414488480755E-3</v>
      </c>
      <c r="BY20" s="8">
        <v>4.8049032109815856E-3</v>
      </c>
      <c r="BZ20" s="8">
        <v>5.334415260104107E-3</v>
      </c>
      <c r="CA20" s="8">
        <v>5.1099979531691112E-3</v>
      </c>
      <c r="CB20" s="8">
        <v>5.03661376179808E-3</v>
      </c>
      <c r="CC20" s="8">
        <v>5.1103350317769428E-3</v>
      </c>
      <c r="CD20" s="8">
        <v>5.1488448459030521E-3</v>
      </c>
      <c r="CE20" s="32">
        <v>4.3761374628521303E-3</v>
      </c>
      <c r="CF20" s="12">
        <v>4.4201252625568699E-3</v>
      </c>
      <c r="CG20" s="12">
        <v>4.4201480701344699E-3</v>
      </c>
      <c r="CH20" s="12">
        <v>3.92862129908415E-3</v>
      </c>
      <c r="CI20" s="12">
        <v>4.7334144884807602E-3</v>
      </c>
      <c r="CJ20" s="12">
        <v>4.8049032109815804E-3</v>
      </c>
      <c r="CK20" s="12">
        <v>5.3344152601041001E-3</v>
      </c>
      <c r="CL20" s="12">
        <v>5.1099979531691797E-3</v>
      </c>
      <c r="CM20" s="12">
        <v>5.0366137617981104E-3</v>
      </c>
      <c r="CN20" s="12">
        <v>5.1103350317753199E-3</v>
      </c>
      <c r="CO20" s="33">
        <v>5.1488448459025699E-3</v>
      </c>
      <c r="CP20" t="b">
        <f t="shared" si="21"/>
        <v>1</v>
      </c>
      <c r="CQ20" t="b">
        <f t="shared" si="12"/>
        <v>1</v>
      </c>
      <c r="CR20" t="b">
        <f t="shared" si="12"/>
        <v>1</v>
      </c>
      <c r="CS20" t="b">
        <f t="shared" si="12"/>
        <v>1</v>
      </c>
      <c r="CT20" t="b">
        <f t="shared" si="12"/>
        <v>1</v>
      </c>
      <c r="CU20" t="b">
        <f t="shared" si="12"/>
        <v>1</v>
      </c>
      <c r="CV20" t="b">
        <f t="shared" si="12"/>
        <v>1</v>
      </c>
      <c r="CW20" t="b">
        <f t="shared" si="12"/>
        <v>1</v>
      </c>
      <c r="CX20" t="b">
        <f t="shared" si="12"/>
        <v>1</v>
      </c>
      <c r="CY20" t="b">
        <f t="shared" si="12"/>
        <v>1</v>
      </c>
      <c r="CZ20" t="b">
        <f t="shared" si="12"/>
        <v>1</v>
      </c>
      <c r="DB20" s="73">
        <v>36</v>
      </c>
      <c r="DC20" s="68">
        <v>33.249736739568341</v>
      </c>
      <c r="DD20" s="55">
        <v>33.990863994146622</v>
      </c>
      <c r="DE20" s="55">
        <v>33.990833922006978</v>
      </c>
      <c r="DF20" s="55">
        <v>33.744532560184666</v>
      </c>
      <c r="DG20" s="55">
        <v>33.978258029458146</v>
      </c>
      <c r="DH20" s="55">
        <v>33.961100896339815</v>
      </c>
      <c r="DI20" s="55">
        <v>33.877418163139836</v>
      </c>
      <c r="DJ20" s="55">
        <v>33.921067327821099</v>
      </c>
      <c r="DK20" s="55">
        <v>33.932349580504201</v>
      </c>
      <c r="DL20" s="55">
        <v>33.92102680553851</v>
      </c>
      <c r="DM20" s="55">
        <v>33.914746802608356</v>
      </c>
      <c r="DN20" s="88">
        <v>33.249736286448901</v>
      </c>
      <c r="DO20" s="89">
        <v>33.990864347928202</v>
      </c>
      <c r="DP20" s="89">
        <v>33.990834275781197</v>
      </c>
      <c r="DQ20" s="89">
        <v>33.744532937933002</v>
      </c>
      <c r="DR20" s="89">
        <v>33.978258388952597</v>
      </c>
      <c r="DS20" s="89">
        <v>33.9611012581734</v>
      </c>
      <c r="DT20" s="89">
        <v>33.877418505269198</v>
      </c>
      <c r="DU20" s="89">
        <v>33.921067679656502</v>
      </c>
      <c r="DV20" s="89">
        <v>33.932349934564598</v>
      </c>
      <c r="DW20" s="89">
        <v>33.921027157331203</v>
      </c>
      <c r="DX20" s="90">
        <v>33.914747153190199</v>
      </c>
      <c r="DY20" s="44" t="b">
        <f t="shared" si="18"/>
        <v>1</v>
      </c>
      <c r="DZ20" t="b">
        <f t="shared" si="13"/>
        <v>1</v>
      </c>
      <c r="EA20" t="b">
        <f t="shared" si="13"/>
        <v>1</v>
      </c>
      <c r="EB20" t="b">
        <f t="shared" si="13"/>
        <v>1</v>
      </c>
      <c r="EC20" t="b">
        <f t="shared" si="13"/>
        <v>1</v>
      </c>
      <c r="ED20" t="b">
        <f t="shared" si="13"/>
        <v>1</v>
      </c>
      <c r="EE20" t="b">
        <f t="shared" si="13"/>
        <v>1</v>
      </c>
      <c r="EF20" t="b">
        <f t="shared" si="13"/>
        <v>1</v>
      </c>
      <c r="EG20" t="b">
        <f t="shared" si="13"/>
        <v>1</v>
      </c>
      <c r="EH20" t="b">
        <f t="shared" si="13"/>
        <v>1</v>
      </c>
      <c r="EI20" s="45" t="b">
        <f t="shared" si="13"/>
        <v>1</v>
      </c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</row>
    <row r="21" spans="1:177" x14ac:dyDescent="0.25">
      <c r="A21" s="1">
        <f t="shared" si="15"/>
        <v>24</v>
      </c>
      <c r="B21" s="23">
        <v>0.89821498798312904</v>
      </c>
      <c r="C21" s="8">
        <v>0.92269186900842814</v>
      </c>
      <c r="D21" s="8">
        <v>0.92269070438613487</v>
      </c>
      <c r="E21" s="8">
        <v>0.91626818267144017</v>
      </c>
      <c r="F21" s="8">
        <v>0.92116786198718081</v>
      </c>
      <c r="G21" s="8">
        <v>0.92052446871468196</v>
      </c>
      <c r="H21" s="8">
        <v>0.91515130184193283</v>
      </c>
      <c r="I21" s="8">
        <v>0.91769066334950511</v>
      </c>
      <c r="J21" s="8">
        <v>0.91839173157909026</v>
      </c>
      <c r="K21" s="8">
        <v>0.91768734327881329</v>
      </c>
      <c r="L21" s="8">
        <v>0.91730927301078002</v>
      </c>
      <c r="M21" s="32">
        <v>0.89821498798312904</v>
      </c>
      <c r="N21" s="12">
        <v>0.92269186900842803</v>
      </c>
      <c r="O21" s="12">
        <v>0.92269070438613399</v>
      </c>
      <c r="P21" s="12">
        <v>0.91626818267143995</v>
      </c>
      <c r="Q21" s="12">
        <v>0.92116786198718104</v>
      </c>
      <c r="R21" s="12">
        <v>0.92052446871468196</v>
      </c>
      <c r="S21" s="12">
        <v>0.91515130184193305</v>
      </c>
      <c r="T21" s="12">
        <v>0.917690663349498</v>
      </c>
      <c r="U21" s="12">
        <v>0.91839173157908605</v>
      </c>
      <c r="V21" s="12">
        <v>0.91768734327884904</v>
      </c>
      <c r="W21" s="33">
        <v>0.91730927301078602</v>
      </c>
      <c r="X21" t="b">
        <f t="shared" si="0"/>
        <v>1</v>
      </c>
      <c r="Y21" t="b">
        <f t="shared" si="1"/>
        <v>1</v>
      </c>
      <c r="Z21" t="b">
        <f t="shared" si="2"/>
        <v>1</v>
      </c>
      <c r="AA21" t="b">
        <f t="shared" si="3"/>
        <v>1</v>
      </c>
      <c r="AB21" t="b">
        <f t="shared" si="4"/>
        <v>1</v>
      </c>
      <c r="AC21" t="b">
        <f t="shared" si="5"/>
        <v>1</v>
      </c>
      <c r="AD21" t="b">
        <f t="shared" si="6"/>
        <v>1</v>
      </c>
      <c r="AE21" t="b">
        <f t="shared" si="7"/>
        <v>1</v>
      </c>
      <c r="AF21" t="b">
        <f t="shared" si="8"/>
        <v>1</v>
      </c>
      <c r="AG21" t="b">
        <f t="shared" si="9"/>
        <v>1</v>
      </c>
      <c r="AH21" t="b">
        <f t="shared" si="10"/>
        <v>1</v>
      </c>
      <c r="AJ21" s="1">
        <f t="shared" si="16"/>
        <v>24</v>
      </c>
      <c r="AK21" s="23">
        <v>0.10734583177975686</v>
      </c>
      <c r="AL21" s="8">
        <v>8.0459936608960947E-2</v>
      </c>
      <c r="AM21" s="8">
        <v>8.0461198810425349E-2</v>
      </c>
      <c r="AN21" s="8">
        <v>8.7446181316306562E-2</v>
      </c>
      <c r="AO21" s="8">
        <v>8.211299876186999E-2</v>
      </c>
      <c r="AP21" s="8">
        <v>8.2811696680026498E-2</v>
      </c>
      <c r="AQ21" s="8">
        <v>8.866587017231313E-2</v>
      </c>
      <c r="AR21" s="8">
        <v>8.5894913176991536E-2</v>
      </c>
      <c r="AS21" s="8">
        <v>8.5131256528911028E-2</v>
      </c>
      <c r="AT21" s="8">
        <v>8.5898531037377601E-2</v>
      </c>
      <c r="AU21" s="8">
        <v>8.6310597490281915E-2</v>
      </c>
      <c r="AV21" s="32">
        <v>0.107345831779757</v>
      </c>
      <c r="AW21" s="12">
        <v>8.0459936608960794E-2</v>
      </c>
      <c r="AX21" s="12">
        <v>8.0461198810426404E-2</v>
      </c>
      <c r="AY21" s="12">
        <v>8.7446181316306701E-2</v>
      </c>
      <c r="AZ21" s="12">
        <v>8.2112998761869893E-2</v>
      </c>
      <c r="BA21" s="12">
        <v>8.28116966800264E-2</v>
      </c>
      <c r="BB21" s="12">
        <v>8.8665870172313005E-2</v>
      </c>
      <c r="BC21" s="12">
        <v>8.5894913176999599E-2</v>
      </c>
      <c r="BD21" s="12">
        <v>8.51312565289159E-2</v>
      </c>
      <c r="BE21" s="12">
        <v>8.5898531037339104E-2</v>
      </c>
      <c r="BF21" s="33">
        <v>8.6310597490275004E-2</v>
      </c>
      <c r="BG21" s="44" t="b">
        <f t="shared" si="20"/>
        <v>1</v>
      </c>
      <c r="BH21" t="b">
        <f t="shared" si="11"/>
        <v>1</v>
      </c>
      <c r="BI21" t="b">
        <f t="shared" si="11"/>
        <v>1</v>
      </c>
      <c r="BJ21" t="b">
        <f t="shared" si="11"/>
        <v>1</v>
      </c>
      <c r="BK21" t="b">
        <f t="shared" si="11"/>
        <v>1</v>
      </c>
      <c r="BL21" t="b">
        <f t="shared" si="11"/>
        <v>1</v>
      </c>
      <c r="BM21" t="b">
        <f t="shared" si="11"/>
        <v>1</v>
      </c>
      <c r="BN21" t="b">
        <f t="shared" si="11"/>
        <v>1</v>
      </c>
      <c r="BO21" t="b">
        <f t="shared" si="11"/>
        <v>1</v>
      </c>
      <c r="BP21" t="b">
        <f t="shared" si="11"/>
        <v>1</v>
      </c>
      <c r="BQ21" s="45" t="b">
        <f t="shared" si="11"/>
        <v>1</v>
      </c>
      <c r="BS21" s="1">
        <f t="shared" si="17"/>
        <v>24</v>
      </c>
      <c r="BT21" s="23">
        <v>4.2788019536157988E-3</v>
      </c>
      <c r="BU21" s="8">
        <v>4.9464517738308511E-3</v>
      </c>
      <c r="BV21" s="8">
        <v>4.9464298121662982E-3</v>
      </c>
      <c r="BW21" s="8">
        <v>4.2025118854084982E-3</v>
      </c>
      <c r="BX21" s="8">
        <v>5.2525593589579402E-3</v>
      </c>
      <c r="BY21" s="8">
        <v>5.3721395919272006E-3</v>
      </c>
      <c r="BZ21" s="8">
        <v>5.5765126222205646E-3</v>
      </c>
      <c r="CA21" s="8">
        <v>5.4952965398982435E-3</v>
      </c>
      <c r="CB21" s="8">
        <v>5.4561148668250447E-3</v>
      </c>
      <c r="CC21" s="8">
        <v>5.4952934333320587E-3</v>
      </c>
      <c r="CD21" s="8">
        <v>5.5155640156746575E-3</v>
      </c>
      <c r="CE21" s="32">
        <v>4.2788019536157997E-3</v>
      </c>
      <c r="CF21" s="12">
        <v>4.9464517738308398E-3</v>
      </c>
      <c r="CG21" s="12">
        <v>4.9464298121663702E-3</v>
      </c>
      <c r="CH21" s="12">
        <v>4.2025118854084999E-3</v>
      </c>
      <c r="CI21" s="12">
        <v>5.2525593589579402E-3</v>
      </c>
      <c r="CJ21" s="12">
        <v>5.3721395919271997E-3</v>
      </c>
      <c r="CK21" s="12">
        <v>5.5765126222205603E-3</v>
      </c>
      <c r="CL21" s="12">
        <v>5.4952965398982903E-3</v>
      </c>
      <c r="CM21" s="12">
        <v>5.4561148668250898E-3</v>
      </c>
      <c r="CN21" s="12">
        <v>5.4952934333302198E-3</v>
      </c>
      <c r="CO21" s="33">
        <v>5.5155640156740399E-3</v>
      </c>
      <c r="CP21" t="b">
        <f t="shared" si="21"/>
        <v>1</v>
      </c>
      <c r="CQ21" t="b">
        <f t="shared" si="12"/>
        <v>1</v>
      </c>
      <c r="CR21" t="b">
        <f t="shared" si="12"/>
        <v>1</v>
      </c>
      <c r="CS21" t="b">
        <f t="shared" si="12"/>
        <v>1</v>
      </c>
      <c r="CT21" t="b">
        <f t="shared" si="12"/>
        <v>1</v>
      </c>
      <c r="CU21" t="b">
        <f t="shared" si="12"/>
        <v>1</v>
      </c>
      <c r="CV21" t="b">
        <f t="shared" si="12"/>
        <v>1</v>
      </c>
      <c r="CW21" t="b">
        <f t="shared" si="12"/>
        <v>1</v>
      </c>
      <c r="CX21" t="b">
        <f t="shared" si="12"/>
        <v>1</v>
      </c>
      <c r="CY21" t="b">
        <f t="shared" si="12"/>
        <v>1</v>
      </c>
      <c r="CZ21" t="b">
        <f t="shared" si="12"/>
        <v>1</v>
      </c>
      <c r="DB21" s="73">
        <v>48</v>
      </c>
      <c r="DC21" s="68">
        <v>43.257621348112103</v>
      </c>
      <c r="DD21" s="55">
        <v>44.060935695229205</v>
      </c>
      <c r="DE21" s="55">
        <v>44.060907998469311</v>
      </c>
      <c r="DF21" s="55">
        <v>43.874294460369853</v>
      </c>
      <c r="DG21" s="55">
        <v>44.006104850003851</v>
      </c>
      <c r="DH21" s="55">
        <v>43.970277188517088</v>
      </c>
      <c r="DI21" s="55">
        <v>43.856291110484584</v>
      </c>
      <c r="DJ21" s="55">
        <v>43.912698817643602</v>
      </c>
      <c r="DK21" s="55">
        <v>43.929329863511114</v>
      </c>
      <c r="DL21" s="55">
        <v>43.912712580499161</v>
      </c>
      <c r="DM21" s="55">
        <v>43.9036167674493</v>
      </c>
      <c r="DN21" s="88">
        <v>43.257620322055899</v>
      </c>
      <c r="DO21" s="89">
        <v>44.060936265555597</v>
      </c>
      <c r="DP21" s="89">
        <v>44.060908568778601</v>
      </c>
      <c r="DQ21" s="89">
        <v>43.874295129176403</v>
      </c>
      <c r="DR21" s="89">
        <v>44.006105405514901</v>
      </c>
      <c r="DS21" s="89">
        <v>43.970277731420801</v>
      </c>
      <c r="DT21" s="89">
        <v>43.8562916140366</v>
      </c>
      <c r="DU21" s="89">
        <v>43.912699342459</v>
      </c>
      <c r="DV21" s="89">
        <v>43.929330394851299</v>
      </c>
      <c r="DW21" s="89">
        <v>43.912713105221599</v>
      </c>
      <c r="DX21" s="90">
        <v>43.903617288673601</v>
      </c>
      <c r="DY21" s="44" t="b">
        <f t="shared" si="18"/>
        <v>1</v>
      </c>
      <c r="DZ21" t="b">
        <f t="shared" si="13"/>
        <v>1</v>
      </c>
      <c r="EA21" t="b">
        <f t="shared" si="13"/>
        <v>1</v>
      </c>
      <c r="EB21" t="b">
        <f t="shared" si="13"/>
        <v>1</v>
      </c>
      <c r="EC21" t="b">
        <f t="shared" si="13"/>
        <v>1</v>
      </c>
      <c r="ED21" t="b">
        <f t="shared" si="13"/>
        <v>1</v>
      </c>
      <c r="EE21" t="b">
        <f t="shared" si="13"/>
        <v>1</v>
      </c>
      <c r="EF21" t="b">
        <f t="shared" si="13"/>
        <v>1</v>
      </c>
      <c r="EG21" t="b">
        <f t="shared" si="13"/>
        <v>1</v>
      </c>
      <c r="EH21" t="b">
        <f t="shared" si="13"/>
        <v>1</v>
      </c>
      <c r="EI21" s="45" t="b">
        <f t="shared" si="13"/>
        <v>1</v>
      </c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</row>
    <row r="22" spans="1:177" x14ac:dyDescent="0.25">
      <c r="A22" s="1">
        <f t="shared" si="15"/>
        <v>30</v>
      </c>
      <c r="B22" s="23">
        <v>0.87570508544671932</v>
      </c>
      <c r="C22" s="8">
        <v>0.89477859900612933</v>
      </c>
      <c r="D22" s="8">
        <v>0.8947777042602113</v>
      </c>
      <c r="E22" s="8">
        <v>0.89276329892114703</v>
      </c>
      <c r="F22" s="8">
        <v>0.8918798937070278</v>
      </c>
      <c r="G22" s="8">
        <v>0.89062592704812205</v>
      </c>
      <c r="H22" s="8">
        <v>0.88516230552554198</v>
      </c>
      <c r="I22" s="8">
        <v>0.88768973726034672</v>
      </c>
      <c r="J22" s="8">
        <v>0.88847283987232273</v>
      </c>
      <c r="K22" s="8">
        <v>0.88768755201418659</v>
      </c>
      <c r="L22" s="8">
        <v>0.88726909313852242</v>
      </c>
      <c r="M22" s="32">
        <v>0.87570508544671899</v>
      </c>
      <c r="N22" s="12">
        <v>0.89477859900612899</v>
      </c>
      <c r="O22" s="12">
        <v>0.89477770426020997</v>
      </c>
      <c r="P22" s="12">
        <v>0.89276329892114703</v>
      </c>
      <c r="Q22" s="12">
        <v>0.89187989370702803</v>
      </c>
      <c r="R22" s="12">
        <v>0.89062592704812205</v>
      </c>
      <c r="S22" s="12">
        <v>0.88516230552554198</v>
      </c>
      <c r="T22" s="12">
        <v>0.88768973726032996</v>
      </c>
      <c r="U22" s="12">
        <v>0.88847283987231396</v>
      </c>
      <c r="V22" s="12">
        <v>0.887687552014222</v>
      </c>
      <c r="W22" s="33">
        <v>0.88726909313853097</v>
      </c>
      <c r="X22" t="b">
        <f t="shared" si="0"/>
        <v>1</v>
      </c>
      <c r="Y22" t="b">
        <f t="shared" si="1"/>
        <v>1</v>
      </c>
      <c r="Z22" t="b">
        <f t="shared" si="2"/>
        <v>1</v>
      </c>
      <c r="AA22" t="b">
        <f t="shared" si="3"/>
        <v>1</v>
      </c>
      <c r="AB22" t="b">
        <f t="shared" si="4"/>
        <v>1</v>
      </c>
      <c r="AC22" t="b">
        <f t="shared" si="5"/>
        <v>1</v>
      </c>
      <c r="AD22" t="b">
        <f t="shared" si="6"/>
        <v>1</v>
      </c>
      <c r="AE22" t="b">
        <f t="shared" si="7"/>
        <v>1</v>
      </c>
      <c r="AF22" t="b">
        <f t="shared" si="8"/>
        <v>1</v>
      </c>
      <c r="AG22" t="b">
        <f t="shared" si="9"/>
        <v>1</v>
      </c>
      <c r="AH22" t="b">
        <f t="shared" si="10"/>
        <v>1</v>
      </c>
      <c r="AJ22" s="1">
        <f t="shared" si="16"/>
        <v>30</v>
      </c>
      <c r="AK22" s="23">
        <v>0.13272590517754737</v>
      </c>
      <c r="AL22" s="8">
        <v>0.1111789667217719</v>
      </c>
      <c r="AM22" s="8">
        <v>0.11117996668574777</v>
      </c>
      <c r="AN22" s="8">
        <v>0.11343379603925798</v>
      </c>
      <c r="AO22" s="8">
        <v>0.1144238037785322</v>
      </c>
      <c r="AP22" s="8">
        <v>0.1158307746295264</v>
      </c>
      <c r="AQ22" s="8">
        <v>0.12198425471515295</v>
      </c>
      <c r="AR22" s="8">
        <v>0.11913299201970043</v>
      </c>
      <c r="AS22" s="8">
        <v>0.11825120037202096</v>
      </c>
      <c r="AT22" s="8">
        <v>0.11913545374563704</v>
      </c>
      <c r="AU22" s="8">
        <v>0.11960696822973421</v>
      </c>
      <c r="AV22" s="32">
        <v>0.13272590517754801</v>
      </c>
      <c r="AW22" s="12">
        <v>0.11117896672177199</v>
      </c>
      <c r="AX22" s="12">
        <v>0.111179966685749</v>
      </c>
      <c r="AY22" s="12">
        <v>0.113433796039258</v>
      </c>
      <c r="AZ22" s="12">
        <v>0.11442380377853199</v>
      </c>
      <c r="BA22" s="12">
        <v>0.115830774629526</v>
      </c>
      <c r="BB22" s="12">
        <v>0.12198425471515301</v>
      </c>
      <c r="BC22" s="12">
        <v>0.119132992019719</v>
      </c>
      <c r="BD22" s="12">
        <v>0.118251200372031</v>
      </c>
      <c r="BE22" s="12">
        <v>0.119135453745597</v>
      </c>
      <c r="BF22" s="33">
        <v>0.119606968229724</v>
      </c>
      <c r="BG22" s="44" t="b">
        <f t="shared" si="20"/>
        <v>1</v>
      </c>
      <c r="BH22" t="b">
        <f t="shared" si="11"/>
        <v>1</v>
      </c>
      <c r="BI22" t="b">
        <f t="shared" si="11"/>
        <v>1</v>
      </c>
      <c r="BJ22" t="b">
        <f t="shared" si="11"/>
        <v>1</v>
      </c>
      <c r="BK22" t="b">
        <f t="shared" si="11"/>
        <v>1</v>
      </c>
      <c r="BL22" t="b">
        <f t="shared" si="11"/>
        <v>1</v>
      </c>
      <c r="BM22" t="b">
        <f t="shared" si="11"/>
        <v>1</v>
      </c>
      <c r="BN22" t="b">
        <f t="shared" si="11"/>
        <v>1</v>
      </c>
      <c r="BO22" t="b">
        <f t="shared" si="11"/>
        <v>1</v>
      </c>
      <c r="BP22" t="b">
        <f t="shared" si="11"/>
        <v>1</v>
      </c>
      <c r="BQ22" s="45" t="b">
        <f t="shared" si="11"/>
        <v>1</v>
      </c>
      <c r="BS22" s="1">
        <f t="shared" si="17"/>
        <v>30</v>
      </c>
      <c r="BT22" s="23">
        <v>4.1811850650123562E-3</v>
      </c>
      <c r="BU22" s="8">
        <v>5.2607426679542801E-3</v>
      </c>
      <c r="BV22" s="8">
        <v>5.2606778325283458E-3</v>
      </c>
      <c r="BW22" s="8">
        <v>4.4555210070337256E-3</v>
      </c>
      <c r="BX22" s="8">
        <v>5.4758268148607783E-3</v>
      </c>
      <c r="BY22" s="8">
        <v>5.5826864030272573E-3</v>
      </c>
      <c r="BZ22" s="8">
        <v>5.4931235260993038E-3</v>
      </c>
      <c r="CA22" s="8">
        <v>5.5416783857910462E-3</v>
      </c>
      <c r="CB22" s="8">
        <v>5.5408152440181825E-3</v>
      </c>
      <c r="CC22" s="8">
        <v>5.5413028270581473E-3</v>
      </c>
      <c r="CD22" s="8">
        <v>5.5412184386177243E-3</v>
      </c>
      <c r="CE22" s="32">
        <v>4.1811850650123597E-3</v>
      </c>
      <c r="CF22" s="12">
        <v>5.2607426679542697E-3</v>
      </c>
      <c r="CG22" s="12">
        <v>5.2606778325284204E-3</v>
      </c>
      <c r="CH22" s="12">
        <v>4.4555210070337196E-3</v>
      </c>
      <c r="CI22" s="12">
        <v>5.47582681486078E-3</v>
      </c>
      <c r="CJ22" s="12">
        <v>5.5826864030272703E-3</v>
      </c>
      <c r="CK22" s="12">
        <v>5.4931235260993003E-3</v>
      </c>
      <c r="CL22" s="12">
        <v>5.5416783857911503E-3</v>
      </c>
      <c r="CM22" s="12">
        <v>5.5408152440182502E-3</v>
      </c>
      <c r="CN22" s="12">
        <v>5.5413028270563198E-3</v>
      </c>
      <c r="CO22" s="33">
        <v>5.5412184386172602E-3</v>
      </c>
      <c r="CP22" t="b">
        <f t="shared" si="21"/>
        <v>1</v>
      </c>
      <c r="CQ22" t="b">
        <f t="shared" si="12"/>
        <v>1</v>
      </c>
      <c r="CR22" t="b">
        <f t="shared" si="12"/>
        <v>1</v>
      </c>
      <c r="CS22" t="b">
        <f t="shared" si="12"/>
        <v>1</v>
      </c>
      <c r="CT22" t="b">
        <f t="shared" si="12"/>
        <v>1</v>
      </c>
      <c r="CU22" t="b">
        <f t="shared" si="12"/>
        <v>1</v>
      </c>
      <c r="CV22" t="b">
        <f t="shared" si="12"/>
        <v>1</v>
      </c>
      <c r="CW22" t="b">
        <f t="shared" si="12"/>
        <v>1</v>
      </c>
      <c r="CX22" t="b">
        <f t="shared" si="12"/>
        <v>1</v>
      </c>
      <c r="CY22" t="b">
        <f t="shared" si="12"/>
        <v>1</v>
      </c>
      <c r="CZ22" t="b">
        <f t="shared" si="12"/>
        <v>1</v>
      </c>
      <c r="DB22" s="73">
        <v>60</v>
      </c>
      <c r="DC22" s="68">
        <v>52.809232562230783</v>
      </c>
      <c r="DD22" s="55">
        <v>53.523078230744154</v>
      </c>
      <c r="DE22" s="55">
        <v>53.523070101417524</v>
      </c>
      <c r="DF22" s="55">
        <v>53.423211456786291</v>
      </c>
      <c r="DG22" s="55">
        <v>53.443260205720776</v>
      </c>
      <c r="DH22" s="55">
        <v>53.400991871904779</v>
      </c>
      <c r="DI22" s="55">
        <v>53.29711166257767</v>
      </c>
      <c r="DJ22" s="55">
        <v>53.344536389251687</v>
      </c>
      <c r="DK22" s="55">
        <v>53.359901231841079</v>
      </c>
      <c r="DL22" s="55">
        <v>53.344702072228962</v>
      </c>
      <c r="DM22" s="55">
        <v>53.336342310595356</v>
      </c>
      <c r="DN22" s="88">
        <v>52.809232184131403</v>
      </c>
      <c r="DO22" s="89">
        <v>53.5230789739526</v>
      </c>
      <c r="DP22" s="89">
        <v>53.523070844598699</v>
      </c>
      <c r="DQ22" s="89">
        <v>53.423212208027401</v>
      </c>
      <c r="DR22" s="89">
        <v>53.443260912967602</v>
      </c>
      <c r="DS22" s="89">
        <v>53.400992548734003</v>
      </c>
      <c r="DT22" s="89">
        <v>53.297112304348701</v>
      </c>
      <c r="DU22" s="89">
        <v>53.344537053765798</v>
      </c>
      <c r="DV22" s="89">
        <v>53.359901904631101</v>
      </c>
      <c r="DW22" s="89">
        <v>53.344702736633202</v>
      </c>
      <c r="DX22" s="90">
        <v>53.336342970547797</v>
      </c>
      <c r="DY22" s="44" t="b">
        <f t="shared" si="18"/>
        <v>1</v>
      </c>
      <c r="DZ22" t="b">
        <f t="shared" si="13"/>
        <v>1</v>
      </c>
      <c r="EA22" t="b">
        <f t="shared" si="13"/>
        <v>1</v>
      </c>
      <c r="EB22" t="b">
        <f t="shared" si="13"/>
        <v>1</v>
      </c>
      <c r="EC22" t="b">
        <f t="shared" si="13"/>
        <v>1</v>
      </c>
      <c r="ED22" t="b">
        <f t="shared" si="13"/>
        <v>1</v>
      </c>
      <c r="EE22" t="b">
        <f t="shared" si="13"/>
        <v>1</v>
      </c>
      <c r="EF22" t="b">
        <f t="shared" si="13"/>
        <v>1</v>
      </c>
      <c r="EG22" t="b">
        <f t="shared" si="13"/>
        <v>1</v>
      </c>
      <c r="EH22" t="b">
        <f t="shared" si="13"/>
        <v>1</v>
      </c>
      <c r="EI22" s="45" t="b">
        <f t="shared" si="13"/>
        <v>1</v>
      </c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</row>
    <row r="23" spans="1:177" x14ac:dyDescent="0.25">
      <c r="A23" s="1">
        <f t="shared" si="15"/>
        <v>36</v>
      </c>
      <c r="B23" s="23">
        <v>0.85425996974090157</v>
      </c>
      <c r="C23" s="8">
        <v>0.86655690182935807</v>
      </c>
      <c r="D23" s="8">
        <v>0.8665564734736001</v>
      </c>
      <c r="E23" s="8">
        <v>0.86862429612549041</v>
      </c>
      <c r="F23" s="8">
        <v>0.86295463858275612</v>
      </c>
      <c r="G23" s="8">
        <v>0.86132736092228723</v>
      </c>
      <c r="H23" s="8">
        <v>0.85703318267244788</v>
      </c>
      <c r="I23" s="8">
        <v>0.85898338820421904</v>
      </c>
      <c r="J23" s="8">
        <v>0.85966216010998708</v>
      </c>
      <c r="K23" s="8">
        <v>0.85898401530311097</v>
      </c>
      <c r="L23" s="8">
        <v>0.85862362930205616</v>
      </c>
      <c r="M23" s="32">
        <v>0.85425996974090201</v>
      </c>
      <c r="N23" s="12">
        <v>0.86655690182935796</v>
      </c>
      <c r="O23" s="12">
        <v>0.86655647347359799</v>
      </c>
      <c r="P23" s="12">
        <v>0.86862429612549097</v>
      </c>
      <c r="Q23" s="12">
        <v>0.86295463858275601</v>
      </c>
      <c r="R23" s="12">
        <v>0.86132736092228701</v>
      </c>
      <c r="S23" s="12">
        <v>0.85703318267244799</v>
      </c>
      <c r="T23" s="12">
        <v>0.85898338820419395</v>
      </c>
      <c r="U23" s="12">
        <v>0.85966216010997498</v>
      </c>
      <c r="V23" s="12">
        <v>0.85898401530316704</v>
      </c>
      <c r="W23" s="33">
        <v>0.85862362930207003</v>
      </c>
      <c r="X23" t="b">
        <f t="shared" si="0"/>
        <v>1</v>
      </c>
      <c r="Y23" t="b">
        <f t="shared" si="1"/>
        <v>1</v>
      </c>
      <c r="Z23" t="b">
        <f t="shared" si="2"/>
        <v>1</v>
      </c>
      <c r="AA23" t="b">
        <f t="shared" si="3"/>
        <v>1</v>
      </c>
      <c r="AB23" t="b">
        <f t="shared" si="4"/>
        <v>1</v>
      </c>
      <c r="AC23" t="b">
        <f t="shared" si="5"/>
        <v>1</v>
      </c>
      <c r="AD23" t="b">
        <f t="shared" si="6"/>
        <v>1</v>
      </c>
      <c r="AE23" t="b">
        <f t="shared" si="7"/>
        <v>1</v>
      </c>
      <c r="AF23" t="b">
        <f t="shared" si="8"/>
        <v>1</v>
      </c>
      <c r="AG23" t="b">
        <f t="shared" si="9"/>
        <v>1</v>
      </c>
      <c r="AH23" t="b">
        <f t="shared" si="10"/>
        <v>1</v>
      </c>
      <c r="AJ23" s="1">
        <f t="shared" si="16"/>
        <v>36</v>
      </c>
      <c r="AK23" s="23">
        <v>0.15751971730166142</v>
      </c>
      <c r="AL23" s="8">
        <v>0.14322750339703769</v>
      </c>
      <c r="AM23" s="8">
        <v>0.14322799771641007</v>
      </c>
      <c r="AN23" s="8">
        <v>0.1408445876798313</v>
      </c>
      <c r="AO23" s="8">
        <v>0.14739315175669274</v>
      </c>
      <c r="AP23" s="8">
        <v>0.14928063668554717</v>
      </c>
      <c r="AQ23" s="8">
        <v>0.15427864156282278</v>
      </c>
      <c r="AR23" s="8">
        <v>0.15200569571313996</v>
      </c>
      <c r="AS23" s="8">
        <v>0.1512158039966939</v>
      </c>
      <c r="AT23" s="8">
        <v>0.15200496566565402</v>
      </c>
      <c r="AU23" s="8">
        <v>0.15242460283654724</v>
      </c>
      <c r="AV23" s="32">
        <v>0.15751971730166101</v>
      </c>
      <c r="AW23" s="12">
        <v>0.14322750339703799</v>
      </c>
      <c r="AX23" s="12">
        <v>0.14322799771641201</v>
      </c>
      <c r="AY23" s="12">
        <v>0.14084458767983099</v>
      </c>
      <c r="AZ23" s="12">
        <v>0.14739315175669199</v>
      </c>
      <c r="BA23" s="12">
        <v>0.149280636685547</v>
      </c>
      <c r="BB23" s="12">
        <v>0.154278641562823</v>
      </c>
      <c r="BC23" s="12">
        <v>0.15200569571316999</v>
      </c>
      <c r="BD23" s="12">
        <v>0.151215803996708</v>
      </c>
      <c r="BE23" s="12">
        <v>0.15200496566558899</v>
      </c>
      <c r="BF23" s="33">
        <v>0.152424602836531</v>
      </c>
      <c r="BG23" s="44" t="b">
        <f t="shared" si="20"/>
        <v>1</v>
      </c>
      <c r="BH23" t="b">
        <f t="shared" si="11"/>
        <v>1</v>
      </c>
      <c r="BI23" t="b">
        <f t="shared" si="11"/>
        <v>1</v>
      </c>
      <c r="BJ23" t="b">
        <f t="shared" si="11"/>
        <v>1</v>
      </c>
      <c r="BK23" t="b">
        <f t="shared" si="11"/>
        <v>1</v>
      </c>
      <c r="BL23" t="b">
        <f t="shared" si="11"/>
        <v>1</v>
      </c>
      <c r="BM23" t="b">
        <f t="shared" si="11"/>
        <v>1</v>
      </c>
      <c r="BN23" t="b">
        <f t="shared" si="11"/>
        <v>1</v>
      </c>
      <c r="BO23" t="b">
        <f t="shared" si="11"/>
        <v>1</v>
      </c>
      <c r="BP23" t="b">
        <f t="shared" si="11"/>
        <v>1</v>
      </c>
      <c r="BQ23" s="45" t="b">
        <f t="shared" si="11"/>
        <v>1</v>
      </c>
      <c r="BS23" s="1">
        <f t="shared" si="17"/>
        <v>36</v>
      </c>
      <c r="BT23" s="23">
        <v>4.0834005734734164E-3</v>
      </c>
      <c r="BU23" s="8">
        <v>5.3942146732570756E-3</v>
      </c>
      <c r="BV23" s="8">
        <v>5.3941120020342551E-3</v>
      </c>
      <c r="BW23" s="8">
        <v>4.6745387117428728E-3</v>
      </c>
      <c r="BX23" s="8">
        <v>5.4835636188193685E-3</v>
      </c>
      <c r="BY23" s="8">
        <v>5.5312959122112539E-3</v>
      </c>
      <c r="BZ23" s="8">
        <v>5.2547454489535192E-3</v>
      </c>
      <c r="CA23" s="8">
        <v>5.3915507314796444E-3</v>
      </c>
      <c r="CB23" s="8">
        <v>5.421332810868441E-3</v>
      </c>
      <c r="CC23" s="1">
        <v>5.390879776231693E-3</v>
      </c>
      <c r="CD23" s="8">
        <v>5.3745894710423795E-3</v>
      </c>
      <c r="CE23" s="32">
        <v>4.0834005734734198E-3</v>
      </c>
      <c r="CF23" s="12">
        <v>5.3942146732570704E-3</v>
      </c>
      <c r="CG23" s="12">
        <v>5.3941120020343201E-3</v>
      </c>
      <c r="CH23" s="12">
        <v>4.6745387117428702E-3</v>
      </c>
      <c r="CI23" s="12">
        <v>5.4835636188193598E-3</v>
      </c>
      <c r="CJ23" s="12">
        <v>5.5312959122112704E-3</v>
      </c>
      <c r="CK23" s="12">
        <v>5.2547454489535097E-3</v>
      </c>
      <c r="CL23" s="12">
        <v>5.3915507314797996E-3</v>
      </c>
      <c r="CM23" s="12">
        <v>5.4213328108685304E-3</v>
      </c>
      <c r="CN23" s="12">
        <v>5.3908797762298498E-3</v>
      </c>
      <c r="CO23" s="33">
        <v>5.3745894710417099E-3</v>
      </c>
      <c r="CP23" t="b">
        <f t="shared" si="21"/>
        <v>1</v>
      </c>
      <c r="CQ23" t="b">
        <f t="shared" si="12"/>
        <v>1</v>
      </c>
      <c r="CR23" t="b">
        <f t="shared" si="12"/>
        <v>1</v>
      </c>
      <c r="CS23" t="b">
        <f t="shared" si="12"/>
        <v>1</v>
      </c>
      <c r="CT23" t="b">
        <f t="shared" si="12"/>
        <v>1</v>
      </c>
      <c r="CU23" t="b">
        <f t="shared" si="12"/>
        <v>1</v>
      </c>
      <c r="CV23" t="b">
        <f t="shared" si="12"/>
        <v>1</v>
      </c>
      <c r="CW23" t="b">
        <f t="shared" si="12"/>
        <v>1</v>
      </c>
      <c r="CX23" t="b">
        <f t="shared" si="12"/>
        <v>1</v>
      </c>
      <c r="CY23" t="b">
        <f t="shared" si="12"/>
        <v>1</v>
      </c>
      <c r="CZ23" t="b">
        <f t="shared" si="12"/>
        <v>1</v>
      </c>
      <c r="DB23" s="74">
        <v>72</v>
      </c>
      <c r="DC23" s="70">
        <v>61.946717680772032</v>
      </c>
      <c r="DD23" s="71">
        <v>62.475455124427846</v>
      </c>
      <c r="DE23" s="71">
        <v>62.475483963124162</v>
      </c>
      <c r="DF23" s="71">
        <v>62.43097247919728</v>
      </c>
      <c r="DG23" s="71">
        <v>62.397367988585231</v>
      </c>
      <c r="DH23" s="71">
        <v>62.368111112357319</v>
      </c>
      <c r="DI23" s="71">
        <v>62.298453967959354</v>
      </c>
      <c r="DJ23" s="71">
        <v>62.321639174759355</v>
      </c>
      <c r="DK23" s="71">
        <v>62.330227922879857</v>
      </c>
      <c r="DL23" s="71">
        <v>62.322032538525498</v>
      </c>
      <c r="DM23" s="71">
        <v>62.317376012920846</v>
      </c>
      <c r="DN23" s="91">
        <v>61.946717055649401</v>
      </c>
      <c r="DO23" s="92">
        <v>62.475455959974198</v>
      </c>
      <c r="DP23" s="92">
        <v>62.4754847986366</v>
      </c>
      <c r="DQ23" s="92">
        <v>62.430972707002297</v>
      </c>
      <c r="DR23" s="92">
        <v>62.397368785185101</v>
      </c>
      <c r="DS23" s="92">
        <v>62.368111874343498</v>
      </c>
      <c r="DT23" s="92">
        <v>62.298454721873597</v>
      </c>
      <c r="DU23" s="92">
        <v>62.3216399392455</v>
      </c>
      <c r="DV23" s="92">
        <v>62.330228693146601</v>
      </c>
      <c r="DW23" s="92">
        <v>62.322033302941698</v>
      </c>
      <c r="DX23" s="93">
        <v>62.317376774177703</v>
      </c>
      <c r="DY23" s="46" t="b">
        <f t="shared" si="18"/>
        <v>1</v>
      </c>
      <c r="DZ23" s="3" t="b">
        <f t="shared" si="13"/>
        <v>1</v>
      </c>
      <c r="EA23" s="3" t="b">
        <f t="shared" si="13"/>
        <v>1</v>
      </c>
      <c r="EB23" s="3" t="b">
        <f t="shared" si="13"/>
        <v>1</v>
      </c>
      <c r="EC23" s="3" t="b">
        <f t="shared" si="13"/>
        <v>1</v>
      </c>
      <c r="ED23" s="3" t="b">
        <f t="shared" si="13"/>
        <v>1</v>
      </c>
      <c r="EE23" s="3" t="b">
        <f t="shared" si="13"/>
        <v>1</v>
      </c>
      <c r="EF23" s="3" t="b">
        <f t="shared" si="13"/>
        <v>1</v>
      </c>
      <c r="EG23" s="3" t="b">
        <f t="shared" si="13"/>
        <v>1</v>
      </c>
      <c r="EH23" s="3" t="b">
        <f t="shared" si="13"/>
        <v>1</v>
      </c>
      <c r="EI23" s="47" t="b">
        <f t="shared" si="13"/>
        <v>1</v>
      </c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</row>
    <row r="24" spans="1:177" x14ac:dyDescent="0.25">
      <c r="A24" s="1">
        <f t="shared" si="15"/>
        <v>42</v>
      </c>
      <c r="B24" s="23">
        <v>0.83382927321113942</v>
      </c>
      <c r="C24" s="8">
        <v>0.83895332851278115</v>
      </c>
      <c r="D24" s="8">
        <v>0.83895351121923445</v>
      </c>
      <c r="E24" s="8">
        <v>0.84414572698981694</v>
      </c>
      <c r="F24" s="8">
        <v>0.83533931269526085</v>
      </c>
      <c r="G24" s="8">
        <v>0.83371976359136779</v>
      </c>
      <c r="H24" s="8">
        <v>0.83118224847485589</v>
      </c>
      <c r="I24" s="8">
        <v>0.83225895952289963</v>
      </c>
      <c r="J24" s="8">
        <v>0.8327139066352125</v>
      </c>
      <c r="K24" s="8">
        <v>0.83226342102086348</v>
      </c>
      <c r="L24" s="8">
        <v>0.83202394573369765</v>
      </c>
      <c r="M24" s="32">
        <v>0.83382927321113898</v>
      </c>
      <c r="N24" s="12">
        <v>0.83895332851278104</v>
      </c>
      <c r="O24" s="12">
        <v>0.83895351121923301</v>
      </c>
      <c r="P24" s="12">
        <v>0.84414572698981705</v>
      </c>
      <c r="Q24" s="12">
        <v>0.83533931269526096</v>
      </c>
      <c r="R24" s="12">
        <v>0.83371976359136801</v>
      </c>
      <c r="S24" s="12">
        <v>0.831182248474856</v>
      </c>
      <c r="T24" s="12">
        <v>0.83225895952286899</v>
      </c>
      <c r="U24" s="12">
        <v>0.83271390663519895</v>
      </c>
      <c r="V24" s="12">
        <v>0.83226342102093598</v>
      </c>
      <c r="W24" s="33">
        <v>0.83202394573372196</v>
      </c>
      <c r="X24" t="b">
        <f t="shared" si="0"/>
        <v>1</v>
      </c>
      <c r="Y24" t="b">
        <f t="shared" si="1"/>
        <v>1</v>
      </c>
      <c r="Z24" t="b">
        <f t="shared" si="2"/>
        <v>1</v>
      </c>
      <c r="AA24" t="b">
        <f t="shared" si="3"/>
        <v>1</v>
      </c>
      <c r="AB24" t="b">
        <f t="shared" si="4"/>
        <v>1</v>
      </c>
      <c r="AC24" t="b">
        <f t="shared" si="5"/>
        <v>1</v>
      </c>
      <c r="AD24" t="b">
        <f t="shared" si="6"/>
        <v>1</v>
      </c>
      <c r="AE24" t="b">
        <f t="shared" si="7"/>
        <v>1</v>
      </c>
      <c r="AF24" t="b">
        <f t="shared" si="8"/>
        <v>1</v>
      </c>
      <c r="AG24" t="b">
        <f t="shared" si="9"/>
        <v>1</v>
      </c>
      <c r="AH24" t="b">
        <f t="shared" si="10"/>
        <v>1</v>
      </c>
      <c r="AJ24" s="1">
        <f t="shared" si="16"/>
        <v>42</v>
      </c>
      <c r="AK24" s="23">
        <v>0.18172660595893936</v>
      </c>
      <c r="AL24" s="8">
        <v>0.17560020157974193</v>
      </c>
      <c r="AM24" s="8">
        <v>0.17559998380072231</v>
      </c>
      <c r="AN24" s="8">
        <v>0.16943013698039139</v>
      </c>
      <c r="AO24" s="8">
        <v>0.17991727416487083</v>
      </c>
      <c r="AP24" s="8">
        <v>0.18185794796749466</v>
      </c>
      <c r="AQ24" s="8">
        <v>0.18490619592799293</v>
      </c>
      <c r="AR24" s="8">
        <v>0.18361163716242063</v>
      </c>
      <c r="AS24" s="8">
        <v>0.1830651452250652</v>
      </c>
      <c r="AT24" s="8">
        <v>0.18360627646794633</v>
      </c>
      <c r="AU24" s="8">
        <v>0.18389405764516642</v>
      </c>
      <c r="AV24" s="32">
        <v>0.181726605958939</v>
      </c>
      <c r="AW24" s="12">
        <v>0.17560020157974199</v>
      </c>
      <c r="AX24" s="12">
        <v>0.175599983800725</v>
      </c>
      <c r="AY24" s="12">
        <v>0.169430136980391</v>
      </c>
      <c r="AZ24" s="12">
        <v>0.17991727416487099</v>
      </c>
      <c r="BA24" s="12">
        <v>0.18185794796749499</v>
      </c>
      <c r="BB24" s="12">
        <v>0.18490619592799301</v>
      </c>
      <c r="BC24" s="12">
        <v>0.18361163716245801</v>
      </c>
      <c r="BD24" s="12">
        <v>0.18306514522508199</v>
      </c>
      <c r="BE24" s="12">
        <v>0.18360627646785899</v>
      </c>
      <c r="BF24" s="33">
        <v>0.183894057645137</v>
      </c>
      <c r="BG24" s="44" t="b">
        <f t="shared" si="20"/>
        <v>1</v>
      </c>
      <c r="BH24" t="b">
        <f t="shared" si="11"/>
        <v>1</v>
      </c>
      <c r="BI24" t="b">
        <f t="shared" si="11"/>
        <v>1</v>
      </c>
      <c r="BJ24" t="b">
        <f t="shared" si="11"/>
        <v>1</v>
      </c>
      <c r="BK24" t="b">
        <f t="shared" si="11"/>
        <v>1</v>
      </c>
      <c r="BL24" t="b">
        <f t="shared" si="11"/>
        <v>1</v>
      </c>
      <c r="BM24" t="b">
        <f t="shared" si="11"/>
        <v>1</v>
      </c>
      <c r="BN24" t="b">
        <f t="shared" si="11"/>
        <v>1</v>
      </c>
      <c r="BO24" t="b">
        <f t="shared" si="11"/>
        <v>1</v>
      </c>
      <c r="BP24" t="b">
        <f t="shared" si="11"/>
        <v>1</v>
      </c>
      <c r="BQ24" s="45" t="b">
        <f t="shared" si="11"/>
        <v>1</v>
      </c>
      <c r="BS24" s="1">
        <f t="shared" si="17"/>
        <v>42</v>
      </c>
      <c r="BT24" s="23">
        <v>3.9855630400912794E-3</v>
      </c>
      <c r="BU24" s="8">
        <v>5.3729852268598159E-3</v>
      </c>
      <c r="BV24" s="8">
        <v>5.3728518475613342E-3</v>
      </c>
      <c r="BW24" s="8">
        <v>4.8444478431011262E-3</v>
      </c>
      <c r="BX24" s="8">
        <v>5.3362052747648854E-3</v>
      </c>
      <c r="BY24" s="8">
        <v>5.3051393498657548E-3</v>
      </c>
      <c r="BZ24" s="8">
        <v>4.9475641614529975E-3</v>
      </c>
      <c r="CA24" s="8">
        <v>5.1303770051611564E-3</v>
      </c>
      <c r="CB24" s="8">
        <v>5.1798744777430726E-3</v>
      </c>
      <c r="CC24" s="8">
        <v>5.1295240320725381E-3</v>
      </c>
      <c r="CD24" s="8">
        <v>5.1028438751619361E-3</v>
      </c>
      <c r="CE24" s="32">
        <v>3.9855630400912802E-3</v>
      </c>
      <c r="CF24" s="12">
        <v>5.3729852268598003E-3</v>
      </c>
      <c r="CG24" s="12">
        <v>5.3728518475614001E-3</v>
      </c>
      <c r="CH24" s="12">
        <v>4.8444478431011297E-3</v>
      </c>
      <c r="CI24" s="12">
        <v>5.3362052747648802E-3</v>
      </c>
      <c r="CJ24" s="12">
        <v>5.3051393498657704E-3</v>
      </c>
      <c r="CK24" s="12">
        <v>4.9475641614529896E-3</v>
      </c>
      <c r="CL24" s="12">
        <v>5.1303770051613299E-3</v>
      </c>
      <c r="CM24" s="12">
        <v>5.1798744777431602E-3</v>
      </c>
      <c r="CN24" s="12">
        <v>5.1295240320706897E-3</v>
      </c>
      <c r="CO24" s="33">
        <v>5.10284387516125E-3</v>
      </c>
      <c r="CP24" t="b">
        <f t="shared" si="21"/>
        <v>1</v>
      </c>
      <c r="CQ24" t="b">
        <f t="shared" si="12"/>
        <v>1</v>
      </c>
      <c r="CR24" t="b">
        <f t="shared" si="12"/>
        <v>1</v>
      </c>
      <c r="CS24" t="b">
        <f t="shared" si="12"/>
        <v>1</v>
      </c>
      <c r="CT24" t="b">
        <f t="shared" si="12"/>
        <v>1</v>
      </c>
      <c r="CU24" t="b">
        <f t="shared" si="12"/>
        <v>1</v>
      </c>
      <c r="CV24" t="b">
        <f t="shared" si="12"/>
        <v>1</v>
      </c>
      <c r="CW24" t="b">
        <f t="shared" si="12"/>
        <v>1</v>
      </c>
      <c r="CX24" t="b">
        <f t="shared" si="12"/>
        <v>1</v>
      </c>
      <c r="CY24" t="b">
        <f t="shared" si="12"/>
        <v>1</v>
      </c>
      <c r="CZ24" t="b">
        <f t="shared" si="12"/>
        <v>1</v>
      </c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</row>
    <row r="25" spans="1:177" x14ac:dyDescent="0.25">
      <c r="A25" s="1">
        <f t="shared" si="15"/>
        <v>48</v>
      </c>
      <c r="B25" s="23">
        <v>0.81436501074609724</v>
      </c>
      <c r="C25" s="8">
        <v>0.81265895764462859</v>
      </c>
      <c r="D25" s="8">
        <v>0.81265984300058713</v>
      </c>
      <c r="E25" s="8">
        <v>0.81967541718504899</v>
      </c>
      <c r="F25" s="8">
        <v>0.80960284005907213</v>
      </c>
      <c r="G25" s="8">
        <v>0.8083699691797307</v>
      </c>
      <c r="H25" s="8">
        <v>0.80766933119189388</v>
      </c>
      <c r="I25" s="8">
        <v>0.80778925672568691</v>
      </c>
      <c r="J25" s="8">
        <v>0.80796459587850145</v>
      </c>
      <c r="K25" s="8">
        <v>0.80779793068176264</v>
      </c>
      <c r="L25" s="8">
        <v>0.80770857921635397</v>
      </c>
      <c r="M25" s="32">
        <v>0.81436501074609702</v>
      </c>
      <c r="N25" s="12">
        <v>0.81265895764462903</v>
      </c>
      <c r="O25" s="12">
        <v>0.81265984300058502</v>
      </c>
      <c r="P25" s="12">
        <v>0.81967541718504899</v>
      </c>
      <c r="Q25" s="12">
        <v>0.80960284005907202</v>
      </c>
      <c r="R25" s="12">
        <v>0.80836996917973103</v>
      </c>
      <c r="S25" s="12">
        <v>0.80766933119189399</v>
      </c>
      <c r="T25" s="12">
        <v>0.80778925672565505</v>
      </c>
      <c r="U25" s="12">
        <v>0.80796459587848801</v>
      </c>
      <c r="V25" s="12">
        <v>0.80779793068183403</v>
      </c>
      <c r="W25" s="33">
        <v>0.80770857921636996</v>
      </c>
      <c r="X25" t="b">
        <f t="shared" si="0"/>
        <v>1</v>
      </c>
      <c r="Y25" t="b">
        <f t="shared" si="1"/>
        <v>1</v>
      </c>
      <c r="Z25" t="b">
        <f t="shared" si="2"/>
        <v>1</v>
      </c>
      <c r="AA25" t="b">
        <f t="shared" si="3"/>
        <v>1</v>
      </c>
      <c r="AB25" t="b">
        <f t="shared" si="4"/>
        <v>1</v>
      </c>
      <c r="AC25" t="b">
        <f t="shared" si="5"/>
        <v>1</v>
      </c>
      <c r="AD25" t="b">
        <f t="shared" si="6"/>
        <v>1</v>
      </c>
      <c r="AE25" t="b">
        <f t="shared" si="7"/>
        <v>1</v>
      </c>
      <c r="AF25" t="b">
        <f t="shared" si="8"/>
        <v>1</v>
      </c>
      <c r="AG25" t="b">
        <f t="shared" si="9"/>
        <v>1</v>
      </c>
      <c r="AH25" t="b">
        <f t="shared" si="10"/>
        <v>1</v>
      </c>
      <c r="AJ25" s="1">
        <f t="shared" si="16"/>
        <v>48</v>
      </c>
      <c r="AK25" s="23">
        <v>0.20534659733807664</v>
      </c>
      <c r="AL25" s="8">
        <v>0.20744374373528404</v>
      </c>
      <c r="AM25" s="8">
        <v>0.20744265428014674</v>
      </c>
      <c r="AN25" s="8">
        <v>0.1988468497874413</v>
      </c>
      <c r="AO25" s="8">
        <v>0.21121147247698596</v>
      </c>
      <c r="AP25" s="8">
        <v>0.21273544260913149</v>
      </c>
      <c r="AQ25" s="8">
        <v>0.21360254779843579</v>
      </c>
      <c r="AR25" s="8">
        <v>0.21345407536477479</v>
      </c>
      <c r="AS25" s="8">
        <v>0.21323703840308633</v>
      </c>
      <c r="AT25" s="8">
        <v>0.21344333752760522</v>
      </c>
      <c r="AU25" s="8">
        <v>0.21355395480454262</v>
      </c>
      <c r="AV25" s="32">
        <v>0.205346597338077</v>
      </c>
      <c r="AW25" s="12">
        <v>0.20744374373528399</v>
      </c>
      <c r="AX25" s="12">
        <v>0.20744265428014899</v>
      </c>
      <c r="AY25" s="12">
        <v>0.19884684978744099</v>
      </c>
      <c r="AZ25" s="12">
        <v>0.21121147247698599</v>
      </c>
      <c r="BA25" s="12">
        <v>0.21273544260913199</v>
      </c>
      <c r="BB25" s="12">
        <v>0.21360254779843599</v>
      </c>
      <c r="BC25" s="12">
        <v>0.21345407536481401</v>
      </c>
      <c r="BD25" s="12">
        <v>0.21323703840310201</v>
      </c>
      <c r="BE25" s="12">
        <v>0.21344333752751701</v>
      </c>
      <c r="BF25" s="33">
        <v>0.21355395480452299</v>
      </c>
      <c r="BG25" s="44" t="b">
        <f t="shared" si="20"/>
        <v>1</v>
      </c>
      <c r="BH25" t="b">
        <f t="shared" si="11"/>
        <v>1</v>
      </c>
      <c r="BI25" t="b">
        <f t="shared" si="11"/>
        <v>1</v>
      </c>
      <c r="BJ25" t="b">
        <f t="shared" si="11"/>
        <v>1</v>
      </c>
      <c r="BK25" t="b">
        <f t="shared" si="11"/>
        <v>1</v>
      </c>
      <c r="BL25" t="b">
        <f t="shared" si="11"/>
        <v>1</v>
      </c>
      <c r="BM25" t="b">
        <f t="shared" si="11"/>
        <v>1</v>
      </c>
      <c r="BN25" t="b">
        <f t="shared" si="11"/>
        <v>1</v>
      </c>
      <c r="BO25" t="b">
        <f t="shared" si="11"/>
        <v>1</v>
      </c>
      <c r="BP25" t="b">
        <f t="shared" si="11"/>
        <v>1</v>
      </c>
      <c r="BQ25" s="45" t="b">
        <f t="shared" si="11"/>
        <v>1</v>
      </c>
      <c r="BS25" s="1">
        <f t="shared" si="17"/>
        <v>48</v>
      </c>
      <c r="BT25" s="23">
        <v>3.8877872747026848E-3</v>
      </c>
      <c r="BU25" s="8">
        <v>5.2219692111758918E-3</v>
      </c>
      <c r="BV25" s="8">
        <v>5.2218134862469451E-3</v>
      </c>
      <c r="BW25" s="8">
        <v>4.9487945531951514E-3</v>
      </c>
      <c r="BX25" s="8">
        <v>5.0804439841712224E-3</v>
      </c>
      <c r="BY25" s="8">
        <v>4.9749212361369704E-3</v>
      </c>
      <c r="BZ25" s="8">
        <v>4.6162812514832056E-3</v>
      </c>
      <c r="CA25" s="8">
        <v>4.8104937867204231E-3</v>
      </c>
      <c r="CB25" s="8">
        <v>4.8691912134292969E-3</v>
      </c>
      <c r="CC25" s="8">
        <v>4.809572241504966E-3</v>
      </c>
      <c r="CD25" s="8">
        <v>4.7780520854858533E-3</v>
      </c>
      <c r="CE25" s="32">
        <v>3.8877872747026801E-3</v>
      </c>
      <c r="CF25" s="12">
        <v>5.2219692111758797E-3</v>
      </c>
      <c r="CG25" s="12">
        <v>5.2218134862469998E-3</v>
      </c>
      <c r="CH25" s="12">
        <v>4.9487945531951497E-3</v>
      </c>
      <c r="CI25" s="12">
        <v>5.0804439841712103E-3</v>
      </c>
      <c r="CJ25" s="12">
        <v>4.9749212361369904E-3</v>
      </c>
      <c r="CK25" s="12">
        <v>4.6162812514831996E-3</v>
      </c>
      <c r="CL25" s="12">
        <v>4.8104937867206E-3</v>
      </c>
      <c r="CM25" s="12">
        <v>4.8691912134293802E-3</v>
      </c>
      <c r="CN25" s="12">
        <v>4.8095722415032599E-3</v>
      </c>
      <c r="CO25" s="33">
        <v>4.7780520854853997E-3</v>
      </c>
      <c r="CP25" t="b">
        <f t="shared" si="21"/>
        <v>1</v>
      </c>
      <c r="CQ25" t="b">
        <f t="shared" si="12"/>
        <v>1</v>
      </c>
      <c r="CR25" t="b">
        <f t="shared" si="12"/>
        <v>1</v>
      </c>
      <c r="CS25" t="b">
        <f t="shared" si="12"/>
        <v>1</v>
      </c>
      <c r="CT25" t="b">
        <f t="shared" si="12"/>
        <v>1</v>
      </c>
      <c r="CU25" t="b">
        <f t="shared" si="12"/>
        <v>1</v>
      </c>
      <c r="CV25" t="b">
        <f t="shared" si="12"/>
        <v>1</v>
      </c>
      <c r="CW25" t="b">
        <f t="shared" si="12"/>
        <v>1</v>
      </c>
      <c r="CX25" t="b">
        <f t="shared" si="12"/>
        <v>1</v>
      </c>
      <c r="CY25" t="b">
        <f t="shared" si="12"/>
        <v>1</v>
      </c>
      <c r="CZ25" t="b">
        <f t="shared" si="12"/>
        <v>1</v>
      </c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</row>
    <row r="26" spans="1:177" x14ac:dyDescent="0.25">
      <c r="A26" s="1">
        <f t="shared" si="15"/>
        <v>54</v>
      </c>
      <c r="B26" s="23">
        <v>0.7958214670761028</v>
      </c>
      <c r="C26" s="8">
        <v>0.78816005472113648</v>
      </c>
      <c r="D26" s="8">
        <v>0.78816168526837493</v>
      </c>
      <c r="E26" s="8">
        <v>0.79560591381975121</v>
      </c>
      <c r="F26" s="8">
        <v>0.78604637570410008</v>
      </c>
      <c r="G26" s="8">
        <v>0.78548447101254637</v>
      </c>
      <c r="H26" s="8">
        <v>0.78639106868072484</v>
      </c>
      <c r="I26" s="8">
        <v>0.7856168500157007</v>
      </c>
      <c r="J26" s="8">
        <v>0.78550652137525856</v>
      </c>
      <c r="K26" s="8">
        <v>0.78562959593432258</v>
      </c>
      <c r="L26" s="8">
        <v>0.78569347083741115</v>
      </c>
      <c r="M26" s="32">
        <v>0.79582146707610302</v>
      </c>
      <c r="N26" s="12">
        <v>0.78816005472113704</v>
      </c>
      <c r="O26" s="12">
        <v>0.78816168526837305</v>
      </c>
      <c r="P26" s="12">
        <v>0.79560591381975099</v>
      </c>
      <c r="Q26" s="12">
        <v>0.78604637570410096</v>
      </c>
      <c r="R26" s="12">
        <v>0.78548447101254604</v>
      </c>
      <c r="S26" s="12">
        <v>0.78639106868072495</v>
      </c>
      <c r="T26" s="12">
        <v>0.78561685001567305</v>
      </c>
      <c r="U26" s="12">
        <v>0.78550652137524801</v>
      </c>
      <c r="V26" s="12">
        <v>0.78562959593439097</v>
      </c>
      <c r="W26" s="33">
        <v>0.78569347083742802</v>
      </c>
      <c r="X26" t="b">
        <f t="shared" si="0"/>
        <v>1</v>
      </c>
      <c r="Y26" t="b">
        <f t="shared" si="1"/>
        <v>1</v>
      </c>
      <c r="Z26" t="b">
        <f t="shared" si="2"/>
        <v>1</v>
      </c>
      <c r="AA26" t="b">
        <f t="shared" si="3"/>
        <v>1</v>
      </c>
      <c r="AB26" t="b">
        <f t="shared" si="4"/>
        <v>1</v>
      </c>
      <c r="AC26" t="b">
        <f t="shared" si="5"/>
        <v>1</v>
      </c>
      <c r="AD26" t="b">
        <f t="shared" si="6"/>
        <v>1</v>
      </c>
      <c r="AE26" t="b">
        <f t="shared" si="7"/>
        <v>1</v>
      </c>
      <c r="AF26" t="b">
        <f t="shared" si="8"/>
        <v>1</v>
      </c>
      <c r="AG26" t="b">
        <f t="shared" si="9"/>
        <v>1</v>
      </c>
      <c r="AH26" t="b">
        <f t="shared" si="10"/>
        <v>1</v>
      </c>
      <c r="AJ26" s="1">
        <f t="shared" si="16"/>
        <v>54</v>
      </c>
      <c r="AK26" s="23">
        <v>0.22838040588681344</v>
      </c>
      <c r="AL26" s="8">
        <v>0.23805409462099703</v>
      </c>
      <c r="AM26" s="8">
        <v>0.23805202582095819</v>
      </c>
      <c r="AN26" s="8">
        <v>0.2286512988728929</v>
      </c>
      <c r="AO26" s="8">
        <v>0.2407394861254237</v>
      </c>
      <c r="AP26" s="8">
        <v>0.24145459103942907</v>
      </c>
      <c r="AQ26" s="8">
        <v>0.24030106743553967</v>
      </c>
      <c r="AR26" s="8">
        <v>0.24128607357757503</v>
      </c>
      <c r="AS26" s="8">
        <v>0.24142651912454161</v>
      </c>
      <c r="AT26" s="8">
        <v>0.24126984961900377</v>
      </c>
      <c r="AU26" s="8">
        <v>0.24118854882927507</v>
      </c>
      <c r="AV26" s="32">
        <v>0.22838040588681299</v>
      </c>
      <c r="AW26" s="12">
        <v>0.238054094620997</v>
      </c>
      <c r="AX26" s="12">
        <v>0.23805202582096099</v>
      </c>
      <c r="AY26" s="12">
        <v>0.22865129887289301</v>
      </c>
      <c r="AZ26" s="12">
        <v>0.24073948612542301</v>
      </c>
      <c r="BA26" s="12">
        <v>0.24145459103942901</v>
      </c>
      <c r="BB26" s="12">
        <v>0.240301067435539</v>
      </c>
      <c r="BC26" s="12">
        <v>0.24128607357761001</v>
      </c>
      <c r="BD26" s="12">
        <v>0.24142651912455601</v>
      </c>
      <c r="BE26" s="12">
        <v>0.24126984961891701</v>
      </c>
      <c r="BF26" s="33">
        <v>0.241188548829254</v>
      </c>
      <c r="BG26" s="44" t="b">
        <f t="shared" si="20"/>
        <v>1</v>
      </c>
      <c r="BH26" t="b">
        <f t="shared" si="11"/>
        <v>1</v>
      </c>
      <c r="BI26" t="b">
        <f t="shared" si="11"/>
        <v>1</v>
      </c>
      <c r="BJ26" t="b">
        <f t="shared" si="11"/>
        <v>1</v>
      </c>
      <c r="BK26" t="b">
        <f t="shared" si="11"/>
        <v>1</v>
      </c>
      <c r="BL26" t="b">
        <f t="shared" si="11"/>
        <v>1</v>
      </c>
      <c r="BM26" t="b">
        <f t="shared" si="11"/>
        <v>1</v>
      </c>
      <c r="BN26" t="b">
        <f t="shared" si="11"/>
        <v>1</v>
      </c>
      <c r="BO26" t="b">
        <f t="shared" si="11"/>
        <v>1</v>
      </c>
      <c r="BP26" t="b">
        <f t="shared" si="11"/>
        <v>1</v>
      </c>
      <c r="BQ26" s="45" t="b">
        <f t="shared" si="11"/>
        <v>1</v>
      </c>
      <c r="BS26" s="1">
        <f t="shared" si="17"/>
        <v>54</v>
      </c>
      <c r="BT26" s="23">
        <v>3.7901877974972327E-3</v>
      </c>
      <c r="BU26" s="8">
        <v>4.9660864268361322E-3</v>
      </c>
      <c r="BV26" s="8">
        <v>4.9659171714014254E-3</v>
      </c>
      <c r="BW26" s="8">
        <v>4.9710105422885106E-3</v>
      </c>
      <c r="BX26" s="8">
        <v>4.7528657465924704E-3</v>
      </c>
      <c r="BY26" s="8">
        <v>4.5929452962353802E-3</v>
      </c>
      <c r="BZ26" s="8">
        <v>4.2843888263826846E-3</v>
      </c>
      <c r="CA26" s="8">
        <v>4.4644721440004892E-3</v>
      </c>
      <c r="CB26" s="8">
        <v>4.5236633039706636E-3</v>
      </c>
      <c r="CC26" s="8">
        <v>4.4635795010557894E-3</v>
      </c>
      <c r="CD26" s="8">
        <v>4.4317950705997939E-3</v>
      </c>
      <c r="CE26" s="32">
        <v>3.7901877974972301E-3</v>
      </c>
      <c r="CF26" s="12">
        <v>4.96608642683612E-3</v>
      </c>
      <c r="CG26" s="12">
        <v>4.9659171714014601E-3</v>
      </c>
      <c r="CH26" s="12">
        <v>4.9710105422885098E-3</v>
      </c>
      <c r="CI26" s="12">
        <v>4.7528657465924599E-3</v>
      </c>
      <c r="CJ26" s="12">
        <v>4.5929452962353897E-3</v>
      </c>
      <c r="CK26" s="12">
        <v>4.2843888263826803E-3</v>
      </c>
      <c r="CL26" s="12">
        <v>4.4644721440006297E-3</v>
      </c>
      <c r="CM26" s="12">
        <v>4.5236633039707303E-3</v>
      </c>
      <c r="CN26" s="12">
        <v>4.4635795010542203E-3</v>
      </c>
      <c r="CO26" s="33">
        <v>4.4317950705993802E-3</v>
      </c>
      <c r="CP26" t="b">
        <f t="shared" si="21"/>
        <v>1</v>
      </c>
      <c r="CQ26" t="b">
        <f t="shared" si="12"/>
        <v>1</v>
      </c>
      <c r="CR26" t="b">
        <f t="shared" si="12"/>
        <v>1</v>
      </c>
      <c r="CS26" t="b">
        <f t="shared" si="12"/>
        <v>1</v>
      </c>
      <c r="CT26" t="b">
        <f t="shared" si="12"/>
        <v>1</v>
      </c>
      <c r="CU26" t="b">
        <f t="shared" si="12"/>
        <v>1</v>
      </c>
      <c r="CV26" t="b">
        <f t="shared" si="12"/>
        <v>1</v>
      </c>
      <c r="CW26" t="b">
        <f t="shared" si="12"/>
        <v>1</v>
      </c>
      <c r="CX26" t="b">
        <f t="shared" si="12"/>
        <v>1</v>
      </c>
      <c r="CY26" t="b">
        <f t="shared" si="12"/>
        <v>1</v>
      </c>
      <c r="CZ26" t="b">
        <f t="shared" si="12"/>
        <v>1</v>
      </c>
    </row>
    <row r="27" spans="1:177" x14ac:dyDescent="0.25">
      <c r="A27" s="1">
        <f t="shared" si="15"/>
        <v>60</v>
      </c>
      <c r="B27" s="23">
        <v>0.77815508940273492</v>
      </c>
      <c r="C27" s="8">
        <v>0.76576732521498814</v>
      </c>
      <c r="D27" s="8">
        <v>0.76576970167794789</v>
      </c>
      <c r="E27" s="8">
        <v>0.77235978866737487</v>
      </c>
      <c r="F27" s="8">
        <v>0.76478532273128885</v>
      </c>
      <c r="G27" s="8">
        <v>0.7650455295976436</v>
      </c>
      <c r="H27" s="8">
        <v>0.76717614479836826</v>
      </c>
      <c r="I27" s="8">
        <v>0.76566023187815524</v>
      </c>
      <c r="J27" s="8">
        <v>0.76529266928699602</v>
      </c>
      <c r="K27" s="8">
        <v>0.76567653878824404</v>
      </c>
      <c r="L27" s="8">
        <v>0.76587864304706088</v>
      </c>
      <c r="M27" s="32">
        <v>0.77815508940273503</v>
      </c>
      <c r="N27" s="12">
        <v>0.76576732521498803</v>
      </c>
      <c r="O27" s="12">
        <v>0.765769701677946</v>
      </c>
      <c r="P27" s="12">
        <v>0.77235978866737498</v>
      </c>
      <c r="Q27" s="12">
        <v>0.76478532273128896</v>
      </c>
      <c r="R27" s="12">
        <v>0.76504552959764305</v>
      </c>
      <c r="S27" s="12">
        <v>0.76717614479836804</v>
      </c>
      <c r="T27" s="12">
        <v>0.76566023187813304</v>
      </c>
      <c r="U27" s="12">
        <v>0.76529266928695305</v>
      </c>
      <c r="V27" s="12">
        <v>0.76567653878830599</v>
      </c>
      <c r="W27" s="33">
        <v>0.76587864304706998</v>
      </c>
      <c r="X27" t="b">
        <f t="shared" si="0"/>
        <v>1</v>
      </c>
      <c r="Y27" t="b">
        <f t="shared" si="1"/>
        <v>1</v>
      </c>
      <c r="Z27" t="b">
        <f t="shared" si="2"/>
        <v>1</v>
      </c>
      <c r="AA27" t="b">
        <f t="shared" si="3"/>
        <v>1</v>
      </c>
      <c r="AB27" t="b">
        <f t="shared" si="4"/>
        <v>1</v>
      </c>
      <c r="AC27" t="b">
        <f t="shared" si="5"/>
        <v>1</v>
      </c>
      <c r="AD27" t="b">
        <f t="shared" si="6"/>
        <v>1</v>
      </c>
      <c r="AE27" t="b">
        <f t="shared" si="7"/>
        <v>1</v>
      </c>
      <c r="AF27" t="b">
        <f t="shared" si="8"/>
        <v>1</v>
      </c>
      <c r="AG27" t="b">
        <f t="shared" si="9"/>
        <v>1</v>
      </c>
      <c r="AH27" t="b">
        <f t="shared" si="10"/>
        <v>1</v>
      </c>
      <c r="AJ27" s="1">
        <f t="shared" si="16"/>
        <v>60</v>
      </c>
      <c r="AK27" s="23">
        <v>0.25082943096474697</v>
      </c>
      <c r="AL27" s="8">
        <v>0.26687690836687145</v>
      </c>
      <c r="AM27" s="8">
        <v>0.26687380499696522</v>
      </c>
      <c r="AN27" s="8">
        <v>0.25830479002716578</v>
      </c>
      <c r="AO27" s="8">
        <v>0.26816010841851851</v>
      </c>
      <c r="AP27" s="8">
        <v>0.26781993111268382</v>
      </c>
      <c r="AQ27" s="8">
        <v>0.26503884974621733</v>
      </c>
      <c r="AR27" s="8">
        <v>0.2670167691608234</v>
      </c>
      <c r="AS27" s="8">
        <v>0.26749694408709557</v>
      </c>
      <c r="AT27" s="8">
        <v>0.26699547154634462</v>
      </c>
      <c r="AU27" s="8">
        <v>0.26673155123529479</v>
      </c>
      <c r="AV27" s="32">
        <v>0.25082943096474702</v>
      </c>
      <c r="AW27" s="12">
        <v>0.266876908366871</v>
      </c>
      <c r="AX27" s="12">
        <v>0.266873804996968</v>
      </c>
      <c r="AY27" s="12">
        <v>0.258304790027166</v>
      </c>
      <c r="AZ27" s="12">
        <v>0.26816010841851801</v>
      </c>
      <c r="BA27" s="12">
        <v>0.26781993111268398</v>
      </c>
      <c r="BB27" s="12">
        <v>0.265038849746217</v>
      </c>
      <c r="BC27" s="12">
        <v>0.26701676916085298</v>
      </c>
      <c r="BD27" s="12">
        <v>0.26749694408715202</v>
      </c>
      <c r="BE27" s="12">
        <v>0.26699547154626402</v>
      </c>
      <c r="BF27" s="33">
        <v>0.26673155123528303</v>
      </c>
      <c r="BG27" s="44" t="b">
        <f t="shared" si="20"/>
        <v>1</v>
      </c>
      <c r="BH27" t="b">
        <f t="shared" si="11"/>
        <v>1</v>
      </c>
      <c r="BI27" t="b">
        <f t="shared" si="11"/>
        <v>1</v>
      </c>
      <c r="BJ27" t="b">
        <f t="shared" si="11"/>
        <v>1</v>
      </c>
      <c r="BK27" t="b">
        <f t="shared" si="11"/>
        <v>1</v>
      </c>
      <c r="BL27" t="b">
        <f t="shared" si="11"/>
        <v>1</v>
      </c>
      <c r="BM27" t="b">
        <f t="shared" si="11"/>
        <v>1</v>
      </c>
      <c r="BN27" t="b">
        <f t="shared" si="11"/>
        <v>1</v>
      </c>
      <c r="BO27" t="b">
        <f t="shared" si="11"/>
        <v>1</v>
      </c>
      <c r="BP27" t="b">
        <f t="shared" si="11"/>
        <v>1</v>
      </c>
      <c r="BQ27" s="45" t="b">
        <f t="shared" si="11"/>
        <v>1</v>
      </c>
      <c r="BS27" s="1">
        <f t="shared" si="17"/>
        <v>60</v>
      </c>
      <c r="BT27" s="23">
        <v>3.6928783035079108E-3</v>
      </c>
      <c r="BU27" s="8">
        <v>4.6302472720620358E-3</v>
      </c>
      <c r="BV27" s="8">
        <v>4.6300730409888973E-3</v>
      </c>
      <c r="BW27" s="8">
        <v>4.8962717831486724E-3</v>
      </c>
      <c r="BX27" s="8">
        <v>4.3822003780601337E-3</v>
      </c>
      <c r="BY27" s="8">
        <v>4.1951107939511723E-3</v>
      </c>
      <c r="BZ27" s="8">
        <v>3.9641178387046271E-3</v>
      </c>
      <c r="CA27" s="8">
        <v>4.1127142665959545E-3</v>
      </c>
      <c r="CB27" s="8">
        <v>4.1658533949859369E-3</v>
      </c>
      <c r="CC27" s="8">
        <v>4.1119264967775793E-3</v>
      </c>
      <c r="CD27" s="8">
        <v>4.0833185515490719E-3</v>
      </c>
      <c r="CE27" s="32">
        <v>3.6928783035079099E-3</v>
      </c>
      <c r="CF27" s="12">
        <v>4.6302472720620297E-3</v>
      </c>
      <c r="CG27" s="12">
        <v>4.6300730409889199E-3</v>
      </c>
      <c r="CH27" s="12">
        <v>4.8962717831486698E-3</v>
      </c>
      <c r="CI27" s="12">
        <v>4.3822003780601302E-3</v>
      </c>
      <c r="CJ27" s="12">
        <v>4.1951107939511801E-3</v>
      </c>
      <c r="CK27" s="12">
        <v>3.9641178387046202E-3</v>
      </c>
      <c r="CL27" s="12">
        <v>4.1127142665960698E-3</v>
      </c>
      <c r="CM27" s="12">
        <v>4.1658533949861703E-3</v>
      </c>
      <c r="CN27" s="12">
        <v>4.1119264967762002E-3</v>
      </c>
      <c r="CO27" s="33">
        <v>4.0833185515487501E-3</v>
      </c>
      <c r="CP27" t="b">
        <f t="shared" si="21"/>
        <v>1</v>
      </c>
      <c r="CQ27" t="b">
        <f t="shared" si="12"/>
        <v>1</v>
      </c>
      <c r="CR27" t="b">
        <f t="shared" si="12"/>
        <v>1</v>
      </c>
      <c r="CS27" t="b">
        <f t="shared" si="12"/>
        <v>1</v>
      </c>
      <c r="CT27" t="b">
        <f t="shared" si="12"/>
        <v>1</v>
      </c>
      <c r="CU27" t="b">
        <f t="shared" si="12"/>
        <v>1</v>
      </c>
      <c r="CV27" t="b">
        <f t="shared" si="12"/>
        <v>1</v>
      </c>
      <c r="CW27" t="b">
        <f t="shared" si="12"/>
        <v>1</v>
      </c>
      <c r="CX27" t="b">
        <f t="shared" si="12"/>
        <v>1</v>
      </c>
      <c r="CY27" t="b">
        <f t="shared" si="12"/>
        <v>1</v>
      </c>
      <c r="CZ27" t="b">
        <f t="shared" si="12"/>
        <v>1</v>
      </c>
    </row>
    <row r="28" spans="1:177" x14ac:dyDescent="0.25">
      <c r="A28" s="1">
        <f t="shared" si="15"/>
        <v>66</v>
      </c>
      <c r="B28" s="23">
        <v>0.76132438510735878</v>
      </c>
      <c r="C28" s="8">
        <v>0.74564489373613452</v>
      </c>
      <c r="D28" s="8">
        <v>0.7456479838165927</v>
      </c>
      <c r="E28" s="8">
        <v>0.75036844794196433</v>
      </c>
      <c r="F28" s="8">
        <v>0.74580970581336448</v>
      </c>
      <c r="G28" s="8">
        <v>0.74690987851813817</v>
      </c>
      <c r="H28" s="8">
        <v>0.74983200722840093</v>
      </c>
      <c r="I28" s="8">
        <v>0.74777519201294562</v>
      </c>
      <c r="J28" s="8">
        <v>0.74720026837386544</v>
      </c>
      <c r="K28" s="8">
        <v>0.74779431207526004</v>
      </c>
      <c r="L28" s="8">
        <v>0.74810833893762241</v>
      </c>
      <c r="M28" s="32">
        <v>0.761324385107359</v>
      </c>
      <c r="N28" s="12">
        <v>0.74564489373613496</v>
      </c>
      <c r="O28" s="12">
        <v>0.74564798381659003</v>
      </c>
      <c r="P28" s="12">
        <v>0.750368447941964</v>
      </c>
      <c r="Q28" s="12">
        <v>0.74580970581336403</v>
      </c>
      <c r="R28" s="12">
        <v>0.74690987851813795</v>
      </c>
      <c r="S28" s="12">
        <v>0.74983200722840104</v>
      </c>
      <c r="T28" s="12">
        <v>0.74777519201287401</v>
      </c>
      <c r="U28" s="12">
        <v>0.74720026837383702</v>
      </c>
      <c r="V28" s="12">
        <v>0.74779431207533997</v>
      </c>
      <c r="W28" s="33">
        <v>0.74810833893764495</v>
      </c>
      <c r="X28" t="b">
        <f t="shared" si="0"/>
        <v>1</v>
      </c>
      <c r="Y28" t="b">
        <f t="shared" si="1"/>
        <v>1</v>
      </c>
      <c r="Z28" t="b">
        <f t="shared" si="2"/>
        <v>1</v>
      </c>
      <c r="AA28" t="b">
        <f t="shared" si="3"/>
        <v>1</v>
      </c>
      <c r="AB28" t="b">
        <f t="shared" si="4"/>
        <v>1</v>
      </c>
      <c r="AC28" t="b">
        <f t="shared" si="5"/>
        <v>1</v>
      </c>
      <c r="AD28" t="b">
        <f t="shared" si="6"/>
        <v>1</v>
      </c>
      <c r="AE28" t="b">
        <f t="shared" si="7"/>
        <v>1</v>
      </c>
      <c r="AF28" t="b">
        <f t="shared" si="8"/>
        <v>1</v>
      </c>
      <c r="AG28" t="b">
        <f t="shared" si="9"/>
        <v>1</v>
      </c>
      <c r="AH28" t="b">
        <f t="shared" si="10"/>
        <v>1</v>
      </c>
      <c r="AJ28" s="1">
        <f t="shared" si="16"/>
        <v>66</v>
      </c>
      <c r="AK28" s="23">
        <v>0.27269575030503002</v>
      </c>
      <c r="AL28" s="8">
        <v>0.2935058058674242</v>
      </c>
      <c r="AM28" s="8">
        <v>0.2935016617043229</v>
      </c>
      <c r="AN28" s="8">
        <v>0.28719092915977662</v>
      </c>
      <c r="AO28" s="8">
        <v>0.29328479735942053</v>
      </c>
      <c r="AP28" s="8">
        <v>0.29181074568149123</v>
      </c>
      <c r="AQ28" s="8">
        <v>0.28790608790350081</v>
      </c>
      <c r="AR28" s="8">
        <v>0.29065289161772945</v>
      </c>
      <c r="AS28" s="8">
        <v>0.29142203289483659</v>
      </c>
      <c r="AT28" s="8">
        <v>0.29062732267925723</v>
      </c>
      <c r="AU28" s="8">
        <v>0.2902074733437906</v>
      </c>
      <c r="AV28" s="32">
        <v>0.27269575030503002</v>
      </c>
      <c r="AW28" s="12">
        <v>0.29350580586742397</v>
      </c>
      <c r="AX28" s="12">
        <v>0.29350166170432601</v>
      </c>
      <c r="AY28" s="12">
        <v>0.28719092915977701</v>
      </c>
      <c r="AZ28" s="12">
        <v>0.29328479735942098</v>
      </c>
      <c r="BA28" s="12">
        <v>0.29181074568149101</v>
      </c>
      <c r="BB28" s="12">
        <v>0.28790608790350097</v>
      </c>
      <c r="BC28" s="12">
        <v>0.29065289161782498</v>
      </c>
      <c r="BD28" s="12">
        <v>0.291422032894875</v>
      </c>
      <c r="BE28" s="12">
        <v>0.29062732267914998</v>
      </c>
      <c r="BF28" s="33">
        <v>0.29020747334376001</v>
      </c>
      <c r="BG28" s="44" t="b">
        <f t="shared" si="20"/>
        <v>1</v>
      </c>
      <c r="BH28" t="b">
        <f t="shared" si="11"/>
        <v>1</v>
      </c>
      <c r="BI28" t="b">
        <f t="shared" si="11"/>
        <v>1</v>
      </c>
      <c r="BJ28" t="b">
        <f t="shared" si="11"/>
        <v>1</v>
      </c>
      <c r="BK28" t="b">
        <f t="shared" si="11"/>
        <v>1</v>
      </c>
      <c r="BL28" t="b">
        <f t="shared" si="11"/>
        <v>1</v>
      </c>
      <c r="BM28" t="b">
        <f t="shared" si="11"/>
        <v>1</v>
      </c>
      <c r="BN28" t="b">
        <f t="shared" si="11"/>
        <v>1</v>
      </c>
      <c r="BO28" t="b">
        <f t="shared" si="11"/>
        <v>1</v>
      </c>
      <c r="BP28" t="b">
        <f t="shared" si="11"/>
        <v>1</v>
      </c>
      <c r="BQ28" s="45" t="b">
        <f t="shared" si="11"/>
        <v>1</v>
      </c>
      <c r="BS28" s="1">
        <f t="shared" si="17"/>
        <v>66</v>
      </c>
      <c r="BT28" s="23">
        <v>3.5959711352920778E-3</v>
      </c>
      <c r="BU28" s="8">
        <v>4.2387297724983076E-3</v>
      </c>
      <c r="BV28" s="8">
        <v>4.2385582555276233E-3</v>
      </c>
      <c r="BW28" s="8">
        <v>4.7139508502522737E-3</v>
      </c>
      <c r="BX28" s="8">
        <v>3.9908131089192011E-3</v>
      </c>
      <c r="BY28" s="8">
        <v>3.804377217642152E-3</v>
      </c>
      <c r="BZ28" s="8">
        <v>3.6615400833140059E-3</v>
      </c>
      <c r="CA28" s="8">
        <v>3.767917389992563E-3</v>
      </c>
      <c r="CB28" s="8">
        <v>3.8105071719146872E-3</v>
      </c>
      <c r="CC28" s="8">
        <v>3.7672887017966192E-3</v>
      </c>
      <c r="CD28" s="8">
        <v>3.7442362734569066E-3</v>
      </c>
      <c r="CE28" s="32">
        <v>3.5959711352920799E-3</v>
      </c>
      <c r="CF28" s="12">
        <v>4.2387297724982998E-3</v>
      </c>
      <c r="CG28" s="12">
        <v>4.2385582555276302E-3</v>
      </c>
      <c r="CH28" s="12">
        <v>4.7139508502522702E-3</v>
      </c>
      <c r="CI28" s="12">
        <v>3.9908131089192002E-3</v>
      </c>
      <c r="CJ28" s="12">
        <v>3.8043772176421602E-3</v>
      </c>
      <c r="CK28" s="12">
        <v>3.6615400833139998E-3</v>
      </c>
      <c r="CL28" s="12">
        <v>3.7679173899929099E-3</v>
      </c>
      <c r="CM28" s="12">
        <v>3.8105071719148299E-3</v>
      </c>
      <c r="CN28" s="12">
        <v>3.7672887017952401E-3</v>
      </c>
      <c r="CO28" s="33">
        <v>3.74423627345642E-3</v>
      </c>
      <c r="CP28" t="b">
        <f t="shared" si="21"/>
        <v>1</v>
      </c>
      <c r="CQ28" t="b">
        <f t="shared" si="12"/>
        <v>1</v>
      </c>
      <c r="CR28" t="b">
        <f t="shared" si="12"/>
        <v>1</v>
      </c>
      <c r="CS28" t="b">
        <f t="shared" si="12"/>
        <v>1</v>
      </c>
      <c r="CT28" t="b">
        <f t="shared" si="12"/>
        <v>1</v>
      </c>
      <c r="CU28" t="b">
        <f t="shared" si="12"/>
        <v>1</v>
      </c>
      <c r="CV28" t="b">
        <f t="shared" si="12"/>
        <v>1</v>
      </c>
      <c r="CW28" t="b">
        <f t="shared" si="12"/>
        <v>1</v>
      </c>
      <c r="CX28" t="b">
        <f t="shared" si="12"/>
        <v>1</v>
      </c>
      <c r="CY28" t="b">
        <f t="shared" si="12"/>
        <v>1</v>
      </c>
      <c r="CZ28" t="b">
        <f t="shared" si="12"/>
        <v>1</v>
      </c>
    </row>
    <row r="29" spans="1:177" x14ac:dyDescent="0.25">
      <c r="A29" s="1">
        <f t="shared" si="15"/>
        <v>72</v>
      </c>
      <c r="B29" s="23">
        <v>0.74528982429835788</v>
      </c>
      <c r="C29" s="8">
        <v>0.72783856468512009</v>
      </c>
      <c r="D29" s="8">
        <v>0.72784231219634954</v>
      </c>
      <c r="E29" s="8">
        <v>0.73004500259762906</v>
      </c>
      <c r="F29" s="8">
        <v>0.72902818717305817</v>
      </c>
      <c r="G29" s="8">
        <v>0.73087403231704773</v>
      </c>
      <c r="H29" s="8">
        <v>0.73416747017796224</v>
      </c>
      <c r="I29" s="8">
        <v>0.73179026130713543</v>
      </c>
      <c r="J29" s="8">
        <v>0.73106923015467773</v>
      </c>
      <c r="K29" s="8">
        <v>0.73181131723718607</v>
      </c>
      <c r="L29" s="8">
        <v>0.73220484773473182</v>
      </c>
      <c r="M29" s="32">
        <v>0.74528982429835799</v>
      </c>
      <c r="N29" s="12">
        <v>0.72783856468511998</v>
      </c>
      <c r="O29" s="12">
        <v>0.72784231219634699</v>
      </c>
      <c r="P29" s="12">
        <v>0.73004500259762894</v>
      </c>
      <c r="Q29" s="12">
        <v>0.72902818717305795</v>
      </c>
      <c r="R29" s="12">
        <v>0.73087403231704795</v>
      </c>
      <c r="S29" s="12">
        <v>0.73416747017796202</v>
      </c>
      <c r="T29" s="12">
        <v>0.73179026130708602</v>
      </c>
      <c r="U29" s="12">
        <v>0.73106923015465897</v>
      </c>
      <c r="V29" s="12">
        <v>0.731811317237262</v>
      </c>
      <c r="W29" s="33">
        <v>0.73220484773472005</v>
      </c>
      <c r="X29" t="b">
        <f t="shared" si="0"/>
        <v>1</v>
      </c>
      <c r="Y29" t="b">
        <f t="shared" si="1"/>
        <v>1</v>
      </c>
      <c r="Z29" t="b">
        <f t="shared" si="2"/>
        <v>1</v>
      </c>
      <c r="AA29" t="b">
        <f t="shared" si="3"/>
        <v>1</v>
      </c>
      <c r="AB29" t="b">
        <f t="shared" si="4"/>
        <v>1</v>
      </c>
      <c r="AC29" t="b">
        <f t="shared" si="5"/>
        <v>1</v>
      </c>
      <c r="AD29" t="b">
        <f t="shared" si="6"/>
        <v>1</v>
      </c>
      <c r="AE29" t="b">
        <f t="shared" si="7"/>
        <v>1</v>
      </c>
      <c r="AF29" t="b">
        <f t="shared" si="8"/>
        <v>1</v>
      </c>
      <c r="AG29" t="b">
        <f t="shared" si="9"/>
        <v>1</v>
      </c>
      <c r="AH29" t="b">
        <f t="shared" si="10"/>
        <v>1</v>
      </c>
      <c r="AJ29" s="1">
        <f t="shared" si="16"/>
        <v>72</v>
      </c>
      <c r="AK29" s="23">
        <v>0.2939821103496989</v>
      </c>
      <c r="AL29" s="8">
        <v>0.31767600718217198</v>
      </c>
      <c r="AM29" s="8">
        <v>0.31767085837340631</v>
      </c>
      <c r="AN29" s="8">
        <v>0.31464909934581031</v>
      </c>
      <c r="AO29" s="8">
        <v>0.31604288218865562</v>
      </c>
      <c r="AP29" s="8">
        <v>0.31351415649327069</v>
      </c>
      <c r="AQ29" s="8">
        <v>0.30901811538698704</v>
      </c>
      <c r="AR29" s="8">
        <v>0.31226133434683351</v>
      </c>
      <c r="AS29" s="8">
        <v>0.31324711762274715</v>
      </c>
      <c r="AT29" s="8">
        <v>0.31223256158468188</v>
      </c>
      <c r="AU29" s="8">
        <v>0.31169495753844317</v>
      </c>
      <c r="AV29" s="32">
        <v>0.29398211034969901</v>
      </c>
      <c r="AW29" s="12">
        <v>0.31767600718217198</v>
      </c>
      <c r="AX29" s="12">
        <v>0.31767085837341003</v>
      </c>
      <c r="AY29" s="12">
        <v>0.31464909934580998</v>
      </c>
      <c r="AZ29" s="12">
        <v>0.31604288218865501</v>
      </c>
      <c r="BA29" s="12">
        <v>0.31351415649327102</v>
      </c>
      <c r="BB29" s="12">
        <v>0.30901811538698698</v>
      </c>
      <c r="BC29" s="12">
        <v>0.31226133434690101</v>
      </c>
      <c r="BD29" s="12">
        <v>0.31324711762277302</v>
      </c>
      <c r="BE29" s="12">
        <v>0.31223256158457802</v>
      </c>
      <c r="BF29" s="33">
        <v>0.31169495753845999</v>
      </c>
      <c r="BG29" s="44" t="b">
        <f t="shared" si="20"/>
        <v>1</v>
      </c>
      <c r="BH29" t="b">
        <f t="shared" si="11"/>
        <v>1</v>
      </c>
      <c r="BI29" t="b">
        <f t="shared" si="11"/>
        <v>1</v>
      </c>
      <c r="BJ29" t="b">
        <f t="shared" si="11"/>
        <v>1</v>
      </c>
      <c r="BK29" t="b">
        <f t="shared" si="11"/>
        <v>1</v>
      </c>
      <c r="BL29" t="b">
        <f t="shared" si="11"/>
        <v>1</v>
      </c>
      <c r="BM29" t="b">
        <f t="shared" si="11"/>
        <v>1</v>
      </c>
      <c r="BN29" t="b">
        <f t="shared" si="11"/>
        <v>1</v>
      </c>
      <c r="BO29" t="b">
        <f t="shared" si="11"/>
        <v>1</v>
      </c>
      <c r="BP29" t="b">
        <f t="shared" si="11"/>
        <v>1</v>
      </c>
      <c r="BQ29" s="45" t="b">
        <f t="shared" si="11"/>
        <v>1</v>
      </c>
      <c r="BS29" s="1">
        <f t="shared" si="17"/>
        <v>72</v>
      </c>
      <c r="BT29" s="23">
        <v>3.4995767689720357E-3</v>
      </c>
      <c r="BU29" s="8">
        <v>3.8143026316987414E-3</v>
      </c>
      <c r="BV29" s="8">
        <v>3.8141402023214419E-3</v>
      </c>
      <c r="BW29" s="8">
        <v>4.4204019801830667E-3</v>
      </c>
      <c r="BX29" s="8">
        <v>3.5957872514740695E-3</v>
      </c>
      <c r="BY29" s="8">
        <v>3.4342803645627143E-3</v>
      </c>
      <c r="BZ29" s="8">
        <v>3.3792927686209931E-3</v>
      </c>
      <c r="CA29" s="8">
        <v>3.4377918466539275E-3</v>
      </c>
      <c r="CB29" s="8">
        <v>3.4670859042123616E-3</v>
      </c>
      <c r="CC29" s="8">
        <v>3.4373569050099718E-3</v>
      </c>
      <c r="CD29" s="8">
        <v>3.4213388746537174E-3</v>
      </c>
      <c r="CE29" s="32">
        <v>3.49957676897204E-3</v>
      </c>
      <c r="CF29" s="12">
        <v>3.8143026316987301E-3</v>
      </c>
      <c r="CG29" s="12">
        <v>3.8141402023214401E-3</v>
      </c>
      <c r="CH29" s="12">
        <v>4.4204019801830597E-3</v>
      </c>
      <c r="CI29" s="12">
        <v>3.5957872514740599E-3</v>
      </c>
      <c r="CJ29" s="12">
        <v>3.4342803645627199E-3</v>
      </c>
      <c r="CK29" s="12">
        <v>3.3792927686209901E-3</v>
      </c>
      <c r="CL29" s="12">
        <v>3.4377918466541599E-3</v>
      </c>
      <c r="CM29" s="12">
        <v>3.4670859042124401E-3</v>
      </c>
      <c r="CN29" s="12">
        <v>3.4373569050087502E-3</v>
      </c>
      <c r="CO29" s="33">
        <v>3.4213388746534702E-3</v>
      </c>
      <c r="CP29" t="b">
        <f t="shared" si="21"/>
        <v>1</v>
      </c>
      <c r="CQ29" t="b">
        <f t="shared" si="12"/>
        <v>1</v>
      </c>
      <c r="CR29" t="b">
        <f t="shared" si="12"/>
        <v>1</v>
      </c>
      <c r="CS29" t="b">
        <f t="shared" si="12"/>
        <v>1</v>
      </c>
      <c r="CT29" t="b">
        <f t="shared" si="12"/>
        <v>1</v>
      </c>
      <c r="CU29" t="b">
        <f t="shared" si="12"/>
        <v>1</v>
      </c>
      <c r="CV29" t="b">
        <f t="shared" si="12"/>
        <v>1</v>
      </c>
      <c r="CW29" t="b">
        <f t="shared" si="12"/>
        <v>1</v>
      </c>
      <c r="CX29" t="b">
        <f t="shared" si="12"/>
        <v>1</v>
      </c>
      <c r="CY29" t="b">
        <f t="shared" si="12"/>
        <v>1</v>
      </c>
      <c r="CZ29" t="b">
        <f t="shared" si="12"/>
        <v>1</v>
      </c>
    </row>
    <row r="30" spans="1:177" x14ac:dyDescent="0.25">
      <c r="A30" s="1">
        <f t="shared" si="15"/>
        <v>78</v>
      </c>
      <c r="B30" s="23">
        <v>0.73001374696817878</v>
      </c>
      <c r="C30" s="8">
        <v>0.71230251057200988</v>
      </c>
      <c r="D30" s="8">
        <v>0.71230684404075273</v>
      </c>
      <c r="E30" s="8">
        <v>0.71175298149165411</v>
      </c>
      <c r="F30" s="8">
        <v>0.71429978208545331</v>
      </c>
      <c r="G30" s="8">
        <v>0.71671443456337769</v>
      </c>
      <c r="H30" s="8">
        <v>0.72000311052365296</v>
      </c>
      <c r="I30" s="8">
        <v>0.71752696796481474</v>
      </c>
      <c r="J30" s="8">
        <v>0.71672521816670109</v>
      </c>
      <c r="K30" s="8">
        <v>0.71754903356875321</v>
      </c>
      <c r="L30" s="8">
        <v>0.71798727101577053</v>
      </c>
      <c r="M30" s="32">
        <v>0.730013746968179</v>
      </c>
      <c r="N30" s="12">
        <v>0.71230251057200999</v>
      </c>
      <c r="O30" s="12">
        <v>0.71230684404075095</v>
      </c>
      <c r="P30" s="12">
        <v>0.711752981491654</v>
      </c>
      <c r="Q30" s="12">
        <v>0.71429978208545397</v>
      </c>
      <c r="R30" s="12">
        <v>0.71671443456337802</v>
      </c>
      <c r="S30" s="12">
        <v>0.72000311052365296</v>
      </c>
      <c r="T30" s="12">
        <v>0.71752696796481596</v>
      </c>
      <c r="U30" s="12">
        <v>0.71672521816668</v>
      </c>
      <c r="V30" s="12">
        <v>0.71754903356869804</v>
      </c>
      <c r="W30" s="33">
        <v>0.71798727101575899</v>
      </c>
      <c r="X30" t="b">
        <f t="shared" si="0"/>
        <v>1</v>
      </c>
      <c r="Y30" t="b">
        <f t="shared" si="1"/>
        <v>1</v>
      </c>
      <c r="Z30" t="b">
        <f t="shared" si="2"/>
        <v>1</v>
      </c>
      <c r="AA30" t="b">
        <f t="shared" si="3"/>
        <v>1</v>
      </c>
      <c r="AB30" t="b">
        <f t="shared" si="4"/>
        <v>1</v>
      </c>
      <c r="AC30" t="b">
        <f t="shared" si="5"/>
        <v>1</v>
      </c>
      <c r="AD30" t="b">
        <f t="shared" si="6"/>
        <v>1</v>
      </c>
      <c r="AE30" t="b">
        <f t="shared" si="7"/>
        <v>1</v>
      </c>
      <c r="AF30" t="b">
        <f t="shared" si="8"/>
        <v>1</v>
      </c>
      <c r="AG30" t="b">
        <f t="shared" si="9"/>
        <v>1</v>
      </c>
      <c r="AH30" t="b">
        <f t="shared" si="10"/>
        <v>1</v>
      </c>
      <c r="AJ30" s="1">
        <f t="shared" si="16"/>
        <v>78</v>
      </c>
      <c r="AK30" s="23">
        <v>0.31469191355375142</v>
      </c>
      <c r="AL30" s="8">
        <v>0.33925258340484071</v>
      </c>
      <c r="AM30" s="8">
        <v>0.33924649967567128</v>
      </c>
      <c r="AN30" s="8">
        <v>0.34002436387364315</v>
      </c>
      <c r="AO30" s="8">
        <v>0.33645254189552071</v>
      </c>
      <c r="AP30" s="8">
        <v>0.33307779587061104</v>
      </c>
      <c r="AQ30" s="8">
        <v>0.32849974680962774</v>
      </c>
      <c r="AR30" s="8">
        <v>0.33194474604101831</v>
      </c>
      <c r="AS30" s="8">
        <v>0.33306275009829261</v>
      </c>
      <c r="AT30" s="8">
        <v>0.33191399421475037</v>
      </c>
      <c r="AU30" s="8">
        <v>0.33130343848135435</v>
      </c>
      <c r="AV30" s="32">
        <v>0.31469191355375198</v>
      </c>
      <c r="AW30" s="12">
        <v>0.33925258340483999</v>
      </c>
      <c r="AX30" s="12">
        <v>0.339246499675674</v>
      </c>
      <c r="AY30" s="12">
        <v>0.34002436387364299</v>
      </c>
      <c r="AZ30" s="12">
        <v>0.33645254189551999</v>
      </c>
      <c r="BA30" s="12">
        <v>0.33307779587061098</v>
      </c>
      <c r="BB30" s="12">
        <v>0.32849974680962701</v>
      </c>
      <c r="BC30" s="12">
        <v>0.33194474604101598</v>
      </c>
      <c r="BD30" s="12">
        <v>0.33306275009832198</v>
      </c>
      <c r="BE30" s="12">
        <v>0.33191399421482698</v>
      </c>
      <c r="BF30" s="33">
        <v>0.331303438481371</v>
      </c>
      <c r="BG30" s="44" t="b">
        <f t="shared" si="20"/>
        <v>1</v>
      </c>
      <c r="BH30" t="b">
        <f t="shared" si="11"/>
        <v>1</v>
      </c>
      <c r="BI30" t="b">
        <f t="shared" si="11"/>
        <v>1</v>
      </c>
      <c r="BJ30" t="b">
        <f t="shared" si="11"/>
        <v>1</v>
      </c>
      <c r="BK30" t="b">
        <f t="shared" si="11"/>
        <v>1</v>
      </c>
      <c r="BL30" t="b">
        <f t="shared" si="11"/>
        <v>1</v>
      </c>
      <c r="BM30" t="b">
        <f t="shared" si="11"/>
        <v>1</v>
      </c>
      <c r="BN30" t="b">
        <f t="shared" si="11"/>
        <v>1</v>
      </c>
      <c r="BO30" t="b">
        <f t="shared" si="11"/>
        <v>1</v>
      </c>
      <c r="BP30" t="b">
        <f t="shared" si="11"/>
        <v>1</v>
      </c>
      <c r="BQ30" s="45" t="b">
        <f t="shared" si="11"/>
        <v>1</v>
      </c>
      <c r="BS30" s="1">
        <f t="shared" si="17"/>
        <v>78</v>
      </c>
      <c r="BT30" s="23">
        <v>3.4038033185787514E-3</v>
      </c>
      <c r="BU30" s="8">
        <v>3.3773440221780584E-3</v>
      </c>
      <c r="BV30" s="8">
        <v>3.3771954711577629E-3</v>
      </c>
      <c r="BW30" s="8">
        <v>4.0215372486164351E-3</v>
      </c>
      <c r="BX30" s="8">
        <v>3.2097878873269337E-3</v>
      </c>
      <c r="BY30" s="8">
        <v>3.0918883381782824E-3</v>
      </c>
      <c r="BZ30" s="8">
        <v>3.1180838197650933E-3</v>
      </c>
      <c r="CA30" s="8">
        <v>3.126771568463397E-3</v>
      </c>
      <c r="CB30" s="8">
        <v>3.1414256293809564E-3</v>
      </c>
      <c r="CC30" s="8">
        <v>3.1265486938494504E-3</v>
      </c>
      <c r="CD30" s="8">
        <v>3.1183258159492174E-3</v>
      </c>
      <c r="CE30" s="32">
        <v>3.4038033185787501E-3</v>
      </c>
      <c r="CF30" s="12">
        <v>3.3773440221780502E-3</v>
      </c>
      <c r="CG30" s="12">
        <v>3.3771954711577499E-3</v>
      </c>
      <c r="CH30" s="12">
        <v>4.0215372486164299E-3</v>
      </c>
      <c r="CI30" s="12">
        <v>3.2097878873269298E-3</v>
      </c>
      <c r="CJ30" s="12">
        <v>3.0918883381782802E-3</v>
      </c>
      <c r="CK30" s="12">
        <v>3.1180838197650898E-3</v>
      </c>
      <c r="CL30" s="12">
        <v>3.1267715684633901E-3</v>
      </c>
      <c r="CM30" s="12">
        <v>3.1414256293810401E-3</v>
      </c>
      <c r="CN30" s="12">
        <v>3.12654869384893E-3</v>
      </c>
      <c r="CO30" s="33">
        <v>3.1183258159489802E-3</v>
      </c>
      <c r="CP30" t="b">
        <f t="shared" si="21"/>
        <v>1</v>
      </c>
      <c r="CQ30" t="b">
        <f t="shared" si="12"/>
        <v>1</v>
      </c>
      <c r="CR30" t="b">
        <f t="shared" si="12"/>
        <v>1</v>
      </c>
      <c r="CS30" t="b">
        <f t="shared" si="12"/>
        <v>1</v>
      </c>
      <c r="CT30" t="b">
        <f t="shared" si="12"/>
        <v>1</v>
      </c>
      <c r="CU30" t="b">
        <f t="shared" si="12"/>
        <v>1</v>
      </c>
      <c r="CV30" t="b">
        <f t="shared" si="12"/>
        <v>1</v>
      </c>
      <c r="CW30" t="b">
        <f t="shared" si="12"/>
        <v>1</v>
      </c>
      <c r="CX30" t="b">
        <f t="shared" si="12"/>
        <v>1</v>
      </c>
      <c r="CY30" t="b">
        <f t="shared" si="12"/>
        <v>1</v>
      </c>
      <c r="CZ30" t="b">
        <f t="shared" si="12"/>
        <v>1</v>
      </c>
      <c r="EW30" s="51"/>
    </row>
    <row r="31" spans="1:177" x14ac:dyDescent="0.25">
      <c r="A31" s="1">
        <f t="shared" si="15"/>
        <v>84</v>
      </c>
      <c r="B31" s="23">
        <v>0.71546027454212868</v>
      </c>
      <c r="C31" s="8">
        <v>0.69892358112870856</v>
      </c>
      <c r="D31" s="8">
        <v>0.69892842130644561</v>
      </c>
      <c r="E31" s="8">
        <v>0.69577408341367952</v>
      </c>
      <c r="F31" s="8">
        <v>0.70145637706761743</v>
      </c>
      <c r="G31" s="8">
        <v>0.70421040801098456</v>
      </c>
      <c r="H31" s="8">
        <v>0.70717543677770678</v>
      </c>
      <c r="I31" s="8">
        <v>0.70481111948760311</v>
      </c>
      <c r="J31" s="8">
        <v>0.70399324206110947</v>
      </c>
      <c r="K31" s="8">
        <v>0.70483327680459418</v>
      </c>
      <c r="L31" s="8">
        <v>0.70528159437179827</v>
      </c>
      <c r="M31" s="32">
        <v>0.71546027454212902</v>
      </c>
      <c r="N31" s="12">
        <v>0.698923581128709</v>
      </c>
      <c r="O31" s="12">
        <v>0.69892842130644395</v>
      </c>
      <c r="P31" s="12">
        <v>0.69577408341367997</v>
      </c>
      <c r="Q31" s="12">
        <v>0.70145637706761699</v>
      </c>
      <c r="R31" s="12">
        <v>0.704210408010984</v>
      </c>
      <c r="S31" s="12">
        <v>0.707175436777707</v>
      </c>
      <c r="T31" s="12">
        <v>0.704811119487604</v>
      </c>
      <c r="U31" s="12">
        <v>0.70399324206109903</v>
      </c>
      <c r="V31" s="12">
        <v>0.70483327680456198</v>
      </c>
      <c r="W31" s="33">
        <v>0.70528159437178894</v>
      </c>
      <c r="X31" t="b">
        <f t="shared" si="0"/>
        <v>1</v>
      </c>
      <c r="Y31" t="b">
        <f t="shared" si="1"/>
        <v>1</v>
      </c>
      <c r="Z31" t="b">
        <f t="shared" si="2"/>
        <v>1</v>
      </c>
      <c r="AA31" t="b">
        <f t="shared" si="3"/>
        <v>1</v>
      </c>
      <c r="AB31" t="b">
        <f t="shared" si="4"/>
        <v>1</v>
      </c>
      <c r="AC31" t="b">
        <f t="shared" si="5"/>
        <v>1</v>
      </c>
      <c r="AD31" t="b">
        <f t="shared" si="6"/>
        <v>1</v>
      </c>
      <c r="AE31" t="b">
        <f t="shared" si="7"/>
        <v>1</v>
      </c>
      <c r="AF31" t="b">
        <f t="shared" si="8"/>
        <v>1</v>
      </c>
      <c r="AG31" t="b">
        <f t="shared" si="9"/>
        <v>1</v>
      </c>
      <c r="AH31" t="b">
        <f t="shared" si="10"/>
        <v>1</v>
      </c>
      <c r="AJ31" s="1">
        <f t="shared" si="16"/>
        <v>84</v>
      </c>
      <c r="AK31" s="23">
        <v>0.33482920278187994</v>
      </c>
      <c r="AL31" s="8">
        <v>0.35821386872097422</v>
      </c>
      <c r="AM31" s="8">
        <v>0.35820694355618043</v>
      </c>
      <c r="AN31" s="8">
        <v>0.36273026413579917</v>
      </c>
      <c r="AO31" s="8">
        <v>0.35459656659399014</v>
      </c>
      <c r="AP31" s="8">
        <v>0.35067809246273191</v>
      </c>
      <c r="AQ31" s="8">
        <v>0.3464765013251076</v>
      </c>
      <c r="AR31" s="8">
        <v>0.34982542768609087</v>
      </c>
      <c r="AS31" s="8">
        <v>0.35098652221518362</v>
      </c>
      <c r="AT31" s="8">
        <v>0.3497939909392756</v>
      </c>
      <c r="AU31" s="8">
        <v>0.34915813127780659</v>
      </c>
      <c r="AV31" s="32">
        <v>0.33482920278188</v>
      </c>
      <c r="AW31" s="12">
        <v>0.35821386872097399</v>
      </c>
      <c r="AX31" s="12">
        <v>0.35820694355618299</v>
      </c>
      <c r="AY31" s="12">
        <v>0.36273026413579901</v>
      </c>
      <c r="AZ31" s="12">
        <v>0.35459656659399003</v>
      </c>
      <c r="BA31" s="12">
        <v>0.35067809246273202</v>
      </c>
      <c r="BB31" s="12">
        <v>0.34647650132510699</v>
      </c>
      <c r="BC31" s="12">
        <v>0.34982542768608998</v>
      </c>
      <c r="BD31" s="12">
        <v>0.35098652221519899</v>
      </c>
      <c r="BE31" s="12">
        <v>0.34979399093932201</v>
      </c>
      <c r="BF31" s="33">
        <v>0.34915813127782003</v>
      </c>
      <c r="BG31" s="44" t="b">
        <f t="shared" si="20"/>
        <v>1</v>
      </c>
      <c r="BH31" t="b">
        <f t="shared" si="11"/>
        <v>1</v>
      </c>
      <c r="BI31" t="b">
        <f t="shared" si="11"/>
        <v>1</v>
      </c>
      <c r="BJ31" t="b">
        <f t="shared" si="11"/>
        <v>1</v>
      </c>
      <c r="BK31" t="b">
        <f t="shared" si="11"/>
        <v>1</v>
      </c>
      <c r="BL31" t="b">
        <f t="shared" si="11"/>
        <v>1</v>
      </c>
      <c r="BM31" t="b">
        <f t="shared" si="11"/>
        <v>1</v>
      </c>
      <c r="BN31" t="b">
        <f t="shared" si="11"/>
        <v>1</v>
      </c>
      <c r="BO31" t="b">
        <f t="shared" si="11"/>
        <v>1</v>
      </c>
      <c r="BP31" t="b">
        <f t="shared" si="11"/>
        <v>1</v>
      </c>
      <c r="BQ31" s="45" t="b">
        <f t="shared" si="11"/>
        <v>1</v>
      </c>
      <c r="BS31" s="1">
        <f t="shared" si="17"/>
        <v>84</v>
      </c>
      <c r="BT31" s="23">
        <v>3.3087560633359944E-3</v>
      </c>
      <c r="BU31" s="8">
        <v>2.9451331229815646E-3</v>
      </c>
      <c r="BV31" s="8">
        <v>2.9450015816405778E-3</v>
      </c>
      <c r="BW31" s="8">
        <v>3.5344035311526906E-3</v>
      </c>
      <c r="BX31" s="8">
        <v>2.8418031466765554E-3</v>
      </c>
      <c r="BY31" s="8">
        <v>2.7800490487062432E-3</v>
      </c>
      <c r="BZ31" s="8">
        <v>2.8775463628670818E-3</v>
      </c>
      <c r="CA31" s="8">
        <v>2.8371216382985895E-3</v>
      </c>
      <c r="CB31" s="8">
        <v>2.8368570576605308E-3</v>
      </c>
      <c r="CC31" s="8">
        <v>2.8371161924820353E-3</v>
      </c>
      <c r="CD31" s="8">
        <v>2.8369029103128638E-3</v>
      </c>
      <c r="CE31" s="32">
        <v>3.30875606333599E-3</v>
      </c>
      <c r="CF31" s="12">
        <v>2.9451331229815598E-3</v>
      </c>
      <c r="CG31" s="12">
        <v>2.94500158164055E-3</v>
      </c>
      <c r="CH31" s="12">
        <v>3.5344035311526902E-3</v>
      </c>
      <c r="CI31" s="12">
        <v>2.8418031466765502E-3</v>
      </c>
      <c r="CJ31" s="12">
        <v>2.7800490487062401E-3</v>
      </c>
      <c r="CK31" s="12">
        <v>2.8775463628670801E-3</v>
      </c>
      <c r="CL31" s="12">
        <v>2.83712163829858E-3</v>
      </c>
      <c r="CM31" s="12">
        <v>2.8368570576605698E-3</v>
      </c>
      <c r="CN31" s="12">
        <v>2.83711619248037E-3</v>
      </c>
      <c r="CO31" s="33">
        <v>2.83690291031264E-3</v>
      </c>
      <c r="CP31" t="b">
        <f t="shared" si="21"/>
        <v>1</v>
      </c>
      <c r="CQ31" t="b">
        <f t="shared" si="12"/>
        <v>1</v>
      </c>
      <c r="CR31" t="b">
        <f t="shared" si="12"/>
        <v>1</v>
      </c>
      <c r="CS31" t="b">
        <f t="shared" si="12"/>
        <v>1</v>
      </c>
      <c r="CT31" t="b">
        <f t="shared" si="12"/>
        <v>1</v>
      </c>
      <c r="CU31" t="b">
        <f t="shared" si="12"/>
        <v>1</v>
      </c>
      <c r="CV31" t="b">
        <f t="shared" si="12"/>
        <v>1</v>
      </c>
      <c r="CW31" t="b">
        <f t="shared" si="12"/>
        <v>1</v>
      </c>
      <c r="CX31" t="b">
        <f t="shared" si="12"/>
        <v>1</v>
      </c>
      <c r="CY31" t="b">
        <f t="shared" si="12"/>
        <v>1</v>
      </c>
      <c r="CZ31" t="b">
        <f t="shared" si="12"/>
        <v>1</v>
      </c>
      <c r="EW31" s="51"/>
    </row>
    <row r="32" spans="1:177" x14ac:dyDescent="0.25">
      <c r="A32" s="1">
        <f t="shared" si="15"/>
        <v>90</v>
      </c>
      <c r="B32" s="23">
        <v>0.70159522561118604</v>
      </c>
      <c r="C32" s="8">
        <v>0.68754264569763401</v>
      </c>
      <c r="D32" s="8">
        <v>0.68754791168528251</v>
      </c>
      <c r="E32" s="8">
        <v>0.68227947023168989</v>
      </c>
      <c r="F32" s="8">
        <v>0.69031841594670729</v>
      </c>
      <c r="G32" s="8">
        <v>0.69315610193546662</v>
      </c>
      <c r="H32" s="8">
        <v>0.69553790347823929</v>
      </c>
      <c r="I32" s="8">
        <v>0.69347875906581569</v>
      </c>
      <c r="J32" s="8">
        <v>0.69270538824898875</v>
      </c>
      <c r="K32" s="8">
        <v>0.69350013672225719</v>
      </c>
      <c r="L32" s="8">
        <v>0.69392572175410439</v>
      </c>
      <c r="M32" s="32">
        <v>0.70159522561118604</v>
      </c>
      <c r="N32" s="12">
        <v>0.68754264569763401</v>
      </c>
      <c r="O32" s="12">
        <v>0.68754791168528095</v>
      </c>
      <c r="P32" s="12">
        <v>0.68227947023169</v>
      </c>
      <c r="Q32" s="12">
        <v>0.69031841594670695</v>
      </c>
      <c r="R32" s="12">
        <v>0.69315610193546695</v>
      </c>
      <c r="S32" s="12">
        <v>0.69553790347823996</v>
      </c>
      <c r="T32" s="12">
        <v>0.69347875906581602</v>
      </c>
      <c r="U32" s="12">
        <v>0.69270538824898298</v>
      </c>
      <c r="V32" s="12">
        <v>0.69350013672222</v>
      </c>
      <c r="W32" s="33">
        <v>0.69392572175409395</v>
      </c>
      <c r="X32" t="b">
        <f t="shared" si="0"/>
        <v>1</v>
      </c>
      <c r="Y32" t="b">
        <f t="shared" si="1"/>
        <v>1</v>
      </c>
      <c r="Z32" t="b">
        <f t="shared" si="2"/>
        <v>1</v>
      </c>
      <c r="AA32" t="b">
        <f t="shared" si="3"/>
        <v>1</v>
      </c>
      <c r="AB32" t="b">
        <f t="shared" si="4"/>
        <v>1</v>
      </c>
      <c r="AC32" t="b">
        <f t="shared" si="5"/>
        <v>1</v>
      </c>
      <c r="AD32" t="b">
        <f t="shared" si="6"/>
        <v>1</v>
      </c>
      <c r="AE32" t="b">
        <f t="shared" si="7"/>
        <v>1</v>
      </c>
      <c r="AF32" t="b">
        <f t="shared" si="8"/>
        <v>1</v>
      </c>
      <c r="AG32" t="b">
        <f t="shared" si="9"/>
        <v>1</v>
      </c>
      <c r="AH32" t="b">
        <f t="shared" si="10"/>
        <v>1</v>
      </c>
      <c r="AJ32" s="1">
        <f t="shared" si="16"/>
        <v>90</v>
      </c>
      <c r="AK32" s="23">
        <v>0.35439864294847806</v>
      </c>
      <c r="AL32" s="8">
        <v>0.37463142125954868</v>
      </c>
      <c r="AM32" s="8">
        <v>0.37462376214557941</v>
      </c>
      <c r="AN32" s="8">
        <v>0.38231592467736042</v>
      </c>
      <c r="AO32" s="8">
        <v>0.37060231544993488</v>
      </c>
      <c r="AP32" s="8">
        <v>0.36650004984027018</v>
      </c>
      <c r="AQ32" s="8">
        <v>0.36306977093216686</v>
      </c>
      <c r="AR32" s="8">
        <v>0.36603466829643749</v>
      </c>
      <c r="AS32" s="8">
        <v>0.36715049536539768</v>
      </c>
      <c r="AT32" s="8">
        <v>0.36600384207909836</v>
      </c>
      <c r="AU32" s="8">
        <v>0.36539035337612341</v>
      </c>
      <c r="AV32" s="32">
        <v>0.354398642948478</v>
      </c>
      <c r="AW32" s="12">
        <v>0.37463142125954801</v>
      </c>
      <c r="AX32" s="12">
        <v>0.37462376214558202</v>
      </c>
      <c r="AY32" s="12">
        <v>0.38231592467735998</v>
      </c>
      <c r="AZ32" s="12">
        <v>0.37060231544993499</v>
      </c>
      <c r="BA32" s="12">
        <v>0.36650004984027001</v>
      </c>
      <c r="BB32" s="12">
        <v>0.36306977093216702</v>
      </c>
      <c r="BC32" s="12">
        <v>0.36603466829643699</v>
      </c>
      <c r="BD32" s="12">
        <v>0.367150495365406</v>
      </c>
      <c r="BE32" s="12">
        <v>0.36600384207915099</v>
      </c>
      <c r="BF32" s="33">
        <v>0.36539035337613801</v>
      </c>
      <c r="BG32" s="44" t="b">
        <f t="shared" si="20"/>
        <v>1</v>
      </c>
      <c r="BH32" t="b">
        <f t="shared" si="11"/>
        <v>1</v>
      </c>
      <c r="BI32" t="b">
        <f t="shared" si="11"/>
        <v>1</v>
      </c>
      <c r="BJ32" t="b">
        <f t="shared" si="11"/>
        <v>1</v>
      </c>
      <c r="BK32" t="b">
        <f t="shared" si="11"/>
        <v>1</v>
      </c>
      <c r="BL32" t="b">
        <f t="shared" si="11"/>
        <v>1</v>
      </c>
      <c r="BM32" t="b">
        <f t="shared" si="11"/>
        <v>1</v>
      </c>
      <c r="BN32" t="b">
        <f t="shared" si="11"/>
        <v>1</v>
      </c>
      <c r="BO32" t="b">
        <f t="shared" si="11"/>
        <v>1</v>
      </c>
      <c r="BP32" t="b">
        <f t="shared" si="11"/>
        <v>1</v>
      </c>
      <c r="BQ32" s="45" t="b">
        <f t="shared" si="11"/>
        <v>1</v>
      </c>
      <c r="BS32" s="1">
        <f t="shared" si="17"/>
        <v>90</v>
      </c>
      <c r="BT32" s="23">
        <v>3.2145370021430413E-3</v>
      </c>
      <c r="BU32" s="8">
        <v>2.5314196724058389E-3</v>
      </c>
      <c r="BV32" s="8">
        <v>2.5313067038357819E-3</v>
      </c>
      <c r="BW32" s="8">
        <v>2.9869115558085221E-3</v>
      </c>
      <c r="BX32" s="8">
        <v>2.4978059227164129E-3</v>
      </c>
      <c r="BY32" s="8">
        <v>2.4989930697447028E-3</v>
      </c>
      <c r="BZ32" s="8">
        <v>2.6567335859526827E-3</v>
      </c>
      <c r="CA32" s="8">
        <v>2.5696722877252432E-3</v>
      </c>
      <c r="CB32" s="8">
        <v>2.5549798426105631E-3</v>
      </c>
      <c r="CC32" s="8">
        <v>2.5698798425298616E-3</v>
      </c>
      <c r="CD32" s="8">
        <v>2.5774934620339824E-3</v>
      </c>
      <c r="CE32" s="32">
        <v>3.21453700214304E-3</v>
      </c>
      <c r="CF32" s="12">
        <v>2.5314196724058398E-3</v>
      </c>
      <c r="CG32" s="12">
        <v>2.5313067038357502E-3</v>
      </c>
      <c r="CH32" s="12">
        <v>2.9869115558085199E-3</v>
      </c>
      <c r="CI32" s="12">
        <v>2.4978059227164099E-3</v>
      </c>
      <c r="CJ32" s="12">
        <v>2.4989930697447002E-3</v>
      </c>
      <c r="CK32" s="12">
        <v>2.6567335859526801E-3</v>
      </c>
      <c r="CL32" s="12">
        <v>2.5696722877252302E-3</v>
      </c>
      <c r="CM32" s="12">
        <v>2.55497984261058E-3</v>
      </c>
      <c r="CN32" s="12">
        <v>2.5698798425283901E-3</v>
      </c>
      <c r="CO32" s="33">
        <v>2.5774934620337898E-3</v>
      </c>
      <c r="CP32" t="b">
        <f t="shared" si="21"/>
        <v>1</v>
      </c>
      <c r="CQ32" t="b">
        <f t="shared" si="12"/>
        <v>1</v>
      </c>
      <c r="CR32" t="b">
        <f t="shared" si="12"/>
        <v>1</v>
      </c>
      <c r="CS32" t="b">
        <f t="shared" si="12"/>
        <v>1</v>
      </c>
      <c r="CT32" t="b">
        <f t="shared" si="12"/>
        <v>1</v>
      </c>
      <c r="CU32" t="b">
        <f t="shared" si="12"/>
        <v>1</v>
      </c>
      <c r="CV32" t="b">
        <f t="shared" si="12"/>
        <v>1</v>
      </c>
      <c r="CW32" t="b">
        <f t="shared" si="12"/>
        <v>1</v>
      </c>
      <c r="CX32" t="b">
        <f t="shared" si="12"/>
        <v>1</v>
      </c>
      <c r="CY32" t="b">
        <f t="shared" si="12"/>
        <v>1</v>
      </c>
      <c r="CZ32" t="b">
        <f t="shared" si="12"/>
        <v>1</v>
      </c>
      <c r="EW32" s="51"/>
    </row>
    <row r="33" spans="1:153" x14ac:dyDescent="0.25">
      <c r="A33" s="1">
        <f t="shared" si="15"/>
        <v>96</v>
      </c>
      <c r="B33" s="23">
        <v>0.68838603565090317</v>
      </c>
      <c r="C33" s="8">
        <v>0.67797264514583255</v>
      </c>
      <c r="D33" s="8">
        <v>0.67797825904271791</v>
      </c>
      <c r="E33" s="8">
        <v>0.67130986486395305</v>
      </c>
      <c r="F33" s="8">
        <v>0.68070554967174324</v>
      </c>
      <c r="G33" s="8">
        <v>0.68336576367460622</v>
      </c>
      <c r="H33" s="8">
        <v>0.68496037570178414</v>
      </c>
      <c r="I33" s="8">
        <v>0.6833789671052275</v>
      </c>
      <c r="J33" s="8">
        <v>0.68270492378177416</v>
      </c>
      <c r="K33" s="8">
        <v>0.68339876429540447</v>
      </c>
      <c r="L33" s="8">
        <v>0.68377160274634186</v>
      </c>
      <c r="M33" s="32">
        <v>0.68838603565090295</v>
      </c>
      <c r="N33" s="12">
        <v>0.677972645145833</v>
      </c>
      <c r="O33" s="12">
        <v>0.67797825904271602</v>
      </c>
      <c r="P33" s="12">
        <v>0.67130986486395305</v>
      </c>
      <c r="Q33" s="12">
        <v>0.68070554967174302</v>
      </c>
      <c r="R33" s="12">
        <v>0.683365763674606</v>
      </c>
      <c r="S33" s="12">
        <v>0.68496037570178403</v>
      </c>
      <c r="T33" s="12">
        <v>0.68337896710523105</v>
      </c>
      <c r="U33" s="12">
        <v>0.68270492378177094</v>
      </c>
      <c r="V33" s="12">
        <v>0.68339876429538204</v>
      </c>
      <c r="W33" s="33">
        <v>0.68377160274633597</v>
      </c>
      <c r="X33" t="b">
        <f t="shared" si="0"/>
        <v>1</v>
      </c>
      <c r="Y33" t="b">
        <f t="shared" si="1"/>
        <v>1</v>
      </c>
      <c r="Z33" t="b">
        <f t="shared" si="2"/>
        <v>1</v>
      </c>
      <c r="AA33" t="b">
        <f t="shared" si="3"/>
        <v>1</v>
      </c>
      <c r="AB33" t="b">
        <f t="shared" si="4"/>
        <v>1</v>
      </c>
      <c r="AC33" t="b">
        <f t="shared" si="5"/>
        <v>1</v>
      </c>
      <c r="AD33" t="b">
        <f t="shared" si="6"/>
        <v>1</v>
      </c>
      <c r="AE33" t="b">
        <f t="shared" si="7"/>
        <v>1</v>
      </c>
      <c r="AF33" t="b">
        <f t="shared" si="8"/>
        <v>1</v>
      </c>
      <c r="AG33" t="b">
        <f t="shared" si="9"/>
        <v>1</v>
      </c>
      <c r="AH33" t="b">
        <f t="shared" si="10"/>
        <v>1</v>
      </c>
      <c r="AJ33" s="1">
        <f t="shared" si="16"/>
        <v>96</v>
      </c>
      <c r="AK33" s="23">
        <v>0.37340550007580109</v>
      </c>
      <c r="AL33" s="8">
        <v>0.38864833824825645</v>
      </c>
      <c r="AM33" s="8">
        <v>0.38864005786455219</v>
      </c>
      <c r="AN33" s="8">
        <v>0.39852445298086803</v>
      </c>
      <c r="AO33" s="8">
        <v>0.38462544567217072</v>
      </c>
      <c r="AP33" s="8">
        <v>0.3807250376079282</v>
      </c>
      <c r="AQ33" s="8">
        <v>0.37839428808386433</v>
      </c>
      <c r="AR33" s="8">
        <v>0.38070571661795205</v>
      </c>
      <c r="AS33" s="8">
        <v>0.38169254236511124</v>
      </c>
      <c r="AT33" s="8">
        <v>0.38067674747436192</v>
      </c>
      <c r="AU33" s="8">
        <v>0.38013133123485293</v>
      </c>
      <c r="AV33" s="32">
        <v>0.37340550007580098</v>
      </c>
      <c r="AW33" s="12">
        <v>0.38864833824825601</v>
      </c>
      <c r="AX33" s="12">
        <v>0.38864005786455502</v>
      </c>
      <c r="AY33" s="12">
        <v>0.39852445298086803</v>
      </c>
      <c r="AZ33" s="12">
        <v>0.384625445672171</v>
      </c>
      <c r="BA33" s="12">
        <v>0.38072503760792797</v>
      </c>
      <c r="BB33" s="12">
        <v>0.37839428808386399</v>
      </c>
      <c r="BC33" s="12">
        <v>0.380705716617947</v>
      </c>
      <c r="BD33" s="12">
        <v>0.38169254236511602</v>
      </c>
      <c r="BE33" s="12">
        <v>0.38067674747439401</v>
      </c>
      <c r="BF33" s="33">
        <v>0.38013133123486198</v>
      </c>
      <c r="BG33" s="44" t="b">
        <f t="shared" si="20"/>
        <v>1</v>
      </c>
      <c r="BH33" t="b">
        <f t="shared" si="11"/>
        <v>1</v>
      </c>
      <c r="BI33" t="b">
        <f t="shared" si="11"/>
        <v>1</v>
      </c>
      <c r="BJ33" t="b">
        <f t="shared" si="11"/>
        <v>1</v>
      </c>
      <c r="BK33" t="b">
        <f t="shared" si="11"/>
        <v>1</v>
      </c>
      <c r="BL33" t="b">
        <f t="shared" si="11"/>
        <v>1</v>
      </c>
      <c r="BM33" t="b">
        <f t="shared" si="11"/>
        <v>1</v>
      </c>
      <c r="BN33" t="b">
        <f t="shared" si="11"/>
        <v>1</v>
      </c>
      <c r="BO33" t="b">
        <f t="shared" si="11"/>
        <v>1</v>
      </c>
      <c r="BP33" t="b">
        <f t="shared" si="11"/>
        <v>1</v>
      </c>
      <c r="BQ33" s="45" t="b">
        <f t="shared" si="11"/>
        <v>1</v>
      </c>
      <c r="BS33" s="1">
        <f t="shared" si="17"/>
        <v>96</v>
      </c>
      <c r="BT33" s="23">
        <v>3.1212444390715855E-3</v>
      </c>
      <c r="BU33" s="8">
        <v>2.1463061345303978E-3</v>
      </c>
      <c r="BV33" s="8">
        <v>2.1462119506088519E-3</v>
      </c>
      <c r="BW33" s="8">
        <v>2.4151573800976719E-3</v>
      </c>
      <c r="BX33" s="8">
        <v>2.1813500528058815E-3</v>
      </c>
      <c r="BY33" s="8">
        <v>2.2474252847266172E-3</v>
      </c>
      <c r="BZ33" s="8">
        <v>2.4544089853905998E-3</v>
      </c>
      <c r="CA33" s="8">
        <v>2.3243140319453136E-3</v>
      </c>
      <c r="CB33" s="8">
        <v>2.2962074662424819E-3</v>
      </c>
      <c r="CC33" s="8">
        <v>2.324723136977104E-3</v>
      </c>
      <c r="CD33" s="8">
        <v>2.3397069016871004E-3</v>
      </c>
      <c r="CE33" s="32">
        <v>3.1212444390715799E-3</v>
      </c>
      <c r="CF33" s="12">
        <v>2.1463061345304E-3</v>
      </c>
      <c r="CG33" s="12">
        <v>2.1462119506088198E-3</v>
      </c>
      <c r="CH33" s="12">
        <v>2.4151573800976702E-3</v>
      </c>
      <c r="CI33" s="12">
        <v>2.1813500528058802E-3</v>
      </c>
      <c r="CJ33" s="12">
        <v>2.2474252847266198E-3</v>
      </c>
      <c r="CK33" s="12">
        <v>2.4544089853905998E-3</v>
      </c>
      <c r="CL33" s="12">
        <v>2.3243140319453002E-3</v>
      </c>
      <c r="CM33" s="12">
        <v>2.2962074662424901E-3</v>
      </c>
      <c r="CN33" s="12">
        <v>2.3247231369757401E-3</v>
      </c>
      <c r="CO33" s="33">
        <v>2.33970690168691E-3</v>
      </c>
      <c r="CP33" t="b">
        <f t="shared" si="21"/>
        <v>1</v>
      </c>
      <c r="CQ33" t="b">
        <f t="shared" si="12"/>
        <v>1</v>
      </c>
      <c r="CR33" t="b">
        <f t="shared" si="12"/>
        <v>1</v>
      </c>
      <c r="CS33" t="b">
        <f t="shared" si="12"/>
        <v>1</v>
      </c>
      <c r="CT33" t="b">
        <f t="shared" si="12"/>
        <v>1</v>
      </c>
      <c r="CU33" t="b">
        <f t="shared" si="12"/>
        <v>1</v>
      </c>
      <c r="CV33" t="b">
        <f t="shared" si="12"/>
        <v>1</v>
      </c>
      <c r="CW33" t="b">
        <f t="shared" si="12"/>
        <v>1</v>
      </c>
      <c r="CX33" t="b">
        <f t="shared" si="12"/>
        <v>1</v>
      </c>
      <c r="CY33" t="b">
        <f t="shared" si="12"/>
        <v>1</v>
      </c>
      <c r="CZ33" t="b">
        <f t="shared" si="12"/>
        <v>1</v>
      </c>
      <c r="EW33" s="51"/>
    </row>
    <row r="34" spans="1:153" x14ac:dyDescent="0.25">
      <c r="A34" s="1">
        <f t="shared" si="15"/>
        <v>102</v>
      </c>
      <c r="B34" s="23">
        <v>0.67580168053785028</v>
      </c>
      <c r="C34" s="8">
        <v>0.67001327665787414</v>
      </c>
      <c r="D34" s="8">
        <v>0.67001916679629447</v>
      </c>
      <c r="E34" s="8">
        <v>0.6627694349829385</v>
      </c>
      <c r="F34" s="8">
        <v>0.67244360771147893</v>
      </c>
      <c r="G34" s="8">
        <v>0.67467516384155901</v>
      </c>
      <c r="H34" s="8">
        <v>0.67532788830667145</v>
      </c>
      <c r="I34" s="8">
        <v>0.67437481268156507</v>
      </c>
      <c r="J34" s="8">
        <v>0.67384817090942928</v>
      </c>
      <c r="K34" s="8">
        <v>0.67439231253934928</v>
      </c>
      <c r="L34" s="8">
        <v>0.67468570630039015</v>
      </c>
      <c r="M34" s="32">
        <v>0.67580168053784995</v>
      </c>
      <c r="N34" s="12">
        <v>0.67001327665787502</v>
      </c>
      <c r="O34" s="12">
        <v>0.67001916679629303</v>
      </c>
      <c r="P34" s="12">
        <v>0.66276943498293905</v>
      </c>
      <c r="Q34" s="12">
        <v>0.67244360771147904</v>
      </c>
      <c r="R34" s="12">
        <v>0.67467516384155901</v>
      </c>
      <c r="S34" s="12">
        <v>0.67532788830667201</v>
      </c>
      <c r="T34" s="12">
        <v>0.67437481268156696</v>
      </c>
      <c r="U34" s="12">
        <v>0.67384817090941895</v>
      </c>
      <c r="V34" s="12">
        <v>0.67439231253931597</v>
      </c>
      <c r="W34" s="33">
        <v>0.67468570630038405</v>
      </c>
      <c r="X34" t="b">
        <f t="shared" si="0"/>
        <v>1</v>
      </c>
      <c r="Y34" t="b">
        <f t="shared" si="1"/>
        <v>1</v>
      </c>
      <c r="Z34" t="b">
        <f t="shared" si="2"/>
        <v>1</v>
      </c>
      <c r="AA34" t="b">
        <f t="shared" si="3"/>
        <v>1</v>
      </c>
      <c r="AB34" t="b">
        <f t="shared" si="4"/>
        <v>1</v>
      </c>
      <c r="AC34" t="b">
        <f t="shared" si="5"/>
        <v>1</v>
      </c>
      <c r="AD34" t="b">
        <f t="shared" si="6"/>
        <v>1</v>
      </c>
      <c r="AE34" t="b">
        <f t="shared" si="7"/>
        <v>1</v>
      </c>
      <c r="AF34" t="b">
        <f t="shared" si="8"/>
        <v>1</v>
      </c>
      <c r="AG34" t="b">
        <f t="shared" si="9"/>
        <v>1</v>
      </c>
      <c r="AH34" t="b">
        <f t="shared" si="10"/>
        <v>1</v>
      </c>
      <c r="AJ34" s="1">
        <f t="shared" si="16"/>
        <v>102</v>
      </c>
      <c r="AK34" s="23">
        <v>0.39185561796658086</v>
      </c>
      <c r="AL34" s="8">
        <v>0.40045775088618296</v>
      </c>
      <c r="AM34" s="8">
        <v>0.40044895984765377</v>
      </c>
      <c r="AN34" s="8">
        <v>0.41132810948560722</v>
      </c>
      <c r="AO34" s="8">
        <v>0.39683702572626567</v>
      </c>
      <c r="AP34" s="8">
        <v>0.39352394269538549</v>
      </c>
      <c r="AQ34" s="8">
        <v>0.39255694559869536</v>
      </c>
      <c r="AR34" s="8">
        <v>0.39396922073575974</v>
      </c>
      <c r="AS34" s="8">
        <v>0.39475045915897466</v>
      </c>
      <c r="AT34" s="8">
        <v>0.39394327132246526</v>
      </c>
      <c r="AU34" s="8">
        <v>0.39350831684011633</v>
      </c>
      <c r="AV34" s="32">
        <v>0.39185561796658103</v>
      </c>
      <c r="AW34" s="12">
        <v>0.40045775088618202</v>
      </c>
      <c r="AX34" s="12">
        <v>0.40044895984765599</v>
      </c>
      <c r="AY34" s="12">
        <v>0.411328109485607</v>
      </c>
      <c r="AZ34" s="12">
        <v>0.396837025726266</v>
      </c>
      <c r="BA34" s="12">
        <v>0.39352394269538599</v>
      </c>
      <c r="BB34" s="12">
        <v>0.39255694559869497</v>
      </c>
      <c r="BC34" s="12">
        <v>0.39396922073575702</v>
      </c>
      <c r="BD34" s="12">
        <v>0.39475045915898999</v>
      </c>
      <c r="BE34" s="12">
        <v>0.393943271322515</v>
      </c>
      <c r="BF34" s="33">
        <v>0.39350831684012599</v>
      </c>
      <c r="BG34" s="44" t="b">
        <f t="shared" si="20"/>
        <v>1</v>
      </c>
      <c r="BH34" t="b">
        <f t="shared" si="11"/>
        <v>1</v>
      </c>
      <c r="BI34" t="b">
        <f t="shared" si="11"/>
        <v>1</v>
      </c>
      <c r="BJ34" t="b">
        <f t="shared" si="11"/>
        <v>1</v>
      </c>
      <c r="BK34" t="b">
        <f t="shared" si="11"/>
        <v>1</v>
      </c>
      <c r="BL34" t="b">
        <f t="shared" si="11"/>
        <v>1</v>
      </c>
      <c r="BM34" t="b">
        <f t="shared" si="11"/>
        <v>1</v>
      </c>
      <c r="BN34" t="b">
        <f t="shared" si="11"/>
        <v>1</v>
      </c>
      <c r="BO34" t="b">
        <f t="shared" si="11"/>
        <v>1</v>
      </c>
      <c r="BP34" t="b">
        <f t="shared" si="11"/>
        <v>1</v>
      </c>
      <c r="BQ34" s="45" t="b">
        <f t="shared" si="11"/>
        <v>1</v>
      </c>
      <c r="BS34" s="1">
        <f t="shared" si="17"/>
        <v>102</v>
      </c>
      <c r="BT34" s="23">
        <v>3.0289726031974564E-3</v>
      </c>
      <c r="BU34" s="8">
        <v>1.7964171624474175E-3</v>
      </c>
      <c r="BV34" s="8">
        <v>1.7963409151017583E-3</v>
      </c>
      <c r="BW34" s="8">
        <v>1.8584471529602788E-3</v>
      </c>
      <c r="BX34" s="8">
        <v>1.8941018246288312E-3</v>
      </c>
      <c r="BY34" s="8">
        <v>2.0232410432778733E-3</v>
      </c>
      <c r="BZ34" s="8">
        <v>2.2692173490566877E-3</v>
      </c>
      <c r="CA34" s="8">
        <v>2.1003357799906359E-3</v>
      </c>
      <c r="CB34" s="8">
        <v>2.0601551451753836E-3</v>
      </c>
      <c r="CC34" s="8">
        <v>2.1009302686128568E-3</v>
      </c>
      <c r="CD34" s="8">
        <v>2.1226511993992932E-3</v>
      </c>
      <c r="CE34" s="32">
        <v>3.0289726031974599E-3</v>
      </c>
      <c r="CF34" s="12">
        <v>1.7964171624474199E-3</v>
      </c>
      <c r="CG34" s="12">
        <v>1.7963409151017201E-3</v>
      </c>
      <c r="CH34" s="12">
        <v>1.8584471529602699E-3</v>
      </c>
      <c r="CI34" s="12">
        <v>1.8941018246288301E-3</v>
      </c>
      <c r="CJ34" s="12">
        <v>2.0232410432778698E-3</v>
      </c>
      <c r="CK34" s="12">
        <v>2.2692173490566898E-3</v>
      </c>
      <c r="CL34" s="12">
        <v>2.1003357799906199E-3</v>
      </c>
      <c r="CM34" s="12">
        <v>2.06015514517541E-3</v>
      </c>
      <c r="CN34" s="12">
        <v>2.10093026861246E-3</v>
      </c>
      <c r="CO34" s="33">
        <v>2.12265119939918E-3</v>
      </c>
      <c r="CP34" t="b">
        <f t="shared" si="21"/>
        <v>1</v>
      </c>
      <c r="CQ34" t="b">
        <f t="shared" si="12"/>
        <v>1</v>
      </c>
      <c r="CR34" t="b">
        <f t="shared" si="12"/>
        <v>1</v>
      </c>
      <c r="CS34" t="b">
        <f t="shared" si="12"/>
        <v>1</v>
      </c>
      <c r="CT34" t="b">
        <f t="shared" si="12"/>
        <v>1</v>
      </c>
      <c r="CU34" t="b">
        <f t="shared" si="12"/>
        <v>1</v>
      </c>
      <c r="CV34" t="b">
        <f t="shared" si="12"/>
        <v>1</v>
      </c>
      <c r="CW34" t="b">
        <f t="shared" si="12"/>
        <v>1</v>
      </c>
      <c r="CX34" t="b">
        <f t="shared" si="12"/>
        <v>1</v>
      </c>
      <c r="CY34" t="b">
        <f t="shared" si="12"/>
        <v>1</v>
      </c>
      <c r="CZ34" t="b">
        <f t="shared" si="12"/>
        <v>1</v>
      </c>
    </row>
    <row r="35" spans="1:153" x14ac:dyDescent="0.25">
      <c r="A35" s="1">
        <f t="shared" si="15"/>
        <v>108</v>
      </c>
      <c r="B35" s="23">
        <v>0.66381260368396333</v>
      </c>
      <c r="C35" s="8">
        <v>0.66346243725656595</v>
      </c>
      <c r="D35" s="8">
        <v>0.66346854018178414</v>
      </c>
      <c r="E35" s="8">
        <v>0.65643673255011903</v>
      </c>
      <c r="F35" s="8">
        <v>0.66536891282461352</v>
      </c>
      <c r="G35" s="8">
        <v>0.66694094148573635</v>
      </c>
      <c r="H35" s="8">
        <v>0.66653914306190698</v>
      </c>
      <c r="I35" s="8">
        <v>0.6663432445164682</v>
      </c>
      <c r="J35" s="8">
        <v>0.66600503089524532</v>
      </c>
      <c r="K35" s="8">
        <v>0.66635781989429077</v>
      </c>
      <c r="L35" s="8">
        <v>0.6665485830799357</v>
      </c>
      <c r="M35" s="32">
        <v>0.663812603683963</v>
      </c>
      <c r="N35" s="12">
        <v>0.66346243725656595</v>
      </c>
      <c r="O35" s="12">
        <v>0.66346854018178303</v>
      </c>
      <c r="P35" s="12">
        <v>0.65643673255011903</v>
      </c>
      <c r="Q35" s="12">
        <v>0.66536891282461397</v>
      </c>
      <c r="R35" s="12">
        <v>0.66694094148573602</v>
      </c>
      <c r="S35" s="12">
        <v>0.66653914306190698</v>
      </c>
      <c r="T35" s="12">
        <v>0.66634324451646898</v>
      </c>
      <c r="U35" s="12">
        <v>0.66600503089523899</v>
      </c>
      <c r="V35" s="12">
        <v>0.66635781989426401</v>
      </c>
      <c r="W35" s="33">
        <v>0.66654858307992904</v>
      </c>
      <c r="X35" t="b">
        <f t="shared" si="0"/>
        <v>1</v>
      </c>
      <c r="Y35" t="b">
        <f t="shared" si="1"/>
        <v>1</v>
      </c>
      <c r="Z35" t="b">
        <f t="shared" si="2"/>
        <v>1</v>
      </c>
      <c r="AA35" t="b">
        <f t="shared" si="3"/>
        <v>1</v>
      </c>
      <c r="AB35" t="b">
        <f t="shared" si="4"/>
        <v>1</v>
      </c>
      <c r="AC35" t="b">
        <f t="shared" si="5"/>
        <v>1</v>
      </c>
      <c r="AD35" t="b">
        <f t="shared" si="6"/>
        <v>1</v>
      </c>
      <c r="AE35" t="b">
        <f t="shared" si="7"/>
        <v>1</v>
      </c>
      <c r="AF35" t="b">
        <f t="shared" si="8"/>
        <v>1</v>
      </c>
      <c r="AG35" t="b">
        <f t="shared" si="9"/>
        <v>1</v>
      </c>
      <c r="AH35" t="b">
        <f t="shared" si="10"/>
        <v>1</v>
      </c>
      <c r="AJ35" s="1">
        <f t="shared" si="16"/>
        <v>108</v>
      </c>
      <c r="AK35" s="23">
        <v>0.40975539270573752</v>
      </c>
      <c r="AL35" s="8">
        <v>0.41028303983948222</v>
      </c>
      <c r="AM35" s="8">
        <v>0.41027384128232741</v>
      </c>
      <c r="AN35" s="8">
        <v>0.4209289607132316</v>
      </c>
      <c r="AO35" s="8">
        <v>0.407413636019339</v>
      </c>
      <c r="AP35" s="8">
        <v>0.40505378048636603</v>
      </c>
      <c r="AQ35" s="8">
        <v>0.4056564118126908</v>
      </c>
      <c r="AR35" s="8">
        <v>0.40595035904865845</v>
      </c>
      <c r="AS35" s="8">
        <v>0.40645805457351369</v>
      </c>
      <c r="AT35" s="8">
        <v>0.4059284856095019</v>
      </c>
      <c r="AU35" s="8">
        <v>0.40564224917681357</v>
      </c>
      <c r="AV35" s="32">
        <v>0.40975539270573802</v>
      </c>
      <c r="AW35" s="12">
        <v>0.410283039839482</v>
      </c>
      <c r="AX35" s="12">
        <v>0.41027384128233002</v>
      </c>
      <c r="AY35" s="12">
        <v>0.42092896071323099</v>
      </c>
      <c r="AZ35" s="12">
        <v>0.407413636019339</v>
      </c>
      <c r="BA35" s="12">
        <v>0.40505378048636598</v>
      </c>
      <c r="BB35" s="12">
        <v>0.40565641181269002</v>
      </c>
      <c r="BC35" s="12">
        <v>0.40595035904865701</v>
      </c>
      <c r="BD35" s="12">
        <v>0.40645805457352302</v>
      </c>
      <c r="BE35" s="12">
        <v>0.40592848560954098</v>
      </c>
      <c r="BF35" s="33">
        <v>0.40564224917682401</v>
      </c>
      <c r="BG35" s="44" t="b">
        <f t="shared" si="20"/>
        <v>1</v>
      </c>
      <c r="BH35" t="b">
        <f t="shared" si="11"/>
        <v>1</v>
      </c>
      <c r="BI35" t="b">
        <f t="shared" si="11"/>
        <v>1</v>
      </c>
      <c r="BJ35" t="b">
        <f t="shared" si="11"/>
        <v>1</v>
      </c>
      <c r="BK35" t="b">
        <f t="shared" si="11"/>
        <v>1</v>
      </c>
      <c r="BL35" t="b">
        <f t="shared" si="11"/>
        <v>1</v>
      </c>
      <c r="BM35" t="b">
        <f t="shared" si="11"/>
        <v>1</v>
      </c>
      <c r="BN35" t="b">
        <f t="shared" si="11"/>
        <v>1</v>
      </c>
      <c r="BO35" t="b">
        <f t="shared" si="11"/>
        <v>1</v>
      </c>
      <c r="BP35" t="b">
        <f t="shared" si="11"/>
        <v>1</v>
      </c>
      <c r="BQ35" s="45" t="b">
        <f t="shared" si="11"/>
        <v>1</v>
      </c>
      <c r="BS35" s="1">
        <f t="shared" si="17"/>
        <v>108</v>
      </c>
      <c r="BT35" s="23">
        <v>2.9378113055520592E-3</v>
      </c>
      <c r="BU35" s="8">
        <v>1.4852905209133203E-3</v>
      </c>
      <c r="BV35" s="8">
        <v>1.4852306175698363E-3</v>
      </c>
      <c r="BW35" s="8">
        <v>1.3529967502196015E-3</v>
      </c>
      <c r="BX35" s="8">
        <v>1.6363037735823605E-3</v>
      </c>
      <c r="BY35" s="8">
        <v>1.8239797814480695E-3</v>
      </c>
      <c r="BZ35" s="8">
        <v>2.0997848760336336E-3</v>
      </c>
      <c r="CA35" s="8">
        <v>1.8966572880840698E-3</v>
      </c>
      <c r="CB35" s="8">
        <v>1.8459175588418342E-3</v>
      </c>
      <c r="CC35" s="8">
        <v>1.8974181284705364E-3</v>
      </c>
      <c r="CD35" s="8">
        <v>1.9251424093301649E-3</v>
      </c>
      <c r="CE35" s="32">
        <v>2.93781130555206E-3</v>
      </c>
      <c r="CF35" s="12">
        <v>1.4852905209133201E-3</v>
      </c>
      <c r="CG35" s="12">
        <v>1.4852306175697999E-3</v>
      </c>
      <c r="CH35" s="12">
        <v>1.35299675021959E-3</v>
      </c>
      <c r="CI35" s="12">
        <v>1.63630377358236E-3</v>
      </c>
      <c r="CJ35" s="12">
        <v>1.82397978144807E-3</v>
      </c>
      <c r="CK35" s="12">
        <v>2.0997848760336301E-3</v>
      </c>
      <c r="CL35" s="12">
        <v>1.89665728808406E-3</v>
      </c>
      <c r="CM35" s="12">
        <v>1.8459175588418401E-3</v>
      </c>
      <c r="CN35" s="12">
        <v>1.8974181284694301E-3</v>
      </c>
      <c r="CO35" s="33">
        <v>1.9251424093300201E-3</v>
      </c>
      <c r="CP35" t="b">
        <f t="shared" si="21"/>
        <v>1</v>
      </c>
      <c r="CQ35" t="b">
        <f t="shared" si="12"/>
        <v>1</v>
      </c>
      <c r="CR35" t="b">
        <f t="shared" si="12"/>
        <v>1</v>
      </c>
      <c r="CS35" t="b">
        <f t="shared" si="12"/>
        <v>1</v>
      </c>
      <c r="CT35" t="b">
        <f t="shared" si="12"/>
        <v>1</v>
      </c>
      <c r="CU35" t="b">
        <f t="shared" si="12"/>
        <v>1</v>
      </c>
      <c r="CV35" t="b">
        <f t="shared" si="12"/>
        <v>1</v>
      </c>
      <c r="CW35" t="b">
        <f t="shared" si="12"/>
        <v>1</v>
      </c>
      <c r="CX35" t="b">
        <f t="shared" si="12"/>
        <v>1</v>
      </c>
      <c r="CY35" t="b">
        <f t="shared" si="12"/>
        <v>1</v>
      </c>
      <c r="CZ35" t="b">
        <f t="shared" si="12"/>
        <v>1</v>
      </c>
      <c r="EW35" s="51"/>
    </row>
    <row r="36" spans="1:153" x14ac:dyDescent="0.25">
      <c r="A36" s="1">
        <f t="shared" si="15"/>
        <v>114</v>
      </c>
      <c r="B36" s="23">
        <v>0.65239064661766</v>
      </c>
      <c r="C36" s="8">
        <v>0.65812469997857381</v>
      </c>
      <c r="D36" s="8">
        <v>0.65813096138815597</v>
      </c>
      <c r="E36" s="8">
        <v>0.65199280084648548</v>
      </c>
      <c r="F36" s="8">
        <v>0.65933070393384496</v>
      </c>
      <c r="G36" s="8">
        <v>0.66003893058890228</v>
      </c>
      <c r="H36" s="8">
        <v>0.65850497177948142</v>
      </c>
      <c r="I36" s="8">
        <v>0.65917440051074938</v>
      </c>
      <c r="J36" s="8">
        <v>0.65905871122171145</v>
      </c>
      <c r="K36" s="8">
        <v>0.65918551449533125</v>
      </c>
      <c r="L36" s="8">
        <v>0.65925395624417837</v>
      </c>
      <c r="M36" s="32">
        <v>0.65239064661766</v>
      </c>
      <c r="N36" s="12">
        <v>0.65812469997857403</v>
      </c>
      <c r="O36" s="12">
        <v>0.65813096138815497</v>
      </c>
      <c r="P36" s="12">
        <v>0.65199280084648603</v>
      </c>
      <c r="Q36" s="12">
        <v>0.65933070393384496</v>
      </c>
      <c r="R36" s="12">
        <v>0.66003893058890195</v>
      </c>
      <c r="S36" s="12">
        <v>0.65850497177948197</v>
      </c>
      <c r="T36" s="12">
        <v>0.65917440051075005</v>
      </c>
      <c r="U36" s="12">
        <v>0.65905871122170701</v>
      </c>
      <c r="V36" s="12">
        <v>0.65918551449530804</v>
      </c>
      <c r="W36" s="33">
        <v>0.65925395624417304</v>
      </c>
      <c r="X36" t="b">
        <f t="shared" si="0"/>
        <v>1</v>
      </c>
      <c r="Y36" t="b">
        <f t="shared" si="1"/>
        <v>1</v>
      </c>
      <c r="Z36" t="b">
        <f t="shared" si="2"/>
        <v>1</v>
      </c>
      <c r="AA36" t="b">
        <f t="shared" si="3"/>
        <v>1</v>
      </c>
      <c r="AB36" t="b">
        <f t="shared" si="4"/>
        <v>1</v>
      </c>
      <c r="AC36" t="b">
        <f t="shared" si="5"/>
        <v>1</v>
      </c>
      <c r="AD36" t="b">
        <f t="shared" si="6"/>
        <v>1</v>
      </c>
      <c r="AE36" t="b">
        <f t="shared" si="7"/>
        <v>1</v>
      </c>
      <c r="AF36" t="b">
        <f t="shared" si="8"/>
        <v>1</v>
      </c>
      <c r="AG36" t="b">
        <f t="shared" si="9"/>
        <v>1</v>
      </c>
      <c r="AH36" t="b">
        <f t="shared" si="10"/>
        <v>1</v>
      </c>
      <c r="AJ36" s="1">
        <f t="shared" si="16"/>
        <v>114</v>
      </c>
      <c r="AK36" s="23">
        <v>0.42711174522085432</v>
      </c>
      <c r="AL36" s="8">
        <v>0.41836085196701328</v>
      </c>
      <c r="AM36" s="8">
        <v>0.41835133799527363</v>
      </c>
      <c r="AN36" s="8">
        <v>0.42772175876293822</v>
      </c>
      <c r="AO36" s="8">
        <v>0.4165300434424094</v>
      </c>
      <c r="AP36" s="8">
        <v>0.41545645996049518</v>
      </c>
      <c r="AQ36" s="8">
        <v>0.41778320766863786</v>
      </c>
      <c r="AR36" s="8">
        <v>0.41676713531759574</v>
      </c>
      <c r="AS36" s="8">
        <v>0.4169426570645543</v>
      </c>
      <c r="AT36" s="8">
        <v>0.41675027499826162</v>
      </c>
      <c r="AU36" s="8">
        <v>0.41664645263792194</v>
      </c>
      <c r="AV36" s="32">
        <v>0.42711174522085399</v>
      </c>
      <c r="AW36" s="12">
        <v>0.418360851967013</v>
      </c>
      <c r="AX36" s="12">
        <v>0.41835133799527602</v>
      </c>
      <c r="AY36" s="12">
        <v>0.427721758762938</v>
      </c>
      <c r="AZ36" s="12">
        <v>0.41653004344240901</v>
      </c>
      <c r="BA36" s="12">
        <v>0.41545645996049602</v>
      </c>
      <c r="BB36" s="12">
        <v>0.41778320766863702</v>
      </c>
      <c r="BC36" s="12">
        <v>0.41676713531759502</v>
      </c>
      <c r="BD36" s="12">
        <v>0.41694265706456002</v>
      </c>
      <c r="BE36" s="12">
        <v>0.41675027499829698</v>
      </c>
      <c r="BF36" s="33">
        <v>0.41664645263792999</v>
      </c>
      <c r="BG36" s="44" t="b">
        <f t="shared" si="20"/>
        <v>1</v>
      </c>
      <c r="BH36" t="b">
        <f t="shared" si="11"/>
        <v>1</v>
      </c>
      <c r="BI36" t="b">
        <f t="shared" si="11"/>
        <v>1</v>
      </c>
      <c r="BJ36" t="b">
        <f t="shared" si="11"/>
        <v>1</v>
      </c>
      <c r="BK36" t="b">
        <f t="shared" si="11"/>
        <v>1</v>
      </c>
      <c r="BL36" t="b">
        <f t="shared" si="11"/>
        <v>1</v>
      </c>
      <c r="BM36" t="b">
        <f t="shared" si="11"/>
        <v>1</v>
      </c>
      <c r="BN36" t="b">
        <f t="shared" si="11"/>
        <v>1</v>
      </c>
      <c r="BO36" t="b">
        <f t="shared" si="11"/>
        <v>1</v>
      </c>
      <c r="BP36" t="b">
        <f t="shared" si="11"/>
        <v>1</v>
      </c>
      <c r="BQ36" s="45" t="b">
        <f t="shared" si="11"/>
        <v>1</v>
      </c>
      <c r="BS36" s="1">
        <f t="shared" si="17"/>
        <v>114</v>
      </c>
      <c r="BT36" s="23">
        <v>2.8478456354145512E-3</v>
      </c>
      <c r="BU36" s="8">
        <v>1.2139055264583278E-3</v>
      </c>
      <c r="BV36" s="8">
        <v>1.2138599291469188E-3</v>
      </c>
      <c r="BW36" s="8">
        <v>9.2594293423822272E-4</v>
      </c>
      <c r="BX36" s="8">
        <v>1.4071687114283358E-3</v>
      </c>
      <c r="BY36" s="8">
        <v>1.6471014377879207E-3</v>
      </c>
      <c r="BZ36" s="8">
        <v>1.9447765839214674E-3</v>
      </c>
      <c r="CA36" s="8">
        <v>1.7119891804606309E-3</v>
      </c>
      <c r="CB36" s="8">
        <v>1.6522677375534933E-3</v>
      </c>
      <c r="CC36" s="8">
        <v>1.7128959130290435E-3</v>
      </c>
      <c r="CD36" s="8">
        <v>1.745845268297597E-3</v>
      </c>
      <c r="CE36" s="32">
        <v>2.8478456354145499E-3</v>
      </c>
      <c r="CF36" s="12">
        <v>1.21390552645833E-3</v>
      </c>
      <c r="CG36" s="12">
        <v>1.21385992914688E-3</v>
      </c>
      <c r="CH36" s="12">
        <v>9.25942934238216E-4</v>
      </c>
      <c r="CI36" s="12">
        <v>1.40716871142833E-3</v>
      </c>
      <c r="CJ36" s="12">
        <v>1.6471014377879201E-3</v>
      </c>
      <c r="CK36" s="12">
        <v>1.94477658392147E-3</v>
      </c>
      <c r="CL36" s="12">
        <v>1.7119891804606201E-3</v>
      </c>
      <c r="CM36" s="12">
        <v>1.6522677375535001E-3</v>
      </c>
      <c r="CN36" s="12">
        <v>1.71289591302871E-3</v>
      </c>
      <c r="CO36" s="33">
        <v>1.74584526829745E-3</v>
      </c>
      <c r="CP36" t="b">
        <f t="shared" si="21"/>
        <v>1</v>
      </c>
      <c r="CQ36" t="b">
        <f t="shared" si="12"/>
        <v>1</v>
      </c>
      <c r="CR36" t="b">
        <f t="shared" si="12"/>
        <v>1</v>
      </c>
      <c r="CS36" t="b">
        <f t="shared" si="12"/>
        <v>1</v>
      </c>
      <c r="CT36" t="b">
        <f t="shared" si="12"/>
        <v>1</v>
      </c>
      <c r="CU36" t="b">
        <f t="shared" si="12"/>
        <v>1</v>
      </c>
      <c r="CV36" t="b">
        <f t="shared" si="12"/>
        <v>1</v>
      </c>
      <c r="CW36" t="b">
        <f t="shared" si="12"/>
        <v>1</v>
      </c>
      <c r="CX36" t="b">
        <f t="shared" si="12"/>
        <v>1</v>
      </c>
      <c r="CY36" t="b">
        <f t="shared" si="12"/>
        <v>1</v>
      </c>
      <c r="CZ36" t="b">
        <f t="shared" si="12"/>
        <v>1</v>
      </c>
      <c r="EW36" s="51"/>
    </row>
    <row r="37" spans="1:153" x14ac:dyDescent="0.25">
      <c r="A37" s="1">
        <f t="shared" si="15"/>
        <v>120</v>
      </c>
      <c r="B37" s="23">
        <v>0.64150898284867841</v>
      </c>
      <c r="C37" s="8">
        <v>0.65381719084591383</v>
      </c>
      <c r="D37" s="8">
        <v>0.6538235657211513</v>
      </c>
      <c r="E37" s="8">
        <v>0.64906252114833485</v>
      </c>
      <c r="F37" s="8">
        <v>0.65419223585124753</v>
      </c>
      <c r="G37" s="8">
        <v>0.65386208220265885</v>
      </c>
      <c r="H37" s="8">
        <v>0.65114687752013078</v>
      </c>
      <c r="I37" s="8">
        <v>0.65277062567987942</v>
      </c>
      <c r="J37" s="8">
        <v>0.65290500551933639</v>
      </c>
      <c r="K37" s="8">
        <v>0.65277782859607902</v>
      </c>
      <c r="L37" s="8">
        <v>0.6527075999075207</v>
      </c>
      <c r="M37" s="32">
        <v>0.64150898284867797</v>
      </c>
      <c r="N37" s="12">
        <v>0.65381719084591405</v>
      </c>
      <c r="O37" s="12">
        <v>0.65382356572114997</v>
      </c>
      <c r="P37" s="12">
        <v>0.64906252114833496</v>
      </c>
      <c r="Q37" s="12">
        <v>0.65419223585124797</v>
      </c>
      <c r="R37" s="12">
        <v>0.65386208220265896</v>
      </c>
      <c r="S37" s="12">
        <v>0.65114687752013101</v>
      </c>
      <c r="T37" s="12">
        <v>0.65277062567987998</v>
      </c>
      <c r="U37" s="12">
        <v>0.65290500551933395</v>
      </c>
      <c r="V37" s="12">
        <v>0.65277782859605704</v>
      </c>
      <c r="W37" s="33">
        <v>0.65270759990751603</v>
      </c>
      <c r="X37" t="b">
        <f t="shared" si="0"/>
        <v>1</v>
      </c>
      <c r="Y37" t="b">
        <f t="shared" si="1"/>
        <v>1</v>
      </c>
      <c r="Z37" t="b">
        <f t="shared" si="2"/>
        <v>1</v>
      </c>
      <c r="AA37" t="b">
        <f t="shared" si="3"/>
        <v>1</v>
      </c>
      <c r="AB37" t="b">
        <f t="shared" si="4"/>
        <v>1</v>
      </c>
      <c r="AC37" t="b">
        <f t="shared" si="5"/>
        <v>1</v>
      </c>
      <c r="AD37" t="b">
        <f t="shared" si="6"/>
        <v>1</v>
      </c>
      <c r="AE37" t="b">
        <f t="shared" si="7"/>
        <v>1</v>
      </c>
      <c r="AF37" t="b">
        <f t="shared" si="8"/>
        <v>1</v>
      </c>
      <c r="AG37" t="b">
        <f t="shared" si="9"/>
        <v>1</v>
      </c>
      <c r="AH37" t="b">
        <f t="shared" si="10"/>
        <v>1</v>
      </c>
      <c r="AJ37" s="1">
        <f t="shared" si="16"/>
        <v>120</v>
      </c>
      <c r="AK37" s="23">
        <v>0.44393209214267959</v>
      </c>
      <c r="AL37" s="8">
        <v>0.42492749129968665</v>
      </c>
      <c r="AM37" s="8">
        <v>0.42491774110613312</v>
      </c>
      <c r="AN37" s="8">
        <v>0.4322262323288118</v>
      </c>
      <c r="AO37" s="8">
        <v>0.42435403210595796</v>
      </c>
      <c r="AP37" s="8">
        <v>0.42485883324615953</v>
      </c>
      <c r="AQ37" s="8">
        <v>0.42902004391105847</v>
      </c>
      <c r="AR37" s="8">
        <v>0.42652947377130968</v>
      </c>
      <c r="AS37" s="8">
        <v>0.42632363422476316</v>
      </c>
      <c r="AT37" s="8">
        <v>0.42651843945668722</v>
      </c>
      <c r="AU37" s="8">
        <v>0.42662602960988649</v>
      </c>
      <c r="AV37" s="32">
        <v>0.44393209214267998</v>
      </c>
      <c r="AW37" s="12">
        <v>0.42492749129968599</v>
      </c>
      <c r="AX37" s="12">
        <v>0.42491774110613501</v>
      </c>
      <c r="AY37" s="12">
        <v>0.43222623232881102</v>
      </c>
      <c r="AZ37" s="12">
        <v>0.42435403210595801</v>
      </c>
      <c r="BA37" s="12">
        <v>0.42485883324615997</v>
      </c>
      <c r="BB37" s="12">
        <v>0.42902004391105802</v>
      </c>
      <c r="BC37" s="12">
        <v>0.42652947377130901</v>
      </c>
      <c r="BD37" s="12">
        <v>0.42632363422476699</v>
      </c>
      <c r="BE37" s="12">
        <v>0.42651843945672202</v>
      </c>
      <c r="BF37" s="33">
        <v>0.42662602960989399</v>
      </c>
      <c r="BG37" s="44" t="b">
        <f t="shared" si="20"/>
        <v>1</v>
      </c>
      <c r="BH37" t="b">
        <f t="shared" si="11"/>
        <v>1</v>
      </c>
      <c r="BI37" t="b">
        <f t="shared" si="11"/>
        <v>1</v>
      </c>
      <c r="BJ37" t="b">
        <f t="shared" si="11"/>
        <v>1</v>
      </c>
      <c r="BK37" t="b">
        <f t="shared" si="11"/>
        <v>1</v>
      </c>
      <c r="BL37" t="b">
        <f t="shared" si="11"/>
        <v>1</v>
      </c>
      <c r="BM37" t="b">
        <f t="shared" si="11"/>
        <v>1</v>
      </c>
      <c r="BN37" t="b">
        <f t="shared" si="11"/>
        <v>1</v>
      </c>
      <c r="BO37" t="b">
        <f t="shared" si="11"/>
        <v>1</v>
      </c>
      <c r="BP37" t="b">
        <f t="shared" si="11"/>
        <v>1</v>
      </c>
      <c r="BQ37" s="45" t="b">
        <f t="shared" si="11"/>
        <v>1</v>
      </c>
      <c r="BS37" s="1">
        <f t="shared" si="17"/>
        <v>120</v>
      </c>
      <c r="BT37" s="23">
        <v>2.7591556975863521E-3</v>
      </c>
      <c r="BU37" s="8">
        <v>9.812665479906257E-4</v>
      </c>
      <c r="BV37" s="8">
        <v>9.8123302901083256E-4</v>
      </c>
      <c r="BW37" s="8">
        <v>5.9139320576798236E-4</v>
      </c>
      <c r="BX37" s="8">
        <v>1.2052048426932258E-3</v>
      </c>
      <c r="BY37" s="8">
        <v>1.4901465693677696E-3</v>
      </c>
      <c r="BZ37" s="8">
        <v>1.8029277348029025E-3</v>
      </c>
      <c r="CA37" s="8">
        <v>1.544942609718338E-3</v>
      </c>
      <c r="CB37" s="8">
        <v>1.4777987681853701E-3</v>
      </c>
      <c r="CC37" s="8">
        <v>1.5459744271778049E-3</v>
      </c>
      <c r="CD37" s="8">
        <v>1.5833669561372242E-3</v>
      </c>
      <c r="CE37" s="32">
        <v>2.7591556975863499E-3</v>
      </c>
      <c r="CF37" s="12">
        <v>9.81266547990627E-4</v>
      </c>
      <c r="CG37" s="12">
        <v>9.8123302901079808E-4</v>
      </c>
      <c r="CH37" s="12">
        <v>5.9139320576797802E-4</v>
      </c>
      <c r="CI37" s="12">
        <v>1.20520484269322E-3</v>
      </c>
      <c r="CJ37" s="12">
        <v>1.4901465693677701E-3</v>
      </c>
      <c r="CK37" s="12">
        <v>1.8029277348028999E-3</v>
      </c>
      <c r="CL37" s="12">
        <v>1.54494260971833E-3</v>
      </c>
      <c r="CM37" s="12">
        <v>1.4777987681853699E-3</v>
      </c>
      <c r="CN37" s="12">
        <v>1.54597442717751E-3</v>
      </c>
      <c r="CO37" s="33">
        <v>1.58336695613709E-3</v>
      </c>
      <c r="CP37" t="b">
        <f t="shared" si="21"/>
        <v>1</v>
      </c>
      <c r="CQ37" t="b">
        <f t="shared" si="12"/>
        <v>1</v>
      </c>
      <c r="CR37" t="b">
        <f t="shared" si="12"/>
        <v>1</v>
      </c>
      <c r="CS37" t="b">
        <f t="shared" si="12"/>
        <v>1</v>
      </c>
      <c r="CT37" t="b">
        <f t="shared" si="12"/>
        <v>1</v>
      </c>
      <c r="CU37" t="b">
        <f t="shared" si="12"/>
        <v>1</v>
      </c>
      <c r="CV37" t="b">
        <f t="shared" si="12"/>
        <v>1</v>
      </c>
      <c r="CW37" t="b">
        <f t="shared" si="12"/>
        <v>1</v>
      </c>
      <c r="CX37" t="b">
        <f t="shared" si="12"/>
        <v>1</v>
      </c>
      <c r="CY37" t="b">
        <f t="shared" si="12"/>
        <v>1</v>
      </c>
      <c r="CZ37" t="b">
        <f t="shared" si="12"/>
        <v>1</v>
      </c>
      <c r="EW37" s="51"/>
    </row>
    <row r="38" spans="1:153" x14ac:dyDescent="0.25">
      <c r="A38" s="1">
        <f t="shared" si="15"/>
        <v>126</v>
      </c>
      <c r="B38" s="23">
        <v>0.63114205486131103</v>
      </c>
      <c r="C38" s="8">
        <v>0.65037328142951101</v>
      </c>
      <c r="D38" s="8">
        <v>0.65037973358474321</v>
      </c>
      <c r="E38" s="8">
        <v>0.64726153561654121</v>
      </c>
      <c r="F38" s="8">
        <v>0.6498309757194547</v>
      </c>
      <c r="G38" s="8">
        <v>0.64831832202123529</v>
      </c>
      <c r="H38" s="8">
        <v>0.64439570335876795</v>
      </c>
      <c r="I38" s="8">
        <v>0.64704537217597458</v>
      </c>
      <c r="J38" s="8">
        <v>0.64745134531400206</v>
      </c>
      <c r="K38" s="8">
        <v>0.64704829636871841</v>
      </c>
      <c r="L38" s="8">
        <v>0.64682615583372038</v>
      </c>
      <c r="M38" s="32">
        <v>0.63114205486131103</v>
      </c>
      <c r="N38" s="12">
        <v>0.65037328142951101</v>
      </c>
      <c r="O38" s="12">
        <v>0.65037973358474199</v>
      </c>
      <c r="P38" s="12">
        <v>0.64726153561654098</v>
      </c>
      <c r="Q38" s="12">
        <v>0.64983097571945503</v>
      </c>
      <c r="R38" s="12">
        <v>0.64831832202123496</v>
      </c>
      <c r="S38" s="12">
        <v>0.64439570335876795</v>
      </c>
      <c r="T38" s="12">
        <v>0.64704537217597502</v>
      </c>
      <c r="U38" s="12">
        <v>0.64745134531399995</v>
      </c>
      <c r="V38" s="12">
        <v>0.64704829636870098</v>
      </c>
      <c r="W38" s="33">
        <v>0.64682615583371506</v>
      </c>
      <c r="X38" t="b">
        <f t="shared" si="0"/>
        <v>1</v>
      </c>
      <c r="Y38" t="b">
        <f t="shared" si="1"/>
        <v>1</v>
      </c>
      <c r="Z38" t="b">
        <f t="shared" si="2"/>
        <v>1</v>
      </c>
      <c r="AA38" t="b">
        <f t="shared" si="3"/>
        <v>1</v>
      </c>
      <c r="AB38" t="b">
        <f t="shared" si="4"/>
        <v>1</v>
      </c>
      <c r="AC38" t="b">
        <f t="shared" si="5"/>
        <v>1</v>
      </c>
      <c r="AD38" t="b">
        <f t="shared" si="6"/>
        <v>1</v>
      </c>
      <c r="AE38" t="b">
        <f t="shared" si="7"/>
        <v>1</v>
      </c>
      <c r="AF38" t="b">
        <f t="shared" si="8"/>
        <v>1</v>
      </c>
      <c r="AG38" t="b">
        <f t="shared" si="9"/>
        <v>1</v>
      </c>
      <c r="AH38" t="b">
        <f t="shared" si="10"/>
        <v>1</v>
      </c>
      <c r="AJ38" s="1">
        <f t="shared" si="16"/>
        <v>126</v>
      </c>
      <c r="AK38" s="23">
        <v>0.460224315215014</v>
      </c>
      <c r="AL38" s="8">
        <v>0.43020880180528021</v>
      </c>
      <c r="AM38" s="8">
        <v>0.43019888115907334</v>
      </c>
      <c r="AN38" s="8">
        <v>0.43500483800403095</v>
      </c>
      <c r="AO38" s="8">
        <v>0.43104298726271462</v>
      </c>
      <c r="AP38" s="8">
        <v>0.43337346556050377</v>
      </c>
      <c r="AQ38" s="8">
        <v>0.43944229536329726</v>
      </c>
      <c r="AR38" s="8">
        <v>0.43533885992924048</v>
      </c>
      <c r="AS38" s="8">
        <v>0.43471163060397133</v>
      </c>
      <c r="AT38" s="8">
        <v>0.43533434063853549</v>
      </c>
      <c r="AU38" s="8">
        <v>0.43567771326916827</v>
      </c>
      <c r="AV38" s="32">
        <v>0.460224315215014</v>
      </c>
      <c r="AW38" s="12">
        <v>0.43020880180527998</v>
      </c>
      <c r="AX38" s="12">
        <v>0.43019888115907501</v>
      </c>
      <c r="AY38" s="12">
        <v>0.435004838004031</v>
      </c>
      <c r="AZ38" s="12">
        <v>0.43104298726271401</v>
      </c>
      <c r="BA38" s="12">
        <v>0.43337346556050399</v>
      </c>
      <c r="BB38" s="12">
        <v>0.43944229536329699</v>
      </c>
      <c r="BC38" s="12">
        <v>0.43533885992923999</v>
      </c>
      <c r="BD38" s="12">
        <v>0.434711630603974</v>
      </c>
      <c r="BE38" s="12">
        <v>0.43533434063856202</v>
      </c>
      <c r="BF38" s="33">
        <v>0.43567771326917598</v>
      </c>
      <c r="BG38" s="44" t="b">
        <f t="shared" si="20"/>
        <v>1</v>
      </c>
      <c r="BH38" t="b">
        <f t="shared" si="11"/>
        <v>1</v>
      </c>
      <c r="BI38" t="b">
        <f t="shared" si="11"/>
        <v>1</v>
      </c>
      <c r="BJ38" t="b">
        <f t="shared" si="11"/>
        <v>1</v>
      </c>
      <c r="BK38" t="b">
        <f t="shared" si="11"/>
        <v>1</v>
      </c>
      <c r="BL38" t="b">
        <f t="shared" si="11"/>
        <v>1</v>
      </c>
      <c r="BM38" t="b">
        <f t="shared" si="11"/>
        <v>1</v>
      </c>
      <c r="BN38" t="b">
        <f t="shared" si="11"/>
        <v>1</v>
      </c>
      <c r="BO38" t="b">
        <f t="shared" si="11"/>
        <v>1</v>
      </c>
      <c r="BP38" t="b">
        <f t="shared" si="11"/>
        <v>1</v>
      </c>
      <c r="BQ38" s="45" t="b">
        <f t="shared" si="11"/>
        <v>1</v>
      </c>
      <c r="BS38" s="1">
        <f t="shared" si="17"/>
        <v>126</v>
      </c>
      <c r="BT38" s="23">
        <v>2.6718163917070904E-3</v>
      </c>
      <c r="BU38" s="8">
        <v>7.8497377848070504E-4</v>
      </c>
      <c r="BV38" s="8">
        <v>7.8495011910035412E-4</v>
      </c>
      <c r="BW38" s="8">
        <v>3.4963467725340329E-4</v>
      </c>
      <c r="BX38" s="8">
        <v>1.0284759355343237E-3</v>
      </c>
      <c r="BY38" s="8">
        <v>1.3508220460403399E-3</v>
      </c>
      <c r="BZ38" s="8">
        <v>1.6730594043697098E-3</v>
      </c>
      <c r="CA38" s="8">
        <v>1.3941035611543262E-3</v>
      </c>
      <c r="CB38" s="8">
        <v>1.321023686044909E-3</v>
      </c>
      <c r="CC38" s="8">
        <v>1.3952400909157034E-3</v>
      </c>
      <c r="CD38" s="8">
        <v>1.4363187346184585E-3</v>
      </c>
      <c r="CE38" s="32">
        <v>2.67181639170709E-3</v>
      </c>
      <c r="CF38" s="12">
        <v>7.8497377848070601E-4</v>
      </c>
      <c r="CG38" s="12">
        <v>7.84950119100323E-4</v>
      </c>
      <c r="CH38" s="12">
        <v>3.4963467725339901E-4</v>
      </c>
      <c r="CI38" s="12">
        <v>1.02847593553432E-3</v>
      </c>
      <c r="CJ38" s="12">
        <v>1.3508220460403399E-3</v>
      </c>
      <c r="CK38" s="12">
        <v>1.67305940436971E-3</v>
      </c>
      <c r="CL38" s="12">
        <v>1.3941035611543099E-3</v>
      </c>
      <c r="CM38" s="12">
        <v>1.3210236860449101E-3</v>
      </c>
      <c r="CN38" s="12">
        <v>1.39524009091543E-3</v>
      </c>
      <c r="CO38" s="33">
        <v>1.4363187346183399E-3</v>
      </c>
      <c r="CP38" t="b">
        <f t="shared" si="21"/>
        <v>1</v>
      </c>
      <c r="CQ38" t="b">
        <f t="shared" si="12"/>
        <v>1</v>
      </c>
      <c r="CR38" t="b">
        <f t="shared" si="12"/>
        <v>1</v>
      </c>
      <c r="CS38" t="b">
        <f t="shared" si="12"/>
        <v>1</v>
      </c>
      <c r="CT38" t="b">
        <f t="shared" si="12"/>
        <v>1</v>
      </c>
      <c r="CU38" t="b">
        <f t="shared" si="12"/>
        <v>1</v>
      </c>
      <c r="CV38" t="b">
        <f t="shared" si="12"/>
        <v>1</v>
      </c>
      <c r="CW38" t="b">
        <f t="shared" si="12"/>
        <v>1</v>
      </c>
      <c r="CX38" t="b">
        <f t="shared" si="12"/>
        <v>1</v>
      </c>
      <c r="CY38" t="b">
        <f t="shared" si="12"/>
        <v>1</v>
      </c>
      <c r="CZ38" t="b">
        <f t="shared" si="12"/>
        <v>1</v>
      </c>
      <c r="EW38" s="51"/>
    </row>
    <row r="39" spans="1:153" x14ac:dyDescent="0.25">
      <c r="A39" s="1">
        <f t="shared" si="15"/>
        <v>132</v>
      </c>
      <c r="B39" s="23">
        <v>0.62126551408805053</v>
      </c>
      <c r="C39" s="8">
        <v>0.64764451998159589</v>
      </c>
      <c r="D39" s="8">
        <v>0.64765102123344676</v>
      </c>
      <c r="E39" s="8">
        <v>0.64623914115462833</v>
      </c>
      <c r="F39" s="8">
        <v>0.64613820338878503</v>
      </c>
      <c r="G39" s="8">
        <v>0.64332851920115008</v>
      </c>
      <c r="H39" s="8">
        <v>0.63819044484728371</v>
      </c>
      <c r="I39" s="8">
        <v>0.64192208341746326</v>
      </c>
      <c r="J39" s="8">
        <v>0.64261575944516602</v>
      </c>
      <c r="K39" s="8">
        <v>0.64192043674363575</v>
      </c>
      <c r="L39" s="8">
        <v>0.64153597328343159</v>
      </c>
      <c r="M39" s="32">
        <v>0.62126551408805097</v>
      </c>
      <c r="N39" s="12">
        <v>0.647644519981596</v>
      </c>
      <c r="O39" s="12">
        <v>0.64765102123344598</v>
      </c>
      <c r="P39" s="12">
        <v>0.64623914115462799</v>
      </c>
      <c r="Q39" s="12">
        <v>0.64613820338878503</v>
      </c>
      <c r="R39" s="12">
        <v>0.64332851920114997</v>
      </c>
      <c r="S39" s="12">
        <v>0.63819044484728404</v>
      </c>
      <c r="T39" s="12">
        <v>0.64192208341746304</v>
      </c>
      <c r="U39" s="12">
        <v>0.64261575944516502</v>
      </c>
      <c r="V39" s="12">
        <v>0.64192043674361299</v>
      </c>
      <c r="W39" s="33">
        <v>0.64153597328342704</v>
      </c>
      <c r="X39" t="b">
        <f t="shared" si="0"/>
        <v>1</v>
      </c>
      <c r="Y39" t="b">
        <f t="shared" si="1"/>
        <v>1</v>
      </c>
      <c r="Z39" t="b">
        <f t="shared" si="2"/>
        <v>1</v>
      </c>
      <c r="AA39" t="b">
        <f t="shared" si="3"/>
        <v>1</v>
      </c>
      <c r="AB39" t="b">
        <f t="shared" si="4"/>
        <v>1</v>
      </c>
      <c r="AC39" t="b">
        <f t="shared" si="5"/>
        <v>1</v>
      </c>
      <c r="AD39" t="b">
        <f t="shared" si="6"/>
        <v>1</v>
      </c>
      <c r="AE39" t="b">
        <f t="shared" si="7"/>
        <v>1</v>
      </c>
      <c r="AF39" t="b">
        <f t="shared" si="8"/>
        <v>1</v>
      </c>
      <c r="AG39" t="b">
        <f t="shared" si="9"/>
        <v>1</v>
      </c>
      <c r="AH39" t="b">
        <f t="shared" si="10"/>
        <v>1</v>
      </c>
      <c r="AJ39" s="1">
        <f t="shared" si="16"/>
        <v>132</v>
      </c>
      <c r="AK39" s="23">
        <v>0.47599672950797151</v>
      </c>
      <c r="AL39" s="8">
        <v>0.43441331343038919</v>
      </c>
      <c r="AM39" s="8">
        <v>0.43440327517789151</v>
      </c>
      <c r="AN39" s="8">
        <v>0.43658565615617517</v>
      </c>
      <c r="AO39" s="8">
        <v>0.43674186094647838</v>
      </c>
      <c r="AP39" s="8">
        <v>0.44109976888633468</v>
      </c>
      <c r="AQ39" s="8">
        <v>0.44911853728504347</v>
      </c>
      <c r="AR39" s="8">
        <v>0.44328834805091055</v>
      </c>
      <c r="AS39" s="8">
        <v>0.44220830809881828</v>
      </c>
      <c r="AT39" s="8">
        <v>0.4432909132780341</v>
      </c>
      <c r="AU39" s="8">
        <v>0.44389001967338976</v>
      </c>
      <c r="AV39" s="32">
        <v>0.47599672950797201</v>
      </c>
      <c r="AW39" s="12">
        <v>0.43441331343038903</v>
      </c>
      <c r="AX39" s="12">
        <v>0.43440327517789301</v>
      </c>
      <c r="AY39" s="12">
        <v>0.43658565615617501</v>
      </c>
      <c r="AZ39" s="12">
        <v>0.43674186094647799</v>
      </c>
      <c r="BA39" s="12">
        <v>0.44109976888633501</v>
      </c>
      <c r="BB39" s="12">
        <v>0.44911853728504297</v>
      </c>
      <c r="BC39" s="12">
        <v>0.44328834805091</v>
      </c>
      <c r="BD39" s="12">
        <v>0.44220830809882</v>
      </c>
      <c r="BE39" s="12">
        <v>0.44329091327806902</v>
      </c>
      <c r="BF39" s="33">
        <v>0.44389001967339697</v>
      </c>
      <c r="BG39" s="44" t="b">
        <f t="shared" si="20"/>
        <v>1</v>
      </c>
      <c r="BH39" t="b">
        <f t="shared" si="11"/>
        <v>1</v>
      </c>
      <c r="BI39" t="b">
        <f t="shared" si="11"/>
        <v>1</v>
      </c>
      <c r="BJ39" t="b">
        <f t="shared" si="11"/>
        <v>1</v>
      </c>
      <c r="BK39" t="b">
        <f t="shared" si="11"/>
        <v>1</v>
      </c>
      <c r="BL39" t="b">
        <f t="shared" si="11"/>
        <v>1</v>
      </c>
      <c r="BM39" t="b">
        <f t="shared" si="11"/>
        <v>1</v>
      </c>
      <c r="BN39" t="b">
        <f t="shared" si="11"/>
        <v>1</v>
      </c>
      <c r="BO39" t="b">
        <f t="shared" si="11"/>
        <v>1</v>
      </c>
      <c r="BP39" t="b">
        <f t="shared" si="11"/>
        <v>1</v>
      </c>
      <c r="BQ39" s="45" t="b">
        <f t="shared" si="11"/>
        <v>1</v>
      </c>
      <c r="BS39" s="1">
        <f t="shared" si="17"/>
        <v>132</v>
      </c>
      <c r="BT39" s="23">
        <v>2.5858972340975284E-3</v>
      </c>
      <c r="BU39" s="8">
        <v>6.2173417542608618E-4</v>
      </c>
      <c r="BV39" s="8">
        <v>6.2171830526242173E-4</v>
      </c>
      <c r="BW39" s="8">
        <v>1.8955121315581563E-4</v>
      </c>
      <c r="BX39" s="8">
        <v>8.7480293954150042E-4</v>
      </c>
      <c r="BY39" s="8">
        <v>1.2270403589154611E-3</v>
      </c>
      <c r="BZ39" s="8">
        <v>1.5540844105266936E-3</v>
      </c>
      <c r="CA39" s="8">
        <v>1.2580821963094622E-3</v>
      </c>
      <c r="CB39" s="8">
        <v>1.1804446845076163E-3</v>
      </c>
      <c r="CC39" s="8">
        <v>1.2593040422427377E-3</v>
      </c>
      <c r="CD39" s="8">
        <v>1.3033554369388878E-3</v>
      </c>
      <c r="CE39" s="32">
        <v>2.5858972340975302E-3</v>
      </c>
      <c r="CF39" s="12">
        <v>6.2173417542608705E-4</v>
      </c>
      <c r="CG39" s="12">
        <v>6.21718305262393E-4</v>
      </c>
      <c r="CH39" s="12">
        <v>1.89551213155813E-4</v>
      </c>
      <c r="CI39" s="12">
        <v>8.7480293954149803E-4</v>
      </c>
      <c r="CJ39" s="12">
        <v>1.2270403589154601E-3</v>
      </c>
      <c r="CK39" s="12">
        <v>1.55408441052669E-3</v>
      </c>
      <c r="CL39" s="12">
        <v>1.25808219630945E-3</v>
      </c>
      <c r="CM39" s="12">
        <v>1.18044468450761E-3</v>
      </c>
      <c r="CN39" s="12">
        <v>1.2593040422425E-3</v>
      </c>
      <c r="CO39" s="33">
        <v>1.30335543693878E-3</v>
      </c>
      <c r="CP39" t="b">
        <f t="shared" si="21"/>
        <v>1</v>
      </c>
      <c r="CQ39" t="b">
        <f t="shared" si="12"/>
        <v>1</v>
      </c>
      <c r="CR39" t="b">
        <f t="shared" si="12"/>
        <v>1</v>
      </c>
      <c r="CS39" t="b">
        <f t="shared" si="12"/>
        <v>1</v>
      </c>
      <c r="CT39" t="b">
        <f t="shared" si="12"/>
        <v>1</v>
      </c>
      <c r="CU39" t="b">
        <f t="shared" si="12"/>
        <v>1</v>
      </c>
      <c r="CV39" t="b">
        <f t="shared" si="12"/>
        <v>1</v>
      </c>
      <c r="CW39" t="b">
        <f t="shared" si="12"/>
        <v>1</v>
      </c>
      <c r="CX39" t="b">
        <f t="shared" si="12"/>
        <v>1</v>
      </c>
      <c r="CY39" t="b">
        <f t="shared" si="12"/>
        <v>1</v>
      </c>
      <c r="CZ39" t="b">
        <f t="shared" si="12"/>
        <v>1</v>
      </c>
    </row>
    <row r="40" spans="1:153" x14ac:dyDescent="0.25">
      <c r="A40" s="1">
        <f t="shared" si="15"/>
        <v>138</v>
      </c>
      <c r="B40" s="23">
        <v>0.61185616372266327</v>
      </c>
      <c r="C40" s="8">
        <v>0.6455012037124358</v>
      </c>
      <c r="D40" s="8">
        <v>0.64550773283783158</v>
      </c>
      <c r="E40" s="8">
        <v>0.6457085289911032</v>
      </c>
      <c r="F40" s="8">
        <v>0.64301823811470871</v>
      </c>
      <c r="G40" s="8">
        <v>0.63882464696239283</v>
      </c>
      <c r="H40" s="8">
        <v>0.63247720506562266</v>
      </c>
      <c r="I40" s="8">
        <v>0.63733312008194676</v>
      </c>
      <c r="J40" s="8">
        <v>0.63832582366559643</v>
      </c>
      <c r="K40" s="8">
        <v>0.63732667877224236</v>
      </c>
      <c r="L40" s="8">
        <v>0.63677201731703914</v>
      </c>
      <c r="M40" s="32">
        <v>0.61185616372266305</v>
      </c>
      <c r="N40" s="12">
        <v>0.64550120371243602</v>
      </c>
      <c r="O40" s="12">
        <v>0.64550773283783103</v>
      </c>
      <c r="P40" s="12">
        <v>0.64570852899110298</v>
      </c>
      <c r="Q40" s="12">
        <v>0.64301823811470904</v>
      </c>
      <c r="R40" s="12">
        <v>0.63882464696239305</v>
      </c>
      <c r="S40" s="12">
        <v>0.63247720506562299</v>
      </c>
      <c r="T40" s="12">
        <v>0.63733312008194698</v>
      </c>
      <c r="U40" s="12">
        <v>0.63832582366559498</v>
      </c>
      <c r="V40" s="12">
        <v>0.63732667877223104</v>
      </c>
      <c r="W40" s="33">
        <v>0.63677201731703503</v>
      </c>
      <c r="X40" t="b">
        <f t="shared" si="0"/>
        <v>1</v>
      </c>
      <c r="Y40" t="b">
        <f t="shared" si="1"/>
        <v>1</v>
      </c>
      <c r="Z40" t="b">
        <f t="shared" si="2"/>
        <v>1</v>
      </c>
      <c r="AA40" t="b">
        <f t="shared" si="3"/>
        <v>1</v>
      </c>
      <c r="AB40" t="b">
        <f t="shared" si="4"/>
        <v>1</v>
      </c>
      <c r="AC40" t="b">
        <f t="shared" si="5"/>
        <v>1</v>
      </c>
      <c r="AD40" t="b">
        <f t="shared" si="6"/>
        <v>1</v>
      </c>
      <c r="AE40" t="b">
        <f t="shared" si="7"/>
        <v>1</v>
      </c>
      <c r="AF40" t="b">
        <f t="shared" si="8"/>
        <v>1</v>
      </c>
      <c r="AG40" t="b">
        <f t="shared" si="9"/>
        <v>1</v>
      </c>
      <c r="AH40" t="b">
        <f t="shared" si="10"/>
        <v>1</v>
      </c>
      <c r="AJ40" s="1">
        <f t="shared" si="16"/>
        <v>138</v>
      </c>
      <c r="AK40" s="23">
        <v>0.49125805068984524</v>
      </c>
      <c r="AL40" s="8">
        <v>0.43772820392191009</v>
      </c>
      <c r="AM40" s="8">
        <v>0.43771808915785076</v>
      </c>
      <c r="AN40" s="8">
        <v>0.4374070705301798</v>
      </c>
      <c r="AO40" s="8">
        <v>0.44158219104924584</v>
      </c>
      <c r="AP40" s="8">
        <v>0.44812528016331249</v>
      </c>
      <c r="AQ40" s="8">
        <v>0.45811109845183778</v>
      </c>
      <c r="AR40" s="8">
        <v>0.45046280863841204</v>
      </c>
      <c r="AS40" s="8">
        <v>0.44890643059724078</v>
      </c>
      <c r="AT40" s="8">
        <v>0.45047291535035233</v>
      </c>
      <c r="AU40" s="8">
        <v>0.45134358807287395</v>
      </c>
      <c r="AV40" s="32">
        <v>0.49125805068984502</v>
      </c>
      <c r="AW40" s="12">
        <v>0.43772820392190898</v>
      </c>
      <c r="AX40" s="12">
        <v>0.43771808915785199</v>
      </c>
      <c r="AY40" s="12">
        <v>0.43740707053017902</v>
      </c>
      <c r="AZ40" s="12">
        <v>0.44158219104924601</v>
      </c>
      <c r="BA40" s="12">
        <v>0.44812528016331299</v>
      </c>
      <c r="BB40" s="12">
        <v>0.45811109845183701</v>
      </c>
      <c r="BC40" s="12">
        <v>0.45046280863841198</v>
      </c>
      <c r="BD40" s="12">
        <v>0.448906430597243</v>
      </c>
      <c r="BE40" s="12">
        <v>0.45047291535036998</v>
      </c>
      <c r="BF40" s="33">
        <v>0.45134358807288</v>
      </c>
      <c r="BG40" s="44" t="b">
        <f t="shared" si="20"/>
        <v>1</v>
      </c>
      <c r="BH40" t="b">
        <f t="shared" si="11"/>
        <v>1</v>
      </c>
      <c r="BI40" t="b">
        <f t="shared" si="11"/>
        <v>1</v>
      </c>
      <c r="BJ40" t="b">
        <f t="shared" si="11"/>
        <v>1</v>
      </c>
      <c r="BK40" t="b">
        <f t="shared" si="11"/>
        <v>1</v>
      </c>
      <c r="BL40" t="b">
        <f t="shared" si="11"/>
        <v>1</v>
      </c>
      <c r="BM40" t="b">
        <f t="shared" si="11"/>
        <v>1</v>
      </c>
      <c r="BN40" t="b">
        <f t="shared" si="11"/>
        <v>1</v>
      </c>
      <c r="BO40" t="b">
        <f t="shared" si="11"/>
        <v>1</v>
      </c>
      <c r="BP40" t="b">
        <f t="shared" si="11"/>
        <v>1</v>
      </c>
      <c r="BQ40" s="45" t="b">
        <f t="shared" si="11"/>
        <v>1</v>
      </c>
      <c r="BS40" s="1">
        <f t="shared" si="17"/>
        <v>138</v>
      </c>
      <c r="BT40" s="23">
        <v>2.5014622220613752E-3</v>
      </c>
      <c r="BU40" s="8">
        <v>4.8778633172561939E-4</v>
      </c>
      <c r="BV40" s="8">
        <v>4.8777641415726728E-4</v>
      </c>
      <c r="BW40" s="8">
        <v>9.3226071048510857E-5</v>
      </c>
      <c r="BX40" s="8">
        <v>7.4191488908039891E-4</v>
      </c>
      <c r="BY40" s="8">
        <v>1.1169309205322753E-3</v>
      </c>
      <c r="BZ40" s="8">
        <v>1.4450074604115579E-3</v>
      </c>
      <c r="CA40" s="8">
        <v>1.1355445458491231E-3</v>
      </c>
      <c r="CB40" s="8">
        <v>1.0545998239505454E-3</v>
      </c>
      <c r="CC40" s="8">
        <v>1.1368336404068192E-3</v>
      </c>
      <c r="CD40" s="8">
        <v>1.1831996616577345E-3</v>
      </c>
      <c r="CE40" s="32">
        <v>2.50146222206137E-3</v>
      </c>
      <c r="CF40" s="12">
        <v>4.8778633172562102E-4</v>
      </c>
      <c r="CG40" s="12">
        <v>4.8777641415724202E-4</v>
      </c>
      <c r="CH40" s="12">
        <v>9.3226071048509095E-5</v>
      </c>
      <c r="CI40" s="12">
        <v>7.4191488908039599E-4</v>
      </c>
      <c r="CJ40" s="12">
        <v>1.1169309205322699E-3</v>
      </c>
      <c r="CK40" s="12">
        <v>1.4450074604115599E-3</v>
      </c>
      <c r="CL40" s="12">
        <v>1.1355445458491201E-3</v>
      </c>
      <c r="CM40" s="12">
        <v>1.05459982395054E-3</v>
      </c>
      <c r="CN40" s="12">
        <v>1.13683364040659E-3</v>
      </c>
      <c r="CO40" s="33">
        <v>1.1831996616576399E-3</v>
      </c>
      <c r="CP40" t="b">
        <f t="shared" si="21"/>
        <v>1</v>
      </c>
      <c r="CQ40" t="b">
        <f t="shared" si="12"/>
        <v>1</v>
      </c>
      <c r="CR40" t="b">
        <f t="shared" si="12"/>
        <v>1</v>
      </c>
      <c r="CS40" t="b">
        <f t="shared" si="12"/>
        <v>1</v>
      </c>
      <c r="CT40" t="b">
        <f t="shared" si="12"/>
        <v>1</v>
      </c>
      <c r="CU40" t="b">
        <f t="shared" si="12"/>
        <v>1</v>
      </c>
      <c r="CV40" t="b">
        <f t="shared" si="12"/>
        <v>1</v>
      </c>
      <c r="CW40" t="b">
        <f t="shared" si="12"/>
        <v>1</v>
      </c>
      <c r="CX40" t="b">
        <f t="shared" si="12"/>
        <v>1</v>
      </c>
      <c r="CY40" t="b">
        <f t="shared" si="12"/>
        <v>1</v>
      </c>
      <c r="CZ40" t="b">
        <f t="shared" si="12"/>
        <v>1</v>
      </c>
    </row>
    <row r="41" spans="1:153" x14ac:dyDescent="0.25">
      <c r="A41" s="1">
        <f t="shared" si="15"/>
        <v>144</v>
      </c>
      <c r="B41" s="23">
        <v>0.60289190423837979</v>
      </c>
      <c r="C41" s="8">
        <v>0.6438319552356907</v>
      </c>
      <c r="D41" s="8">
        <v>0.64383849685100958</v>
      </c>
      <c r="E41" s="8">
        <v>0.64545966464496207</v>
      </c>
      <c r="F41" s="8">
        <v>0.6403874504031859</v>
      </c>
      <c r="G41" s="8">
        <v>0.63474816197368034</v>
      </c>
      <c r="H41" s="8">
        <v>0.62720828278167351</v>
      </c>
      <c r="I41" s="8">
        <v>0.6332187584611837</v>
      </c>
      <c r="J41" s="8">
        <v>0.63451764876770356</v>
      </c>
      <c r="K41" s="8">
        <v>0.63320735980910914</v>
      </c>
      <c r="L41" s="8">
        <v>0.63247686709615403</v>
      </c>
      <c r="M41" s="32">
        <v>0.60289190423838002</v>
      </c>
      <c r="N41" s="12">
        <v>0.64383195523569103</v>
      </c>
      <c r="O41" s="12">
        <v>0.64383849685100902</v>
      </c>
      <c r="P41" s="12">
        <v>0.64545966464496196</v>
      </c>
      <c r="Q41" s="12">
        <v>0.64038745040318601</v>
      </c>
      <c r="R41" s="12">
        <v>0.63474816197368</v>
      </c>
      <c r="S41" s="12">
        <v>0.62720828278167395</v>
      </c>
      <c r="T41" s="12">
        <v>0.63321875846118403</v>
      </c>
      <c r="U41" s="12">
        <v>0.6345176487677</v>
      </c>
      <c r="V41" s="12">
        <v>0.63320735980909504</v>
      </c>
      <c r="W41" s="33">
        <v>0.63247686709615003</v>
      </c>
      <c r="X41" t="b">
        <f t="shared" si="0"/>
        <v>1</v>
      </c>
      <c r="Y41" t="b">
        <f t="shared" si="1"/>
        <v>1</v>
      </c>
      <c r="Z41" t="b">
        <f t="shared" si="2"/>
        <v>1</v>
      </c>
      <c r="AA41" t="b">
        <f t="shared" si="3"/>
        <v>1</v>
      </c>
      <c r="AB41" t="b">
        <f t="shared" si="4"/>
        <v>1</v>
      </c>
      <c r="AC41" t="b">
        <f t="shared" si="5"/>
        <v>1</v>
      </c>
      <c r="AD41" t="b">
        <f t="shared" si="6"/>
        <v>1</v>
      </c>
      <c r="AE41" t="b">
        <f t="shared" si="7"/>
        <v>1</v>
      </c>
      <c r="AF41" t="b">
        <f t="shared" si="8"/>
        <v>1</v>
      </c>
      <c r="AG41" t="b">
        <f t="shared" si="9"/>
        <v>1</v>
      </c>
      <c r="AH41" t="b">
        <f t="shared" si="10"/>
        <v>1</v>
      </c>
      <c r="AJ41" s="1">
        <f t="shared" si="16"/>
        <v>144</v>
      </c>
      <c r="AK41" s="23">
        <v>0.50601736161080402</v>
      </c>
      <c r="AL41" s="8">
        <v>0.44031752600332186</v>
      </c>
      <c r="AM41" s="8">
        <v>0.44030736561592099</v>
      </c>
      <c r="AN41" s="8">
        <v>0.43779255764247005</v>
      </c>
      <c r="AO41" s="8">
        <v>0.44568189454880258</v>
      </c>
      <c r="AP41" s="8">
        <v>0.45452695407120641</v>
      </c>
      <c r="AQ41" s="8">
        <v>0.46647660406745856</v>
      </c>
      <c r="AR41" s="8">
        <v>0.45693932655435326</v>
      </c>
      <c r="AS41" s="8">
        <v>0.45489017697780382</v>
      </c>
      <c r="AT41" s="8">
        <v>0.45695732784461474</v>
      </c>
      <c r="AU41" s="8">
        <v>0.45811163281031936</v>
      </c>
      <c r="AV41" s="32">
        <v>0.50601736161080402</v>
      </c>
      <c r="AW41" s="12">
        <v>0.44031752600332102</v>
      </c>
      <c r="AX41" s="12">
        <v>0.44030736561592199</v>
      </c>
      <c r="AY41" s="12">
        <v>0.43779255764246999</v>
      </c>
      <c r="AZ41" s="12">
        <v>0.44568189454880203</v>
      </c>
      <c r="BA41" s="12">
        <v>0.45452695407120702</v>
      </c>
      <c r="BB41" s="12">
        <v>0.466476604067458</v>
      </c>
      <c r="BC41" s="12">
        <v>0.45693932655435299</v>
      </c>
      <c r="BD41" s="12">
        <v>0.45489017697780898</v>
      </c>
      <c r="BE41" s="12">
        <v>0.456957327844637</v>
      </c>
      <c r="BF41" s="33">
        <v>0.45811163281032602</v>
      </c>
      <c r="BG41" s="44" t="b">
        <f t="shared" si="20"/>
        <v>1</v>
      </c>
      <c r="BH41" t="b">
        <f t="shared" si="11"/>
        <v>1</v>
      </c>
      <c r="BI41" t="b">
        <f t="shared" si="11"/>
        <v>1</v>
      </c>
      <c r="BJ41" t="b">
        <f t="shared" si="11"/>
        <v>1</v>
      </c>
      <c r="BK41" t="b">
        <f t="shared" si="11"/>
        <v>1</v>
      </c>
      <c r="BL41" t="b">
        <f t="shared" si="11"/>
        <v>1</v>
      </c>
      <c r="BM41" t="b">
        <f t="shared" si="11"/>
        <v>1</v>
      </c>
      <c r="BN41" t="b">
        <f t="shared" si="11"/>
        <v>1</v>
      </c>
      <c r="BO41" t="b">
        <f t="shared" si="11"/>
        <v>1</v>
      </c>
      <c r="BP41" t="b">
        <f t="shared" si="11"/>
        <v>1</v>
      </c>
      <c r="BQ41" s="45" t="b">
        <f t="shared" si="11"/>
        <v>1</v>
      </c>
      <c r="BS41" s="1">
        <f t="shared" si="17"/>
        <v>144</v>
      </c>
      <c r="BT41" s="23">
        <v>2.4185697400541744E-3</v>
      </c>
      <c r="BU41" s="8">
        <v>3.7923044747623297E-4</v>
      </c>
      <c r="BV41" s="8">
        <v>3.7922492067546019E-4</v>
      </c>
      <c r="BW41" s="8">
        <v>4.1085056066255375E-5</v>
      </c>
      <c r="BX41" s="8">
        <v>6.275574419936415E-4</v>
      </c>
      <c r="BY41" s="8">
        <v>1.0188351811620969E-3</v>
      </c>
      <c r="BZ41" s="8">
        <v>1.3449219287851311E-3</v>
      </c>
      <c r="CA41" s="8">
        <v>1.0252317495767016E-3</v>
      </c>
      <c r="CB41" s="8">
        <v>9.4209330974955312E-4</v>
      </c>
      <c r="CC41" s="8">
        <v>1.0265715600909701E-3</v>
      </c>
      <c r="CD41" s="8">
        <v>1.0746554333379286E-3</v>
      </c>
      <c r="CE41" s="32">
        <v>2.41856974005417E-3</v>
      </c>
      <c r="CF41" s="12">
        <v>3.79230447476234E-4</v>
      </c>
      <c r="CG41" s="12">
        <v>3.7922492067543899E-4</v>
      </c>
      <c r="CH41" s="12">
        <v>4.1085056066254501E-5</v>
      </c>
      <c r="CI41" s="12">
        <v>6.2755744199363998E-4</v>
      </c>
      <c r="CJ41" s="12">
        <v>1.0188351811620999E-3</v>
      </c>
      <c r="CK41" s="12">
        <v>1.34492192878513E-3</v>
      </c>
      <c r="CL41" s="12">
        <v>1.0252317495766899E-3</v>
      </c>
      <c r="CM41" s="12">
        <v>9.4209330974955301E-4</v>
      </c>
      <c r="CN41" s="12">
        <v>1.02657156009077E-3</v>
      </c>
      <c r="CO41" s="33">
        <v>1.07465543333787E-3</v>
      </c>
      <c r="CP41" t="b">
        <f t="shared" si="21"/>
        <v>1</v>
      </c>
      <c r="CQ41" t="b">
        <f t="shared" si="12"/>
        <v>1</v>
      </c>
      <c r="CR41" t="b">
        <f t="shared" si="12"/>
        <v>1</v>
      </c>
      <c r="CS41" t="b">
        <f t="shared" si="12"/>
        <v>1</v>
      </c>
      <c r="CT41" t="b">
        <f t="shared" si="12"/>
        <v>1</v>
      </c>
      <c r="CU41" t="b">
        <f t="shared" si="12"/>
        <v>1</v>
      </c>
      <c r="CV41" t="b">
        <f t="shared" si="12"/>
        <v>1</v>
      </c>
      <c r="CW41" t="b">
        <f t="shared" si="12"/>
        <v>1</v>
      </c>
      <c r="CX41" t="b">
        <f t="shared" si="12"/>
        <v>1</v>
      </c>
      <c r="CY41" t="b">
        <f t="shared" si="12"/>
        <v>1</v>
      </c>
      <c r="CZ41" t="b">
        <f t="shared" si="12"/>
        <v>1</v>
      </c>
    </row>
    <row r="42" spans="1:153" x14ac:dyDescent="0.25">
      <c r="A42" s="1">
        <f t="shared" si="15"/>
        <v>150</v>
      </c>
      <c r="B42" s="23">
        <v>0.59435168148323958</v>
      </c>
      <c r="C42" s="8">
        <v>0.64254261572540317</v>
      </c>
      <c r="D42" s="8">
        <v>0.64254915918351063</v>
      </c>
      <c r="E42" s="8">
        <v>0.64535554946701579</v>
      </c>
      <c r="F42" s="8">
        <v>0.63817317050582978</v>
      </c>
      <c r="G42" s="8">
        <v>0.63104860085322956</v>
      </c>
      <c r="H42" s="8">
        <v>0.62234138072746026</v>
      </c>
      <c r="I42" s="8">
        <v>0.62952627504353109</v>
      </c>
      <c r="J42" s="8">
        <v>0.63113493378918006</v>
      </c>
      <c r="K42" s="8">
        <v>0.6295098102286375</v>
      </c>
      <c r="L42" s="8">
        <v>0.62859981168287526</v>
      </c>
      <c r="M42" s="32">
        <v>0.59435168148324002</v>
      </c>
      <c r="N42" s="12">
        <v>0.64254261572540305</v>
      </c>
      <c r="O42" s="12">
        <v>0.64254915918350997</v>
      </c>
      <c r="P42" s="12">
        <v>0.64535554946701601</v>
      </c>
      <c r="Q42" s="12">
        <v>0.63817317050583</v>
      </c>
      <c r="R42" s="12">
        <v>0.631048600853229</v>
      </c>
      <c r="S42" s="12">
        <v>0.62234138072746004</v>
      </c>
      <c r="T42" s="12">
        <v>0.62952627504353098</v>
      </c>
      <c r="U42" s="12">
        <v>0.63113493378917795</v>
      </c>
      <c r="V42" s="12">
        <v>0.62950981022862695</v>
      </c>
      <c r="W42" s="33">
        <v>0.62859981168287205</v>
      </c>
      <c r="X42" t="b">
        <f t="shared" si="0"/>
        <v>1</v>
      </c>
      <c r="Y42" t="b">
        <f t="shared" si="1"/>
        <v>1</v>
      </c>
      <c r="Z42" t="b">
        <f t="shared" si="2"/>
        <v>1</v>
      </c>
      <c r="AA42" t="b">
        <f t="shared" si="3"/>
        <v>1</v>
      </c>
      <c r="AB42" t="b">
        <f t="shared" si="4"/>
        <v>1</v>
      </c>
      <c r="AC42" t="b">
        <f t="shared" si="5"/>
        <v>1</v>
      </c>
      <c r="AD42" t="b">
        <f t="shared" si="6"/>
        <v>1</v>
      </c>
      <c r="AE42" t="b">
        <f t="shared" si="7"/>
        <v>1</v>
      </c>
      <c r="AF42" t="b">
        <f t="shared" si="8"/>
        <v>1</v>
      </c>
      <c r="AG42" t="b">
        <f t="shared" si="9"/>
        <v>1</v>
      </c>
      <c r="AH42" t="b">
        <f t="shared" si="10"/>
        <v>1</v>
      </c>
      <c r="AJ42" s="1">
        <f t="shared" si="16"/>
        <v>150</v>
      </c>
      <c r="AK42" s="23">
        <v>0.52028407844662672</v>
      </c>
      <c r="AL42" s="8">
        <v>0.442322136435084</v>
      </c>
      <c r="AM42" s="8">
        <v>0.44231195279180613</v>
      </c>
      <c r="AN42" s="8">
        <v>0.4379538745792923</v>
      </c>
      <c r="AO42" s="8">
        <v>0.44914560534190001</v>
      </c>
      <c r="AP42" s="8">
        <v>0.46037239745255731</v>
      </c>
      <c r="AQ42" s="8">
        <v>0.4742664931892468</v>
      </c>
      <c r="AR42" s="8">
        <v>0.4627876868238795</v>
      </c>
      <c r="AS42" s="8">
        <v>0.46023559811440146</v>
      </c>
      <c r="AT42" s="8">
        <v>0.46281384145929799</v>
      </c>
      <c r="AU42" s="8">
        <v>0.46426045420052309</v>
      </c>
      <c r="AV42" s="32">
        <v>0.52028407844662605</v>
      </c>
      <c r="AW42" s="12">
        <v>0.442322136435084</v>
      </c>
      <c r="AX42" s="12">
        <v>0.44231195279180702</v>
      </c>
      <c r="AY42" s="12">
        <v>0.43795387457929202</v>
      </c>
      <c r="AZ42" s="12">
        <v>0.44914560534190001</v>
      </c>
      <c r="BA42" s="12">
        <v>0.46037239745255698</v>
      </c>
      <c r="BB42" s="12">
        <v>0.47426649318924602</v>
      </c>
      <c r="BC42" s="12">
        <v>0.462787686823879</v>
      </c>
      <c r="BD42" s="12">
        <v>0.46023559811440501</v>
      </c>
      <c r="BE42" s="12">
        <v>0.46281384145931498</v>
      </c>
      <c r="BF42" s="33">
        <v>0.46426045420052803</v>
      </c>
      <c r="BG42" s="44" t="b">
        <f t="shared" si="20"/>
        <v>1</v>
      </c>
      <c r="BH42" t="b">
        <f t="shared" si="11"/>
        <v>1</v>
      </c>
      <c r="BI42" t="b">
        <f t="shared" si="11"/>
        <v>1</v>
      </c>
      <c r="BJ42" t="b">
        <f t="shared" si="11"/>
        <v>1</v>
      </c>
      <c r="BK42" t="b">
        <f t="shared" si="11"/>
        <v>1</v>
      </c>
      <c r="BL42" t="b">
        <f t="shared" si="11"/>
        <v>1</v>
      </c>
      <c r="BM42" t="b">
        <f t="shared" ref="BM42:BQ57" si="23">ROUND(AQ42,6)=ROUND(BB42,6)</f>
        <v>1</v>
      </c>
      <c r="BN42" t="b">
        <f t="shared" si="23"/>
        <v>1</v>
      </c>
      <c r="BO42" t="b">
        <f t="shared" si="23"/>
        <v>1</v>
      </c>
      <c r="BP42" t="b">
        <f t="shared" si="23"/>
        <v>1</v>
      </c>
      <c r="BQ42" s="45" t="b">
        <f t="shared" si="23"/>
        <v>1</v>
      </c>
      <c r="BS42" s="1">
        <f t="shared" si="17"/>
        <v>150</v>
      </c>
      <c r="BT42" s="23">
        <v>2.3372725066422421E-3</v>
      </c>
      <c r="BU42" s="8">
        <v>2.9226702395736097E-4</v>
      </c>
      <c r="BV42" s="8">
        <v>2.9226460858100154E-4</v>
      </c>
      <c r="BW42" s="8">
        <v>1.5996790038647174E-5</v>
      </c>
      <c r="BX42" s="8">
        <v>5.2956718338948122E-4</v>
      </c>
      <c r="BY42" s="8">
        <v>9.3129302856393965E-4</v>
      </c>
      <c r="BZ42" s="8">
        <v>1.2530047811473107E-3</v>
      </c>
      <c r="CA42" s="8">
        <v>9.2597056729935021E-4</v>
      </c>
      <c r="CB42" s="8">
        <v>8.4161386447522411E-4</v>
      </c>
      <c r="CC42" s="8">
        <v>9.2734619290312035E-4</v>
      </c>
      <c r="CD42" s="8">
        <v>9.7661466445121432E-4</v>
      </c>
      <c r="CE42" s="32">
        <v>2.3372725066422399E-3</v>
      </c>
      <c r="CF42" s="12">
        <v>2.92267023957362E-4</v>
      </c>
      <c r="CG42" s="12">
        <v>2.92264608580983E-4</v>
      </c>
      <c r="CH42" s="12">
        <v>1.5996790038646802E-5</v>
      </c>
      <c r="CI42" s="12">
        <v>5.2956718338948003E-4</v>
      </c>
      <c r="CJ42" s="12">
        <v>9.3129302856393705E-4</v>
      </c>
      <c r="CK42" s="12">
        <v>1.2530047811473101E-3</v>
      </c>
      <c r="CL42" s="12">
        <v>9.2597056729934403E-4</v>
      </c>
      <c r="CM42" s="12">
        <v>8.4161386447522302E-4</v>
      </c>
      <c r="CN42" s="12">
        <v>9.2734619290293604E-4</v>
      </c>
      <c r="CO42" s="33">
        <v>9.7661466445113105E-4</v>
      </c>
      <c r="CP42" t="b">
        <f t="shared" si="21"/>
        <v>1</v>
      </c>
      <c r="CQ42" t="b">
        <f t="shared" si="12"/>
        <v>1</v>
      </c>
      <c r="CR42" t="b">
        <f t="shared" si="12"/>
        <v>1</v>
      </c>
      <c r="CS42" t="b">
        <f t="shared" si="12"/>
        <v>1</v>
      </c>
      <c r="CT42" t="b">
        <f t="shared" si="12"/>
        <v>1</v>
      </c>
      <c r="CU42" t="b">
        <f t="shared" si="12"/>
        <v>1</v>
      </c>
      <c r="CV42" t="b">
        <f t="shared" ref="CV42:CZ57" si="24">ROUND(BZ42,6)=ROUND(CK42,6)</f>
        <v>1</v>
      </c>
      <c r="CW42" t="b">
        <f t="shared" si="24"/>
        <v>1</v>
      </c>
      <c r="CX42" t="b">
        <f t="shared" si="24"/>
        <v>1</v>
      </c>
      <c r="CY42" t="b">
        <f t="shared" si="24"/>
        <v>1</v>
      </c>
      <c r="CZ42" t="b">
        <f t="shared" si="24"/>
        <v>1</v>
      </c>
    </row>
    <row r="43" spans="1:153" x14ac:dyDescent="0.25">
      <c r="A43" s="1">
        <f t="shared" si="15"/>
        <v>156</v>
      </c>
      <c r="B43" s="23">
        <v>0.58621543723068459</v>
      </c>
      <c r="C43" s="8">
        <v>0.64155471255897056</v>
      </c>
      <c r="D43" s="8">
        <v>0.64156125092900673</v>
      </c>
      <c r="E43" s="8">
        <v>0.64531726218134688</v>
      </c>
      <c r="F43" s="8">
        <v>0.63631257007904629</v>
      </c>
      <c r="G43" s="8">
        <v>0.62768237794654635</v>
      </c>
      <c r="H43" s="8">
        <v>0.61783892009220076</v>
      </c>
      <c r="I43" s="8">
        <v>0.62620912121285188</v>
      </c>
      <c r="J43" s="8">
        <v>0.62812809707595751</v>
      </c>
      <c r="K43" s="8">
        <v>0.62618752845662717</v>
      </c>
      <c r="L43" s="8">
        <v>0.62509604275394559</v>
      </c>
      <c r="M43" s="32">
        <v>0.58621543723068503</v>
      </c>
      <c r="N43" s="12">
        <v>0.64155471255897101</v>
      </c>
      <c r="O43" s="12">
        <v>0.64156125092900596</v>
      </c>
      <c r="P43" s="12">
        <v>0.645317262181347</v>
      </c>
      <c r="Q43" s="12">
        <v>0.63631257007904696</v>
      </c>
      <c r="R43" s="12">
        <v>0.62768237794654602</v>
      </c>
      <c r="S43" s="12">
        <v>0.61783892009220098</v>
      </c>
      <c r="T43" s="12">
        <v>0.62620912121285199</v>
      </c>
      <c r="U43" s="12">
        <v>0.62812809707595596</v>
      </c>
      <c r="V43" s="12">
        <v>0.62618752845661396</v>
      </c>
      <c r="W43" s="33">
        <v>0.62509604275394304</v>
      </c>
      <c r="X43" t="b">
        <f t="shared" si="0"/>
        <v>1</v>
      </c>
      <c r="Y43" t="b">
        <f t="shared" si="1"/>
        <v>1</v>
      </c>
      <c r="Z43" t="b">
        <f t="shared" si="2"/>
        <v>1</v>
      </c>
      <c r="AA43" t="b">
        <f t="shared" si="3"/>
        <v>1</v>
      </c>
      <c r="AB43" t="b">
        <f t="shared" si="4"/>
        <v>1</v>
      </c>
      <c r="AC43" t="b">
        <f t="shared" si="5"/>
        <v>1</v>
      </c>
      <c r="AD43" t="b">
        <f t="shared" si="6"/>
        <v>1</v>
      </c>
      <c r="AE43" t="b">
        <f t="shared" si="7"/>
        <v>1</v>
      </c>
      <c r="AF43" t="b">
        <f t="shared" si="8"/>
        <v>1</v>
      </c>
      <c r="AG43" t="b">
        <f t="shared" si="9"/>
        <v>1</v>
      </c>
      <c r="AH43" t="b">
        <f t="shared" si="10"/>
        <v>1</v>
      </c>
      <c r="AJ43" s="1">
        <f t="shared" si="16"/>
        <v>156</v>
      </c>
      <c r="AK43" s="23">
        <v>0.53406791664286979</v>
      </c>
      <c r="AL43" s="8">
        <v>0.44386081008478145</v>
      </c>
      <c r="AM43" s="8">
        <v>0.44385061869098341</v>
      </c>
      <c r="AN43" s="8">
        <v>0.43801320376843245</v>
      </c>
      <c r="AO43" s="8">
        <v>0.45206537398166302</v>
      </c>
      <c r="AP43" s="8">
        <v>0.46572100805855399</v>
      </c>
      <c r="AQ43" s="8">
        <v>0.48152750259880411</v>
      </c>
      <c r="AR43" s="8">
        <v>0.46807090422202136</v>
      </c>
      <c r="AS43" s="8">
        <v>0.46501115707866114</v>
      </c>
      <c r="AT43" s="8">
        <v>0.46810538651839695</v>
      </c>
      <c r="AU43" s="8">
        <v>0.46984997264520273</v>
      </c>
      <c r="AV43" s="32">
        <v>0.53406791664287001</v>
      </c>
      <c r="AW43" s="12">
        <v>0.44386081008478101</v>
      </c>
      <c r="AX43" s="12">
        <v>0.44385061869098402</v>
      </c>
      <c r="AY43" s="12">
        <v>0.438013203768432</v>
      </c>
      <c r="AZ43" s="12">
        <v>0.45206537398166302</v>
      </c>
      <c r="BA43" s="12">
        <v>0.46572100805855399</v>
      </c>
      <c r="BB43" s="12">
        <v>0.481527502598804</v>
      </c>
      <c r="BC43" s="12">
        <v>0.46807090422202102</v>
      </c>
      <c r="BD43" s="12">
        <v>0.46501115707866397</v>
      </c>
      <c r="BE43" s="12">
        <v>0.46810538651841799</v>
      </c>
      <c r="BF43" s="33">
        <v>0.469849972645208</v>
      </c>
      <c r="BG43" s="44" t="b">
        <f t="shared" si="20"/>
        <v>1</v>
      </c>
      <c r="BH43" t="b">
        <f t="shared" si="20"/>
        <v>1</v>
      </c>
      <c r="BI43" t="b">
        <f t="shared" si="20"/>
        <v>1</v>
      </c>
      <c r="BJ43" t="b">
        <f t="shared" si="20"/>
        <v>1</v>
      </c>
      <c r="BK43" t="b">
        <f t="shared" si="20"/>
        <v>1</v>
      </c>
      <c r="BL43" t="b">
        <f t="shared" si="20"/>
        <v>1</v>
      </c>
      <c r="BM43" t="b">
        <f t="shared" si="23"/>
        <v>1</v>
      </c>
      <c r="BN43" t="b">
        <f t="shared" si="23"/>
        <v>1</v>
      </c>
      <c r="BO43" t="b">
        <f t="shared" si="23"/>
        <v>1</v>
      </c>
      <c r="BP43" t="b">
        <f t="shared" si="23"/>
        <v>1</v>
      </c>
      <c r="BQ43" s="45" t="b">
        <f t="shared" si="23"/>
        <v>1</v>
      </c>
      <c r="BS43" s="1">
        <f t="shared" si="17"/>
        <v>156</v>
      </c>
      <c r="BT43" s="23">
        <v>2.2576175607349359E-3</v>
      </c>
      <c r="BU43" s="8">
        <v>2.2335542688374597E-4</v>
      </c>
      <c r="BV43" s="8">
        <v>2.2335511100398897E-4</v>
      </c>
      <c r="BW43" s="8">
        <v>5.4149674089574354E-6</v>
      </c>
      <c r="BX43" s="8">
        <v>4.459191181149979E-4</v>
      </c>
      <c r="BY43" s="8">
        <v>8.530250870650728E-4</v>
      </c>
      <c r="BZ43" s="8">
        <v>1.1685105887377326E-3</v>
      </c>
      <c r="CA43" s="8">
        <v>8.3667783973297876E-4</v>
      </c>
      <c r="CB43" s="8">
        <v>7.5194457207654276E-4</v>
      </c>
      <c r="CC43" s="8">
        <v>8.3807602848358018E-4</v>
      </c>
      <c r="CD43" s="8">
        <v>8.8805876437674772E-4</v>
      </c>
      <c r="CE43" s="32">
        <v>2.2576175607349298E-3</v>
      </c>
      <c r="CF43" s="12">
        <v>2.23355426883747E-4</v>
      </c>
      <c r="CG43" s="12">
        <v>2.23355111003974E-4</v>
      </c>
      <c r="CH43" s="12">
        <v>5.4149674089572804E-6</v>
      </c>
      <c r="CI43" s="12">
        <v>4.45919118114996E-4</v>
      </c>
      <c r="CJ43" s="12">
        <v>8.5302508706507096E-4</v>
      </c>
      <c r="CK43" s="12">
        <v>1.16851058873773E-3</v>
      </c>
      <c r="CL43" s="12">
        <v>8.3667783973297302E-4</v>
      </c>
      <c r="CM43" s="12">
        <v>7.5194457207654103E-4</v>
      </c>
      <c r="CN43" s="12">
        <v>8.3807602848341896E-4</v>
      </c>
      <c r="CO43" s="33">
        <v>8.88058764376678E-4</v>
      </c>
      <c r="CP43" t="b">
        <f t="shared" si="21"/>
        <v>1</v>
      </c>
      <c r="CQ43" t="b">
        <f t="shared" si="21"/>
        <v>1</v>
      </c>
      <c r="CR43" t="b">
        <f t="shared" si="21"/>
        <v>1</v>
      </c>
      <c r="CS43" t="b">
        <f t="shared" si="21"/>
        <v>1</v>
      </c>
      <c r="CT43" t="b">
        <f t="shared" si="21"/>
        <v>1</v>
      </c>
      <c r="CU43" t="b">
        <f t="shared" si="21"/>
        <v>1</v>
      </c>
      <c r="CV43" t="b">
        <f t="shared" si="24"/>
        <v>1</v>
      </c>
      <c r="CW43" t="b">
        <f t="shared" si="24"/>
        <v>1</v>
      </c>
      <c r="CX43" t="b">
        <f t="shared" si="24"/>
        <v>1</v>
      </c>
      <c r="CY43" t="b">
        <f t="shared" si="24"/>
        <v>1</v>
      </c>
      <c r="CZ43" t="b">
        <f t="shared" si="24"/>
        <v>1</v>
      </c>
    </row>
    <row r="44" spans="1:153" x14ac:dyDescent="0.25">
      <c r="A44" s="1">
        <f t="shared" si="15"/>
        <v>162</v>
      </c>
      <c r="B44" s="23">
        <v>0.57846406206925904</v>
      </c>
      <c r="C44" s="8">
        <v>0.64080370514249008</v>
      </c>
      <c r="D44" s="8">
        <v>0.64081023431062056</v>
      </c>
      <c r="E44" s="8">
        <v>0.64530508901555417</v>
      </c>
      <c r="F44" s="8">
        <v>0.63475156787493725</v>
      </c>
      <c r="G44" s="8">
        <v>0.62461176261888007</v>
      </c>
      <c r="H44" s="8">
        <v>0.61366744776853122</v>
      </c>
      <c r="I44" s="8">
        <v>0.62322618615031855</v>
      </c>
      <c r="J44" s="8">
        <v>0.6254534894117969</v>
      </c>
      <c r="K44" s="8">
        <v>0.62319944432444441</v>
      </c>
      <c r="L44" s="8">
        <v>0.62192593921786099</v>
      </c>
      <c r="M44" s="32">
        <v>0.57846406206925904</v>
      </c>
      <c r="N44" s="12">
        <v>0.64080370514248997</v>
      </c>
      <c r="O44" s="12">
        <v>0.64081023431062001</v>
      </c>
      <c r="P44" s="12">
        <v>0.64530508901555395</v>
      </c>
      <c r="Q44" s="12">
        <v>0.63475156787493703</v>
      </c>
      <c r="R44" s="12">
        <v>0.62461176261887996</v>
      </c>
      <c r="S44" s="12">
        <v>0.61366744776853099</v>
      </c>
      <c r="T44" s="12">
        <v>0.62322618615031899</v>
      </c>
      <c r="U44" s="12">
        <v>0.62545348941179602</v>
      </c>
      <c r="V44" s="12">
        <v>0.62319944432443197</v>
      </c>
      <c r="W44" s="33">
        <v>0.62192593921785799</v>
      </c>
      <c r="X44" t="b">
        <f t="shared" si="0"/>
        <v>1</v>
      </c>
      <c r="Y44" t="b">
        <f t="shared" si="1"/>
        <v>1</v>
      </c>
      <c r="Z44" t="b">
        <f t="shared" si="2"/>
        <v>1</v>
      </c>
      <c r="AA44" t="b">
        <f t="shared" si="3"/>
        <v>1</v>
      </c>
      <c r="AB44" t="b">
        <f t="shared" si="4"/>
        <v>1</v>
      </c>
      <c r="AC44" t="b">
        <f t="shared" si="5"/>
        <v>1</v>
      </c>
      <c r="AD44" t="b">
        <f t="shared" si="6"/>
        <v>1</v>
      </c>
      <c r="AE44" t="b">
        <f t="shared" si="7"/>
        <v>1</v>
      </c>
      <c r="AF44" t="b">
        <f t="shared" si="8"/>
        <v>1</v>
      </c>
      <c r="AG44" t="b">
        <f t="shared" si="9"/>
        <v>1</v>
      </c>
      <c r="AH44" t="b">
        <f t="shared" si="10"/>
        <v>1</v>
      </c>
      <c r="AJ44" s="1">
        <f t="shared" si="16"/>
        <v>162</v>
      </c>
      <c r="AK44" s="23">
        <v>0.54737885688957477</v>
      </c>
      <c r="AL44" s="8">
        <v>0.44503210118713482</v>
      </c>
      <c r="AM44" s="8">
        <v>0.44502191220911336</v>
      </c>
      <c r="AN44" s="8">
        <v>0.43803206779288045</v>
      </c>
      <c r="AO44" s="8">
        <v>0.45452158833354322</v>
      </c>
      <c r="AP44" s="8">
        <v>0.4706250020676398</v>
      </c>
      <c r="AQ44" s="8">
        <v>0.4883021135740932</v>
      </c>
      <c r="AR44" s="8">
        <v>0.47284576645355436</v>
      </c>
      <c r="AS44" s="8">
        <v>0.46927830929498465</v>
      </c>
      <c r="AT44" s="8">
        <v>0.47288867607483365</v>
      </c>
      <c r="AU44" s="8">
        <v>0.4749342621137817</v>
      </c>
      <c r="AV44" s="32">
        <v>0.54737885688957499</v>
      </c>
      <c r="AW44" s="12">
        <v>0.44503210118713399</v>
      </c>
      <c r="AX44" s="12">
        <v>0.44502191220911402</v>
      </c>
      <c r="AY44" s="12">
        <v>0.43803206779288001</v>
      </c>
      <c r="AZ44" s="12">
        <v>0.454521588333543</v>
      </c>
      <c r="BA44" s="12">
        <v>0.47062500206764002</v>
      </c>
      <c r="BB44" s="12">
        <v>0.48830211357409298</v>
      </c>
      <c r="BC44" s="12">
        <v>0.47284576645355397</v>
      </c>
      <c r="BD44" s="12">
        <v>0.46927830929498698</v>
      </c>
      <c r="BE44" s="12">
        <v>0.47288867607485302</v>
      </c>
      <c r="BF44" s="33">
        <v>0.47493426211378598</v>
      </c>
      <c r="BG44" s="44" t="b">
        <f t="shared" si="20"/>
        <v>1</v>
      </c>
      <c r="BH44" t="b">
        <f t="shared" si="20"/>
        <v>1</v>
      </c>
      <c r="BI44" t="b">
        <f t="shared" si="20"/>
        <v>1</v>
      </c>
      <c r="BJ44" t="b">
        <f t="shared" si="20"/>
        <v>1</v>
      </c>
      <c r="BK44" t="b">
        <f t="shared" si="20"/>
        <v>1</v>
      </c>
      <c r="BL44" t="b">
        <f t="shared" si="20"/>
        <v>1</v>
      </c>
      <c r="BM44" t="b">
        <f t="shared" si="23"/>
        <v>1</v>
      </c>
      <c r="BN44" t="b">
        <f t="shared" si="23"/>
        <v>1</v>
      </c>
      <c r="BO44" t="b">
        <f t="shared" si="23"/>
        <v>1</v>
      </c>
      <c r="BP44" t="b">
        <f t="shared" si="23"/>
        <v>1</v>
      </c>
      <c r="BQ44" s="45" t="b">
        <f t="shared" si="23"/>
        <v>1</v>
      </c>
      <c r="BS44" s="1">
        <f t="shared" si="17"/>
        <v>162</v>
      </c>
      <c r="BT44" s="23">
        <v>2.1796462851849754E-3</v>
      </c>
      <c r="BU44" s="8">
        <v>1.693069433735279E-4</v>
      </c>
      <c r="BV44" s="8">
        <v>1.6930795369655434E-4</v>
      </c>
      <c r="BW44" s="8">
        <v>1.5647134330093527E-6</v>
      </c>
      <c r="BX44" s="8">
        <v>3.7475380563225201E-4</v>
      </c>
      <c r="BY44" s="8">
        <v>7.82913691304333E-4</v>
      </c>
      <c r="BZ44" s="8">
        <v>1.0907652230206972E-3</v>
      </c>
      <c r="CA44" s="8">
        <v>7.5636082973933516E-4</v>
      </c>
      <c r="CB44" s="8">
        <v>6.7196671108191923E-4</v>
      </c>
      <c r="CC44" s="8">
        <v>7.5776993943841306E-4</v>
      </c>
      <c r="CD44" s="8">
        <v>8.080570486804511E-4</v>
      </c>
      <c r="CE44" s="32">
        <v>2.1796462851849702E-3</v>
      </c>
      <c r="CF44" s="12">
        <v>1.6930694337352899E-4</v>
      </c>
      <c r="CG44" s="12">
        <v>1.6930795369654201E-4</v>
      </c>
      <c r="CH44" s="12">
        <v>1.56471343300929E-6</v>
      </c>
      <c r="CI44" s="12">
        <v>3.7475380563225098E-4</v>
      </c>
      <c r="CJ44" s="12">
        <v>7.8291369130433104E-4</v>
      </c>
      <c r="CK44" s="12">
        <v>1.0907652230207E-3</v>
      </c>
      <c r="CL44" s="12">
        <v>7.5636082973933104E-4</v>
      </c>
      <c r="CM44" s="12">
        <v>6.7196671108191695E-4</v>
      </c>
      <c r="CN44" s="12">
        <v>7.5776993943827201E-4</v>
      </c>
      <c r="CO44" s="33">
        <v>8.0805704868038605E-4</v>
      </c>
      <c r="CP44" t="b">
        <f t="shared" si="21"/>
        <v>1</v>
      </c>
      <c r="CQ44" t="b">
        <f t="shared" si="21"/>
        <v>1</v>
      </c>
      <c r="CR44" t="b">
        <f t="shared" si="21"/>
        <v>1</v>
      </c>
      <c r="CS44" t="b">
        <f t="shared" si="21"/>
        <v>1</v>
      </c>
      <c r="CT44" t="b">
        <f t="shared" si="21"/>
        <v>1</v>
      </c>
      <c r="CU44" t="b">
        <f t="shared" si="21"/>
        <v>1</v>
      </c>
      <c r="CV44" t="b">
        <f t="shared" si="24"/>
        <v>1</v>
      </c>
      <c r="CW44" t="b">
        <f t="shared" si="24"/>
        <v>1</v>
      </c>
      <c r="CX44" t="b">
        <f t="shared" si="24"/>
        <v>1</v>
      </c>
      <c r="CY44" t="b">
        <f t="shared" si="24"/>
        <v>1</v>
      </c>
      <c r="CZ44" t="b">
        <f t="shared" si="24"/>
        <v>1</v>
      </c>
    </row>
    <row r="45" spans="1:153" x14ac:dyDescent="0.25">
      <c r="A45" s="1">
        <f t="shared" si="15"/>
        <v>168</v>
      </c>
      <c r="B45" s="23">
        <v>0.57107935052077063</v>
      </c>
      <c r="C45" s="8">
        <v>0.64023716264009756</v>
      </c>
      <c r="D45" s="8">
        <v>0.64024368054853675</v>
      </c>
      <c r="E45" s="8">
        <v>0.64530180445689278</v>
      </c>
      <c r="F45" s="8">
        <v>0.63344379172666188</v>
      </c>
      <c r="G45" s="8">
        <v>0.6218040129006821</v>
      </c>
      <c r="H45" s="8">
        <v>0.60979712396049623</v>
      </c>
      <c r="I45" s="8">
        <v>0.6205411428311558</v>
      </c>
      <c r="J45" s="8">
        <v>0.62307268823482609</v>
      </c>
      <c r="K45" s="8">
        <v>0.62050926558249264</v>
      </c>
      <c r="L45" s="8">
        <v>0.61905443651682757</v>
      </c>
      <c r="M45" s="32">
        <v>0.57107935052077097</v>
      </c>
      <c r="N45" s="12">
        <v>0.640237162640098</v>
      </c>
      <c r="O45" s="12">
        <v>0.64024368054853598</v>
      </c>
      <c r="P45" s="12">
        <v>0.645301804456893</v>
      </c>
      <c r="Q45" s="12">
        <v>0.63344379172666199</v>
      </c>
      <c r="R45" s="12">
        <v>0.62180401290068199</v>
      </c>
      <c r="S45" s="12">
        <v>0.60979712396049601</v>
      </c>
      <c r="T45" s="12">
        <v>0.62054114283115602</v>
      </c>
      <c r="U45" s="12">
        <v>0.62307268823482498</v>
      </c>
      <c r="V45" s="12">
        <v>0.62050926558248298</v>
      </c>
      <c r="W45" s="33">
        <v>0.61905443651682501</v>
      </c>
      <c r="X45" t="b">
        <f t="shared" si="0"/>
        <v>1</v>
      </c>
      <c r="Y45" t="b">
        <f t="shared" si="1"/>
        <v>1</v>
      </c>
      <c r="Z45" t="b">
        <f t="shared" si="2"/>
        <v>1</v>
      </c>
      <c r="AA45" t="b">
        <f t="shared" si="3"/>
        <v>1</v>
      </c>
      <c r="AB45" t="b">
        <f t="shared" si="4"/>
        <v>1</v>
      </c>
      <c r="AC45" t="b">
        <f t="shared" si="5"/>
        <v>1</v>
      </c>
      <c r="AD45" t="b">
        <f t="shared" si="6"/>
        <v>1</v>
      </c>
      <c r="AE45" t="b">
        <f t="shared" si="7"/>
        <v>1</v>
      </c>
      <c r="AF45" t="b">
        <f t="shared" si="8"/>
        <v>1</v>
      </c>
      <c r="AG45" t="b">
        <f t="shared" si="9"/>
        <v>1</v>
      </c>
      <c r="AH45" t="b">
        <f t="shared" si="10"/>
        <v>1</v>
      </c>
      <c r="AJ45" s="1">
        <f t="shared" si="16"/>
        <v>168</v>
      </c>
      <c r="AK45" s="23">
        <v>0.56022711134415804</v>
      </c>
      <c r="AL45" s="8">
        <v>0.44591660464612159</v>
      </c>
      <c r="AM45" s="8">
        <v>0.44590642423854437</v>
      </c>
      <c r="AN45" s="8">
        <v>0.43803715773727486</v>
      </c>
      <c r="AO45" s="8">
        <v>0.45658400971355401</v>
      </c>
      <c r="AP45" s="8">
        <v>0.47513032769435531</v>
      </c>
      <c r="AQ45" s="8">
        <v>0.49462896080431262</v>
      </c>
      <c r="AR45" s="8">
        <v>0.47716337060305258</v>
      </c>
      <c r="AS45" s="8">
        <v>0.47309209246639672</v>
      </c>
      <c r="AT45" s="8">
        <v>0.4772147420033665</v>
      </c>
      <c r="AU45" s="8">
        <v>0.47956206748765179</v>
      </c>
      <c r="AV45" s="32">
        <v>0.56022711134415804</v>
      </c>
      <c r="AW45" s="12">
        <v>0.44591660464612098</v>
      </c>
      <c r="AX45" s="12">
        <v>0.44590642423854498</v>
      </c>
      <c r="AY45" s="12">
        <v>0.43803715773727397</v>
      </c>
      <c r="AZ45" s="12">
        <v>0.45658400971355401</v>
      </c>
      <c r="BA45" s="12">
        <v>0.47513032769435498</v>
      </c>
      <c r="BB45" s="12">
        <v>0.49462896080431201</v>
      </c>
      <c r="BC45" s="12">
        <v>0.47716337060305197</v>
      </c>
      <c r="BD45" s="12">
        <v>0.473092092466398</v>
      </c>
      <c r="BE45" s="12">
        <v>0.47721474200338199</v>
      </c>
      <c r="BF45" s="33">
        <v>0.47956206748765601</v>
      </c>
      <c r="BG45" s="44" t="b">
        <f t="shared" si="20"/>
        <v>1</v>
      </c>
      <c r="BH45" t="b">
        <f t="shared" si="20"/>
        <v>1</v>
      </c>
      <c r="BI45" t="b">
        <f t="shared" si="20"/>
        <v>1</v>
      </c>
      <c r="BJ45" t="b">
        <f t="shared" si="20"/>
        <v>1</v>
      </c>
      <c r="BK45" t="b">
        <f t="shared" si="20"/>
        <v>1</v>
      </c>
      <c r="BL45" t="b">
        <f t="shared" si="20"/>
        <v>1</v>
      </c>
      <c r="BM45" t="b">
        <f t="shared" si="23"/>
        <v>1</v>
      </c>
      <c r="BN45" t="b">
        <f t="shared" si="23"/>
        <v>1</v>
      </c>
      <c r="BO45" t="b">
        <f t="shared" si="23"/>
        <v>1</v>
      </c>
      <c r="BP45" t="b">
        <f t="shared" si="23"/>
        <v>1</v>
      </c>
      <c r="BQ45" s="45" t="b">
        <f t="shared" si="23"/>
        <v>1</v>
      </c>
      <c r="BS45" s="1">
        <f t="shared" si="17"/>
        <v>168</v>
      </c>
      <c r="BT45" s="23">
        <v>2.1033944655178384E-3</v>
      </c>
      <c r="BU45" s="8">
        <v>1.2732754823003987E-4</v>
      </c>
      <c r="BV45" s="8">
        <v>1.2732931468367463E-4</v>
      </c>
      <c r="BW45" s="8">
        <v>3.7805252080843981E-7</v>
      </c>
      <c r="BX45" s="8">
        <v>3.1438952950641781E-4</v>
      </c>
      <c r="BY45" s="8">
        <v>7.1998413791959253E-4</v>
      </c>
      <c r="BZ45" s="8">
        <v>1.0191595875147146E-3</v>
      </c>
      <c r="CA45" s="8">
        <v>6.8411483267865204E-4</v>
      </c>
      <c r="CB45" s="8">
        <v>6.0065944455372383E-4</v>
      </c>
      <c r="CC45" s="8">
        <v>6.8552475368466087E-4</v>
      </c>
      <c r="CD45" s="8">
        <v>7.3576311235254953E-4</v>
      </c>
      <c r="CE45" s="32">
        <v>2.1033944655178402E-3</v>
      </c>
      <c r="CF45" s="12">
        <v>1.27327548230041E-4</v>
      </c>
      <c r="CG45" s="12">
        <v>1.27329314683664E-4</v>
      </c>
      <c r="CH45" s="12">
        <v>3.7805252080842202E-7</v>
      </c>
      <c r="CI45" s="12">
        <v>3.14389529506417E-4</v>
      </c>
      <c r="CJ45" s="12">
        <v>7.1998413791959004E-4</v>
      </c>
      <c r="CK45" s="12">
        <v>1.01915958751471E-3</v>
      </c>
      <c r="CL45" s="12">
        <v>6.8411483267864705E-4</v>
      </c>
      <c r="CM45" s="12">
        <v>6.0065944455372101E-4</v>
      </c>
      <c r="CN45" s="12">
        <v>6.8552475368427099E-4</v>
      </c>
      <c r="CO45" s="33">
        <v>7.3576311235248404E-4</v>
      </c>
      <c r="CP45" t="b">
        <f t="shared" si="21"/>
        <v>1</v>
      </c>
      <c r="CQ45" t="b">
        <f t="shared" si="21"/>
        <v>1</v>
      </c>
      <c r="CR45" t="b">
        <f t="shared" si="21"/>
        <v>1</v>
      </c>
      <c r="CS45" t="b">
        <f t="shared" si="21"/>
        <v>1</v>
      </c>
      <c r="CT45" t="b">
        <f t="shared" si="21"/>
        <v>1</v>
      </c>
      <c r="CU45" t="b">
        <f t="shared" si="21"/>
        <v>1</v>
      </c>
      <c r="CV45" t="b">
        <f t="shared" si="24"/>
        <v>1</v>
      </c>
      <c r="CW45" t="b">
        <f t="shared" si="24"/>
        <v>1</v>
      </c>
      <c r="CX45" t="b">
        <f t="shared" si="24"/>
        <v>1</v>
      </c>
      <c r="CY45" t="b">
        <f t="shared" si="24"/>
        <v>1</v>
      </c>
      <c r="CZ45" t="b">
        <f t="shared" si="24"/>
        <v>1</v>
      </c>
    </row>
    <row r="46" spans="1:153" x14ac:dyDescent="0.25">
      <c r="A46" s="1">
        <f t="shared" si="15"/>
        <v>174</v>
      </c>
      <c r="B46" s="23">
        <v>0.56404395828149878</v>
      </c>
      <c r="C46" s="8">
        <v>0.63981298351457516</v>
      </c>
      <c r="D46" s="8">
        <v>0.63981948954086953</v>
      </c>
      <c r="E46" s="8">
        <v>0.6453010679510498</v>
      </c>
      <c r="F46" s="8">
        <v>0.63234961576632676</v>
      </c>
      <c r="G46" s="8">
        <v>0.61923064327009758</v>
      </c>
      <c r="H46" s="8">
        <v>0.60620127908132815</v>
      </c>
      <c r="I46" s="8">
        <v>0.61812187043063416</v>
      </c>
      <c r="J46" s="8">
        <v>0.6209518689586232</v>
      </c>
      <c r="K46" s="8">
        <v>0.61808490084849355</v>
      </c>
      <c r="L46" s="8">
        <v>0.61645047252340213</v>
      </c>
      <c r="M46" s="32">
        <v>0.564043958281499</v>
      </c>
      <c r="N46" s="12">
        <v>0.63981298351457605</v>
      </c>
      <c r="O46" s="12">
        <v>0.63981948954086898</v>
      </c>
      <c r="P46" s="12">
        <v>0.64530106795105002</v>
      </c>
      <c r="Q46" s="12">
        <v>0.63234961576632698</v>
      </c>
      <c r="R46" s="12">
        <v>0.61923064327009703</v>
      </c>
      <c r="S46" s="12">
        <v>0.60620127908132804</v>
      </c>
      <c r="T46" s="12">
        <v>0.61812187043063505</v>
      </c>
      <c r="U46" s="12">
        <v>0.62095186895862198</v>
      </c>
      <c r="V46" s="12">
        <v>0.618084900848485</v>
      </c>
      <c r="W46" s="33">
        <v>0.61645047252340002</v>
      </c>
      <c r="X46" t="b">
        <f t="shared" si="0"/>
        <v>1</v>
      </c>
      <c r="Y46" t="b">
        <f t="shared" si="1"/>
        <v>1</v>
      </c>
      <c r="Z46" t="b">
        <f t="shared" si="2"/>
        <v>1</v>
      </c>
      <c r="AA46" t="b">
        <f t="shared" si="3"/>
        <v>1</v>
      </c>
      <c r="AB46" t="b">
        <f t="shared" si="4"/>
        <v>1</v>
      </c>
      <c r="AC46" t="b">
        <f t="shared" si="5"/>
        <v>1</v>
      </c>
      <c r="AD46" t="b">
        <f t="shared" si="6"/>
        <v>1</v>
      </c>
      <c r="AE46" t="b">
        <f t="shared" si="7"/>
        <v>1</v>
      </c>
      <c r="AF46" t="b">
        <f t="shared" si="8"/>
        <v>1</v>
      </c>
      <c r="AG46" t="b">
        <f t="shared" si="9"/>
        <v>1</v>
      </c>
      <c r="AH46" t="b">
        <f t="shared" si="10"/>
        <v>1</v>
      </c>
      <c r="AJ46" s="1">
        <f t="shared" si="16"/>
        <v>174</v>
      </c>
      <c r="AK46" s="23">
        <v>0.57262309030583558</v>
      </c>
      <c r="AL46" s="8">
        <v>0.44657935858950909</v>
      </c>
      <c r="AM46" s="8">
        <v>0.4465691900037137</v>
      </c>
      <c r="AN46" s="8">
        <v>0.43803829907340347</v>
      </c>
      <c r="AO46" s="8">
        <v>0.45831284828450619</v>
      </c>
      <c r="AP46" s="8">
        <v>0.47927746944583466</v>
      </c>
      <c r="AQ46" s="8">
        <v>0.50054320436176858</v>
      </c>
      <c r="AR46" s="8">
        <v>0.48106963962200722</v>
      </c>
      <c r="AS46" s="8">
        <v>0.47650170575508061</v>
      </c>
      <c r="AT46" s="8">
        <v>0.48112945094647258</v>
      </c>
      <c r="AU46" s="8">
        <v>0.48377729614438442</v>
      </c>
      <c r="AV46" s="32">
        <v>0.57262309030583503</v>
      </c>
      <c r="AW46" s="12">
        <v>0.44657935858950798</v>
      </c>
      <c r="AX46" s="12">
        <v>0.44656919000371398</v>
      </c>
      <c r="AY46" s="12">
        <v>0.43803829907340303</v>
      </c>
      <c r="AZ46" s="12">
        <v>0.45831284828450602</v>
      </c>
      <c r="BA46" s="12">
        <v>0.47927746944583499</v>
      </c>
      <c r="BB46" s="12">
        <v>0.50054320436176802</v>
      </c>
      <c r="BC46" s="12">
        <v>0.481069639622006</v>
      </c>
      <c r="BD46" s="12">
        <v>0.47650170575508199</v>
      </c>
      <c r="BE46" s="12">
        <v>0.48112945094648601</v>
      </c>
      <c r="BF46" s="33">
        <v>0.48377729614438802</v>
      </c>
      <c r="BG46" s="44" t="b">
        <f t="shared" si="20"/>
        <v>1</v>
      </c>
      <c r="BH46" t="b">
        <f t="shared" si="20"/>
        <v>1</v>
      </c>
      <c r="BI46" t="b">
        <f t="shared" si="20"/>
        <v>1</v>
      </c>
      <c r="BJ46" t="b">
        <f t="shared" si="20"/>
        <v>1</v>
      </c>
      <c r="BK46" t="b">
        <f t="shared" si="20"/>
        <v>1</v>
      </c>
      <c r="BL46" t="b">
        <f t="shared" si="20"/>
        <v>1</v>
      </c>
      <c r="BM46" t="b">
        <f t="shared" si="23"/>
        <v>1</v>
      </c>
      <c r="BN46" t="b">
        <f t="shared" si="23"/>
        <v>1</v>
      </c>
      <c r="BO46" t="b">
        <f t="shared" si="23"/>
        <v>1</v>
      </c>
      <c r="BP46" t="b">
        <f t="shared" si="23"/>
        <v>1</v>
      </c>
      <c r="BQ46" s="45" t="b">
        <f t="shared" si="23"/>
        <v>1</v>
      </c>
      <c r="BS46" s="1">
        <f t="shared" si="17"/>
        <v>174</v>
      </c>
      <c r="BT46" s="23">
        <v>2.0288923812748477E-3</v>
      </c>
      <c r="BU46" s="8">
        <v>9.5024399786751884E-5</v>
      </c>
      <c r="BV46" s="8">
        <v>9.5026518585072055E-5</v>
      </c>
      <c r="BW46" s="8">
        <v>7.4603906459746972E-8</v>
      </c>
      <c r="BX46" s="8">
        <v>2.633238580549835E-4</v>
      </c>
      <c r="BY46" s="8">
        <v>6.6338708321209421E-4</v>
      </c>
      <c r="BZ46" s="8">
        <v>9.5314359760008697E-4</v>
      </c>
      <c r="CA46" s="8">
        <v>6.1911905089722459E-4</v>
      </c>
      <c r="CB46" s="8">
        <v>5.3709674379118601E-4</v>
      </c>
      <c r="CC46" s="8">
        <v>6.2052110490996089E-4</v>
      </c>
      <c r="CD46" s="8">
        <v>6.7040998256584483E-4</v>
      </c>
      <c r="CE46" s="32">
        <v>2.0288923812748498E-3</v>
      </c>
      <c r="CF46" s="12">
        <v>9.5024399786752602E-5</v>
      </c>
      <c r="CG46" s="12">
        <v>9.5026518585063504E-5</v>
      </c>
      <c r="CH46" s="12">
        <v>7.4603906459743094E-8</v>
      </c>
      <c r="CI46" s="12">
        <v>2.6332385805498198E-4</v>
      </c>
      <c r="CJ46" s="12">
        <v>6.6338708321209204E-4</v>
      </c>
      <c r="CK46" s="12">
        <v>9.5314359760008697E-4</v>
      </c>
      <c r="CL46" s="12">
        <v>6.1911905089722101E-4</v>
      </c>
      <c r="CM46" s="12">
        <v>5.3709674379118395E-4</v>
      </c>
      <c r="CN46" s="12">
        <v>6.2052110490984304E-4</v>
      </c>
      <c r="CO46" s="33">
        <v>6.7040998256578802E-4</v>
      </c>
      <c r="CP46" t="b">
        <f t="shared" si="21"/>
        <v>1</v>
      </c>
      <c r="CQ46" t="b">
        <f t="shared" si="21"/>
        <v>1</v>
      </c>
      <c r="CR46" t="b">
        <f t="shared" si="21"/>
        <v>1</v>
      </c>
      <c r="CS46" t="b">
        <f t="shared" si="21"/>
        <v>1</v>
      </c>
      <c r="CT46" t="b">
        <f t="shared" si="21"/>
        <v>1</v>
      </c>
      <c r="CU46" t="b">
        <f t="shared" si="21"/>
        <v>1</v>
      </c>
      <c r="CV46" t="b">
        <f t="shared" si="24"/>
        <v>1</v>
      </c>
      <c r="CW46" t="b">
        <f t="shared" si="24"/>
        <v>1</v>
      </c>
      <c r="CX46" t="b">
        <f t="shared" si="24"/>
        <v>1</v>
      </c>
      <c r="CY46" t="b">
        <f t="shared" si="24"/>
        <v>1</v>
      </c>
      <c r="CZ46" t="b">
        <f t="shared" si="24"/>
        <v>1</v>
      </c>
    </row>
    <row r="47" spans="1:153" x14ac:dyDescent="0.25">
      <c r="A47" s="1">
        <f t="shared" si="15"/>
        <v>180</v>
      </c>
      <c r="B47" s="23">
        <v>0.55734136148602376</v>
      </c>
      <c r="C47" s="8">
        <v>0.63949773009769495</v>
      </c>
      <c r="D47" s="8">
        <v>0.63950422456591116</v>
      </c>
      <c r="E47" s="8">
        <v>0.64530093390296128</v>
      </c>
      <c r="F47" s="8">
        <v>0.63143528242543601</v>
      </c>
      <c r="G47" s="8">
        <v>0.61686680639554548</v>
      </c>
      <c r="H47" s="8">
        <v>0.60285603022651335</v>
      </c>
      <c r="I47" s="8">
        <v>0.61593994586303014</v>
      </c>
      <c r="J47" s="8">
        <v>0.6190612478173233</v>
      </c>
      <c r="K47" s="8">
        <v>0.61589795168803529</v>
      </c>
      <c r="L47" s="8">
        <v>0.61408650185101543</v>
      </c>
      <c r="M47" s="32">
        <v>0.55734136148602398</v>
      </c>
      <c r="N47" s="12">
        <v>0.63949773009769495</v>
      </c>
      <c r="O47" s="12">
        <v>0.63950422456591105</v>
      </c>
      <c r="P47" s="12">
        <v>0.64530093390296195</v>
      </c>
      <c r="Q47" s="12">
        <v>0.63143528242543601</v>
      </c>
      <c r="R47" s="12">
        <v>0.61686680639554503</v>
      </c>
      <c r="S47" s="12">
        <v>0.60285603022651402</v>
      </c>
      <c r="T47" s="12">
        <v>0.61593994586303102</v>
      </c>
      <c r="U47" s="12">
        <v>0.61906124781732297</v>
      </c>
      <c r="V47" s="12">
        <v>0.61589795168802897</v>
      </c>
      <c r="W47" s="33">
        <v>0.61408650185101299</v>
      </c>
      <c r="X47" t="b">
        <f t="shared" si="0"/>
        <v>1</v>
      </c>
      <c r="Y47" t="b">
        <f t="shared" si="1"/>
        <v>1</v>
      </c>
      <c r="Z47" t="b">
        <f t="shared" si="2"/>
        <v>1</v>
      </c>
      <c r="AA47" t="b">
        <f t="shared" si="3"/>
        <v>1</v>
      </c>
      <c r="AB47" t="b">
        <f t="shared" si="4"/>
        <v>1</v>
      </c>
      <c r="AC47" t="b">
        <f t="shared" si="5"/>
        <v>1</v>
      </c>
      <c r="AD47" t="b">
        <f t="shared" si="6"/>
        <v>1</v>
      </c>
      <c r="AE47" t="b">
        <f t="shared" si="7"/>
        <v>1</v>
      </c>
      <c r="AF47" t="b">
        <f t="shared" si="8"/>
        <v>1</v>
      </c>
      <c r="AG47" t="b">
        <f t="shared" si="9"/>
        <v>1</v>
      </c>
      <c r="AH47" t="b">
        <f t="shared" si="10"/>
        <v>1</v>
      </c>
      <c r="AJ47" s="1">
        <f t="shared" si="16"/>
        <v>180</v>
      </c>
      <c r="AK47" s="23">
        <v>0.58457736952915862</v>
      </c>
      <c r="AL47" s="8">
        <v>0.44707220746493409</v>
      </c>
      <c r="AM47" s="8">
        <v>0.44706205193985049</v>
      </c>
      <c r="AN47" s="8">
        <v>0.43803850680295653</v>
      </c>
      <c r="AO47" s="8">
        <v>0.45975982474660887</v>
      </c>
      <c r="AP47" s="8">
        <v>0.48310215132143547</v>
      </c>
      <c r="AQ47" s="8">
        <v>0.5060768666049269</v>
      </c>
      <c r="AR47" s="8">
        <v>0.48460581068321712</v>
      </c>
      <c r="AS47" s="8">
        <v>0.47955106479932147</v>
      </c>
      <c r="AT47" s="8">
        <v>0.48467399201632044</v>
      </c>
      <c r="AU47" s="8">
        <v>0.48761947826449065</v>
      </c>
      <c r="AV47" s="32">
        <v>0.58457736952915795</v>
      </c>
      <c r="AW47" s="12">
        <v>0.44707220746493398</v>
      </c>
      <c r="AX47" s="12">
        <v>0.44706205193985099</v>
      </c>
      <c r="AY47" s="12">
        <v>0.43803850680295597</v>
      </c>
      <c r="AZ47" s="12">
        <v>0.45975982474660898</v>
      </c>
      <c r="BA47" s="12">
        <v>0.48310215132143602</v>
      </c>
      <c r="BB47" s="12">
        <v>0.50607686660492701</v>
      </c>
      <c r="BC47" s="12">
        <v>0.48460581068321601</v>
      </c>
      <c r="BD47" s="12">
        <v>0.47955106479932302</v>
      </c>
      <c r="BE47" s="12">
        <v>0.48467399201632999</v>
      </c>
      <c r="BF47" s="33">
        <v>0.48761947826449398</v>
      </c>
      <c r="BG47" s="44" t="b">
        <f t="shared" si="20"/>
        <v>1</v>
      </c>
      <c r="BH47" t="b">
        <f t="shared" si="20"/>
        <v>1</v>
      </c>
      <c r="BI47" t="b">
        <f t="shared" si="20"/>
        <v>1</v>
      </c>
      <c r="BJ47" t="b">
        <f t="shared" si="20"/>
        <v>1</v>
      </c>
      <c r="BK47" t="b">
        <f t="shared" si="20"/>
        <v>1</v>
      </c>
      <c r="BL47" t="b">
        <f t="shared" si="20"/>
        <v>1</v>
      </c>
      <c r="BM47" t="b">
        <f t="shared" si="23"/>
        <v>1</v>
      </c>
      <c r="BN47" t="b">
        <f t="shared" si="23"/>
        <v>1</v>
      </c>
      <c r="BO47" t="b">
        <f t="shared" si="23"/>
        <v>1</v>
      </c>
      <c r="BP47" t="b">
        <f t="shared" si="23"/>
        <v>1</v>
      </c>
      <c r="BQ47" s="45" t="b">
        <f t="shared" si="23"/>
        <v>1</v>
      </c>
      <c r="BS47" s="1">
        <f t="shared" si="17"/>
        <v>180</v>
      </c>
      <c r="BT47" s="23">
        <v>1.9561649272360976E-3</v>
      </c>
      <c r="BU47" s="8">
        <v>7.0387978160027452E-5</v>
      </c>
      <c r="BV47" s="8">
        <v>7.0390176713932613E-5</v>
      </c>
      <c r="BW47" s="8">
        <v>1.1709480947193415E-8</v>
      </c>
      <c r="BX47" s="8">
        <v>2.2022801286432524E-4</v>
      </c>
      <c r="BY47" s="8">
        <v>6.1238250208986542E-4</v>
      </c>
      <c r="BZ47" s="8">
        <v>8.9222052466245399E-4</v>
      </c>
      <c r="CA47" s="8">
        <v>5.6063144014285469E-4</v>
      </c>
      <c r="CB47" s="8">
        <v>4.8044255213035671E-4</v>
      </c>
      <c r="CC47" s="8">
        <v>5.620182654359824E-4</v>
      </c>
      <c r="CD47" s="8">
        <v>6.1130461797739453E-4</v>
      </c>
      <c r="CE47" s="32">
        <v>1.9561649272360998E-3</v>
      </c>
      <c r="CF47" s="12">
        <v>7.0387978160028103E-5</v>
      </c>
      <c r="CG47" s="12">
        <v>7.0390176713925796E-5</v>
      </c>
      <c r="CH47" s="12">
        <v>1.17094809471926E-8</v>
      </c>
      <c r="CI47" s="12">
        <v>2.2022801286432399E-4</v>
      </c>
      <c r="CJ47" s="12">
        <v>6.1238250208986401E-4</v>
      </c>
      <c r="CK47" s="12">
        <v>8.9222052466245399E-4</v>
      </c>
      <c r="CL47" s="12">
        <v>5.6063144014285101E-4</v>
      </c>
      <c r="CM47" s="12">
        <v>4.80442552130354E-4</v>
      </c>
      <c r="CN47" s="12">
        <v>5.6201826543587202E-4</v>
      </c>
      <c r="CO47" s="33">
        <v>6.1130461797734401E-4</v>
      </c>
      <c r="CP47" t="b">
        <f t="shared" si="21"/>
        <v>1</v>
      </c>
      <c r="CQ47" t="b">
        <f t="shared" si="21"/>
        <v>1</v>
      </c>
      <c r="CR47" t="b">
        <f t="shared" si="21"/>
        <v>1</v>
      </c>
      <c r="CS47" t="b">
        <f t="shared" si="21"/>
        <v>1</v>
      </c>
      <c r="CT47" t="b">
        <f t="shared" si="21"/>
        <v>1</v>
      </c>
      <c r="CU47" t="b">
        <f t="shared" si="21"/>
        <v>1</v>
      </c>
      <c r="CV47" t="b">
        <f t="shared" si="24"/>
        <v>1</v>
      </c>
      <c r="CW47" t="b">
        <f t="shared" si="24"/>
        <v>1</v>
      </c>
      <c r="CX47" t="b">
        <f t="shared" si="24"/>
        <v>1</v>
      </c>
      <c r="CY47" t="b">
        <f t="shared" si="24"/>
        <v>1</v>
      </c>
      <c r="CZ47" t="b">
        <f t="shared" si="24"/>
        <v>1</v>
      </c>
    </row>
    <row r="48" spans="1:153" x14ac:dyDescent="0.25">
      <c r="A48" s="1">
        <f t="shared" si="15"/>
        <v>186</v>
      </c>
      <c r="B48" s="23">
        <v>0.55095581789800019</v>
      </c>
      <c r="C48" s="8">
        <v>0.63926512199127972</v>
      </c>
      <c r="D48" s="8">
        <v>0.63927160580052278</v>
      </c>
      <c r="E48" s="8">
        <v>0.64530091461865902</v>
      </c>
      <c r="F48" s="8">
        <v>0.63067211229436182</v>
      </c>
      <c r="G48" s="8">
        <v>0.61469077109445669</v>
      </c>
      <c r="H48" s="8">
        <v>0.59973994879668591</v>
      </c>
      <c r="I48" s="8">
        <v>0.6139701971741709</v>
      </c>
      <c r="J48" s="8">
        <v>0.61737458994705197</v>
      </c>
      <c r="K48" s="8">
        <v>0.61392326653070228</v>
      </c>
      <c r="L48" s="8">
        <v>0.6119380707454245</v>
      </c>
      <c r="M48" s="32">
        <v>0.55095581789799997</v>
      </c>
      <c r="N48" s="12">
        <v>0.63926512199128005</v>
      </c>
      <c r="O48" s="12">
        <v>0.639271605800522</v>
      </c>
      <c r="P48" s="12">
        <v>0.64530091461865902</v>
      </c>
      <c r="Q48" s="12">
        <v>0.63067211229436204</v>
      </c>
      <c r="R48" s="12">
        <v>0.61469077109445702</v>
      </c>
      <c r="S48" s="12">
        <v>0.59973994879668602</v>
      </c>
      <c r="T48" s="12">
        <v>0.61397019717417101</v>
      </c>
      <c r="U48" s="12">
        <v>0.61737458994705097</v>
      </c>
      <c r="V48" s="12">
        <v>0.61392326653069595</v>
      </c>
      <c r="W48" s="33">
        <v>0.61193807074542295</v>
      </c>
      <c r="X48" t="b">
        <f t="shared" si="0"/>
        <v>1</v>
      </c>
      <c r="Y48" t="b">
        <f t="shared" si="1"/>
        <v>1</v>
      </c>
      <c r="Z48" t="b">
        <f t="shared" si="2"/>
        <v>1</v>
      </c>
      <c r="AA48" t="b">
        <f t="shared" si="3"/>
        <v>1</v>
      </c>
      <c r="AB48" t="b">
        <f t="shared" si="4"/>
        <v>1</v>
      </c>
      <c r="AC48" t="b">
        <f t="shared" si="5"/>
        <v>1</v>
      </c>
      <c r="AD48" t="b">
        <f t="shared" si="6"/>
        <v>1</v>
      </c>
      <c r="AE48" t="b">
        <f t="shared" si="7"/>
        <v>1</v>
      </c>
      <c r="AF48" t="b">
        <f t="shared" si="8"/>
        <v>1</v>
      </c>
      <c r="AG48" t="b">
        <f t="shared" si="9"/>
        <v>1</v>
      </c>
      <c r="AH48" t="b">
        <f t="shared" si="10"/>
        <v>1</v>
      </c>
      <c r="AJ48" s="1">
        <f t="shared" si="16"/>
        <v>186</v>
      </c>
      <c r="AK48" s="23">
        <v>0.59610065834732084</v>
      </c>
      <c r="AL48" s="8">
        <v>0.44743600925758192</v>
      </c>
      <c r="AM48" s="8">
        <v>0.4474258667108687</v>
      </c>
      <c r="AN48" s="8">
        <v>0.43803853668715714</v>
      </c>
      <c r="AO48" s="8">
        <v>0.46096918335948356</v>
      </c>
      <c r="AP48" s="8">
        <v>0.48663594885610006</v>
      </c>
      <c r="AQ48" s="8">
        <v>0.5112591363912018</v>
      </c>
      <c r="AR48" s="8">
        <v>0.48780889081732243</v>
      </c>
      <c r="AS48" s="8">
        <v>0.48227932430937681</v>
      </c>
      <c r="AT48" s="8">
        <v>0.48788533172181237</v>
      </c>
      <c r="AU48" s="8">
        <v>0.49112419318246919</v>
      </c>
      <c r="AV48" s="32">
        <v>0.59610065834732096</v>
      </c>
      <c r="AW48" s="12">
        <v>0.44743600925758098</v>
      </c>
      <c r="AX48" s="12">
        <v>0.44742586671086898</v>
      </c>
      <c r="AY48" s="12">
        <v>0.43803853668715698</v>
      </c>
      <c r="AZ48" s="12">
        <v>0.460969183359483</v>
      </c>
      <c r="BA48" s="12">
        <v>0.48663594885610001</v>
      </c>
      <c r="BB48" s="12">
        <v>0.51125913639120102</v>
      </c>
      <c r="BC48" s="12">
        <v>0.48780889081732198</v>
      </c>
      <c r="BD48" s="12">
        <v>0.48227932430937798</v>
      </c>
      <c r="BE48" s="12">
        <v>0.48788533172182302</v>
      </c>
      <c r="BF48" s="33">
        <v>0.49112419318247202</v>
      </c>
      <c r="BG48" s="44" t="b">
        <f t="shared" si="20"/>
        <v>1</v>
      </c>
      <c r="BH48" t="b">
        <f t="shared" si="20"/>
        <v>1</v>
      </c>
      <c r="BI48" t="b">
        <f t="shared" si="20"/>
        <v>1</v>
      </c>
      <c r="BJ48" t="b">
        <f t="shared" si="20"/>
        <v>1</v>
      </c>
      <c r="BK48" t="b">
        <f t="shared" si="20"/>
        <v>1</v>
      </c>
      <c r="BL48" t="b">
        <f t="shared" si="20"/>
        <v>1</v>
      </c>
      <c r="BM48" t="b">
        <f t="shared" si="23"/>
        <v>1</v>
      </c>
      <c r="BN48" t="b">
        <f t="shared" si="23"/>
        <v>1</v>
      </c>
      <c r="BO48" t="b">
        <f t="shared" si="23"/>
        <v>1</v>
      </c>
      <c r="BP48" t="b">
        <f t="shared" si="23"/>
        <v>1</v>
      </c>
      <c r="BQ48" s="45" t="b">
        <f t="shared" si="23"/>
        <v>1</v>
      </c>
      <c r="BS48" s="1">
        <f t="shared" si="17"/>
        <v>186</v>
      </c>
      <c r="BT48" s="23">
        <v>1.8852317616283008E-3</v>
      </c>
      <c r="BU48" s="8">
        <v>5.1759371320091676E-5</v>
      </c>
      <c r="BV48" s="8">
        <v>5.1761476961898669E-5</v>
      </c>
      <c r="BW48" s="8">
        <v>1.4185428788821264E-9</v>
      </c>
      <c r="BX48" s="8">
        <v>1.8393665164117483E-4</v>
      </c>
      <c r="BY48" s="8">
        <v>5.6632535179280844E-4</v>
      </c>
      <c r="BZ48" s="8">
        <v>8.359417608949294E-4</v>
      </c>
      <c r="CA48" s="8">
        <v>5.0798302599322476E-4</v>
      </c>
      <c r="CB48" s="8">
        <v>4.2994491601632548E-4</v>
      </c>
      <c r="CC48" s="8">
        <v>5.0934845677043491E-4</v>
      </c>
      <c r="CD48" s="8">
        <v>5.5782214384674813E-4</v>
      </c>
      <c r="CE48" s="32">
        <v>1.8852317616282999E-3</v>
      </c>
      <c r="CF48" s="12">
        <v>5.1759371320092197E-5</v>
      </c>
      <c r="CG48" s="12">
        <v>5.1761476961893302E-5</v>
      </c>
      <c r="CH48" s="12">
        <v>1.4185428788820201E-9</v>
      </c>
      <c r="CI48" s="12">
        <v>1.8393665164117401E-4</v>
      </c>
      <c r="CJ48" s="12">
        <v>5.6632535179280703E-4</v>
      </c>
      <c r="CK48" s="12">
        <v>8.3594176089492897E-4</v>
      </c>
      <c r="CL48" s="12">
        <v>5.0798302599321999E-4</v>
      </c>
      <c r="CM48" s="12">
        <v>4.2994491601632299E-4</v>
      </c>
      <c r="CN48" s="12">
        <v>5.09348456770145E-4</v>
      </c>
      <c r="CO48" s="33">
        <v>5.5782214384669999E-4</v>
      </c>
      <c r="CP48" t="b">
        <f t="shared" si="21"/>
        <v>1</v>
      </c>
      <c r="CQ48" t="b">
        <f t="shared" si="21"/>
        <v>1</v>
      </c>
      <c r="CR48" t="b">
        <f t="shared" si="21"/>
        <v>1</v>
      </c>
      <c r="CS48" t="b">
        <f t="shared" si="21"/>
        <v>1</v>
      </c>
      <c r="CT48" t="b">
        <f t="shared" si="21"/>
        <v>1</v>
      </c>
      <c r="CU48" t="b">
        <f t="shared" si="21"/>
        <v>1</v>
      </c>
      <c r="CV48" t="b">
        <f t="shared" si="24"/>
        <v>1</v>
      </c>
      <c r="CW48" t="b">
        <f t="shared" si="24"/>
        <v>1</v>
      </c>
      <c r="CX48" t="b">
        <f t="shared" si="24"/>
        <v>1</v>
      </c>
      <c r="CY48" t="b">
        <f t="shared" si="24"/>
        <v>1</v>
      </c>
      <c r="CZ48" t="b">
        <f t="shared" si="24"/>
        <v>1</v>
      </c>
    </row>
    <row r="49" spans="1:104" x14ac:dyDescent="0.25">
      <c r="A49" s="1">
        <f t="shared" si="15"/>
        <v>192</v>
      </c>
      <c r="B49" s="23">
        <v>0.54487232993672585</v>
      </c>
      <c r="C49" s="8">
        <v>0.63909470953383696</v>
      </c>
      <c r="D49" s="8">
        <v>0.63910118388651838</v>
      </c>
      <c r="E49" s="8">
        <v>0.64530091249038213</v>
      </c>
      <c r="F49" s="8">
        <v>0.63003580058372444</v>
      </c>
      <c r="G49" s="8">
        <v>0.6126834812166515</v>
      </c>
      <c r="H49" s="8">
        <v>0.5968337720167245</v>
      </c>
      <c r="I49" s="8">
        <v>0.61219031183960926</v>
      </c>
      <c r="J49" s="8">
        <v>0.61586877626266623</v>
      </c>
      <c r="K49" s="8">
        <v>0.61213854946295476</v>
      </c>
      <c r="L49" s="8">
        <v>0.6099834452990992</v>
      </c>
      <c r="M49" s="32">
        <v>0.54487232993672596</v>
      </c>
      <c r="N49" s="12">
        <v>0.63909470953383696</v>
      </c>
      <c r="O49" s="12">
        <v>0.63910118388651804</v>
      </c>
      <c r="P49" s="12">
        <v>0.64530091249038202</v>
      </c>
      <c r="Q49" s="12">
        <v>0.63003580058372499</v>
      </c>
      <c r="R49" s="12">
        <v>0.61268348121665195</v>
      </c>
      <c r="S49" s="12">
        <v>0.59683377201672505</v>
      </c>
      <c r="T49" s="12">
        <v>0.61219031183961004</v>
      </c>
      <c r="U49" s="12">
        <v>0.61586877626266601</v>
      </c>
      <c r="V49" s="12">
        <v>0.61213854946294799</v>
      </c>
      <c r="W49" s="33">
        <v>0.60998344529909798</v>
      </c>
      <c r="X49" t="b">
        <f t="shared" si="0"/>
        <v>1</v>
      </c>
      <c r="Y49" t="b">
        <f t="shared" si="1"/>
        <v>1</v>
      </c>
      <c r="Z49" t="b">
        <f t="shared" si="2"/>
        <v>1</v>
      </c>
      <c r="AA49" t="b">
        <f t="shared" si="3"/>
        <v>1</v>
      </c>
      <c r="AB49" t="b">
        <f t="shared" si="4"/>
        <v>1</v>
      </c>
      <c r="AC49" t="b">
        <f t="shared" si="5"/>
        <v>1</v>
      </c>
      <c r="AD49" t="b">
        <f t="shared" si="6"/>
        <v>1</v>
      </c>
      <c r="AE49" t="b">
        <f t="shared" si="7"/>
        <v>1</v>
      </c>
      <c r="AF49" t="b">
        <f t="shared" si="8"/>
        <v>1</v>
      </c>
      <c r="AG49" t="b">
        <f t="shared" si="9"/>
        <v>1</v>
      </c>
      <c r="AH49" t="b">
        <f t="shared" si="10"/>
        <v>1</v>
      </c>
      <c r="AJ49" s="1">
        <f t="shared" si="16"/>
        <v>192</v>
      </c>
      <c r="AK49" s="23">
        <v>0.60720376875818238</v>
      </c>
      <c r="AL49" s="8">
        <v>0.447702620354473</v>
      </c>
      <c r="AM49" s="8">
        <v>0.44769248989995536</v>
      </c>
      <c r="AN49" s="8">
        <v>0.43803853998527253</v>
      </c>
      <c r="AO49" s="8">
        <v>0.46197863488774088</v>
      </c>
      <c r="AP49" s="8">
        <v>0.48990682025270049</v>
      </c>
      <c r="AQ49" s="8">
        <v>0.51611664319378125</v>
      </c>
      <c r="AR49" s="8">
        <v>0.49071207775186032</v>
      </c>
      <c r="AS49" s="8">
        <v>0.48472136368940189</v>
      </c>
      <c r="AT49" s="8">
        <v>0.49079663408034591</v>
      </c>
      <c r="AU49" s="8">
        <v>0.49432346103698122</v>
      </c>
      <c r="AV49" s="32">
        <v>0.60720376875818205</v>
      </c>
      <c r="AW49" s="12">
        <v>0.447702620354473</v>
      </c>
      <c r="AX49" s="12">
        <v>0.44769248989995603</v>
      </c>
      <c r="AY49" s="12">
        <v>0.43803853998527198</v>
      </c>
      <c r="AZ49" s="12">
        <v>0.46197863488774099</v>
      </c>
      <c r="BA49" s="12">
        <v>0.48990682025269999</v>
      </c>
      <c r="BB49" s="12">
        <v>0.51611664319378103</v>
      </c>
      <c r="BC49" s="12">
        <v>0.49071207775185999</v>
      </c>
      <c r="BD49" s="12">
        <v>0.484721363689403</v>
      </c>
      <c r="BE49" s="12">
        <v>0.49079663408035701</v>
      </c>
      <c r="BF49" s="33">
        <v>0.49432346103698399</v>
      </c>
      <c r="BG49" s="44" t="b">
        <f t="shared" si="20"/>
        <v>1</v>
      </c>
      <c r="BH49" t="b">
        <f t="shared" si="20"/>
        <v>1</v>
      </c>
      <c r="BI49" t="b">
        <f t="shared" si="20"/>
        <v>1</v>
      </c>
      <c r="BJ49" t="b">
        <f t="shared" si="20"/>
        <v>1</v>
      </c>
      <c r="BK49" t="b">
        <f t="shared" si="20"/>
        <v>1</v>
      </c>
      <c r="BL49" t="b">
        <f t="shared" si="20"/>
        <v>1</v>
      </c>
      <c r="BM49" t="b">
        <f t="shared" si="23"/>
        <v>1</v>
      </c>
      <c r="BN49" t="b">
        <f t="shared" si="23"/>
        <v>1</v>
      </c>
      <c r="BO49" t="b">
        <f t="shared" si="23"/>
        <v>1</v>
      </c>
      <c r="BP49" t="b">
        <f t="shared" si="23"/>
        <v>1</v>
      </c>
      <c r="BQ49" s="45" t="b">
        <f t="shared" si="23"/>
        <v>1</v>
      </c>
      <c r="BS49" s="1">
        <f t="shared" si="17"/>
        <v>192</v>
      </c>
      <c r="BT49" s="23">
        <v>1.8161074783170474E-3</v>
      </c>
      <c r="BU49" s="8">
        <v>3.7789886530269883E-5</v>
      </c>
      <c r="BV49" s="8">
        <v>3.7791799972833315E-5</v>
      </c>
      <c r="BW49" s="8">
        <v>1.2821186961634086E-10</v>
      </c>
      <c r="BX49" s="8">
        <v>1.5343500021865032E-4</v>
      </c>
      <c r="BY49" s="8">
        <v>5.2465292673724089E-4</v>
      </c>
      <c r="BZ49" s="8">
        <v>7.8390202330728823E-4</v>
      </c>
      <c r="CA49" s="8">
        <v>4.605720354366571E-4</v>
      </c>
      <c r="CB49" s="8">
        <v>3.8492960116631085E-4</v>
      </c>
      <c r="CC49" s="8">
        <v>4.6191098079653242E-4</v>
      </c>
      <c r="CD49" s="8">
        <v>5.0940008517101252E-4</v>
      </c>
      <c r="CE49" s="32">
        <v>1.81610747831705E-3</v>
      </c>
      <c r="CF49" s="12">
        <v>3.7789886530270303E-5</v>
      </c>
      <c r="CG49" s="12">
        <v>3.77917999728291E-5</v>
      </c>
      <c r="CH49" s="12">
        <v>1.2821186961633E-10</v>
      </c>
      <c r="CI49" s="12">
        <v>1.5343500021864999E-4</v>
      </c>
      <c r="CJ49" s="12">
        <v>5.2465292673723905E-4</v>
      </c>
      <c r="CK49" s="12">
        <v>7.8390202330728802E-4</v>
      </c>
      <c r="CL49" s="12">
        <v>4.6057203543665298E-4</v>
      </c>
      <c r="CM49" s="12">
        <v>3.8492960116630798E-4</v>
      </c>
      <c r="CN49" s="12">
        <v>4.6191098079644699E-4</v>
      </c>
      <c r="CO49" s="33">
        <v>5.0940008517097305E-4</v>
      </c>
      <c r="CP49" t="b">
        <f t="shared" si="21"/>
        <v>1</v>
      </c>
      <c r="CQ49" t="b">
        <f t="shared" si="21"/>
        <v>1</v>
      </c>
      <c r="CR49" t="b">
        <f t="shared" si="21"/>
        <v>1</v>
      </c>
      <c r="CS49" t="b">
        <f t="shared" si="21"/>
        <v>1</v>
      </c>
      <c r="CT49" t="b">
        <f t="shared" si="21"/>
        <v>1</v>
      </c>
      <c r="CU49" t="b">
        <f t="shared" si="21"/>
        <v>1</v>
      </c>
      <c r="CV49" t="b">
        <f t="shared" si="24"/>
        <v>1</v>
      </c>
      <c r="CW49" t="b">
        <f t="shared" si="24"/>
        <v>1</v>
      </c>
      <c r="CX49" t="b">
        <f t="shared" si="24"/>
        <v>1</v>
      </c>
      <c r="CY49" t="b">
        <f t="shared" si="24"/>
        <v>1</v>
      </c>
      <c r="CZ49" t="b">
        <f t="shared" si="24"/>
        <v>1</v>
      </c>
    </row>
    <row r="50" spans="1:104" x14ac:dyDescent="0.25">
      <c r="A50" s="1">
        <f t="shared" si="15"/>
        <v>198</v>
      </c>
      <c r="B50" s="23">
        <v>0.53907660945266522</v>
      </c>
      <c r="C50" s="8">
        <v>0.6389707320847261</v>
      </c>
      <c r="D50" s="8">
        <v>0.63897719829634581</v>
      </c>
      <c r="E50" s="8">
        <v>0.64530091231615638</v>
      </c>
      <c r="F50" s="8">
        <v>0.62950579615272706</v>
      </c>
      <c r="G50" s="8">
        <v>0.6108281824461782</v>
      </c>
      <c r="H50" s="8">
        <v>0.59412015213532576</v>
      </c>
      <c r="I50" s="8">
        <v>0.61058049352758637</v>
      </c>
      <c r="J50" s="8">
        <v>0.6145234228684967</v>
      </c>
      <c r="K50" s="8">
        <v>0.61052401745071683</v>
      </c>
      <c r="L50" s="8">
        <v>0.60820328640413557</v>
      </c>
      <c r="M50" s="32">
        <v>0.539076609452665</v>
      </c>
      <c r="N50" s="12">
        <v>0.63897073208472599</v>
      </c>
      <c r="O50" s="12">
        <v>0.63897719829634503</v>
      </c>
      <c r="P50" s="12">
        <v>0.64530091231615705</v>
      </c>
      <c r="Q50" s="12">
        <v>0.62950579615272695</v>
      </c>
      <c r="R50" s="12">
        <v>0.61082818244617798</v>
      </c>
      <c r="S50" s="12">
        <v>0.59412015213532599</v>
      </c>
      <c r="T50" s="12">
        <v>0.61058049352758703</v>
      </c>
      <c r="U50" s="12">
        <v>0.61452342286849604</v>
      </c>
      <c r="V50" s="12">
        <v>0.61052401745071105</v>
      </c>
      <c r="W50" s="33">
        <v>0.60820328640413401</v>
      </c>
      <c r="X50" t="b">
        <f t="shared" si="0"/>
        <v>1</v>
      </c>
      <c r="Y50" t="b">
        <f t="shared" si="1"/>
        <v>1</v>
      </c>
      <c r="Z50" t="b">
        <f t="shared" si="2"/>
        <v>1</v>
      </c>
      <c r="AA50" t="b">
        <f t="shared" si="3"/>
        <v>1</v>
      </c>
      <c r="AB50" t="b">
        <f t="shared" si="4"/>
        <v>1</v>
      </c>
      <c r="AC50" t="b">
        <f t="shared" si="5"/>
        <v>1</v>
      </c>
      <c r="AD50" t="b">
        <f t="shared" si="6"/>
        <v>1</v>
      </c>
      <c r="AE50" t="b">
        <f t="shared" si="7"/>
        <v>1</v>
      </c>
      <c r="AF50" t="b">
        <f t="shared" si="8"/>
        <v>1</v>
      </c>
      <c r="AG50" t="b">
        <f t="shared" si="9"/>
        <v>1</v>
      </c>
      <c r="AH50" t="b">
        <f t="shared" si="10"/>
        <v>1</v>
      </c>
      <c r="AJ50" s="1">
        <f t="shared" si="16"/>
        <v>198</v>
      </c>
      <c r="AK50" s="23">
        <v>0.6178975856077743</v>
      </c>
      <c r="AL50" s="8">
        <v>0.4478966283378869</v>
      </c>
      <c r="AM50" s="8">
        <v>0.44788650865856972</v>
      </c>
      <c r="AN50" s="8">
        <v>0.43803854025526401</v>
      </c>
      <c r="AO50" s="8">
        <v>0.46282021799012113</v>
      </c>
      <c r="AP50" s="8">
        <v>0.49293956648241072</v>
      </c>
      <c r="AQ50" s="8">
        <v>0.52067370375249178</v>
      </c>
      <c r="AR50" s="8">
        <v>0.49334514559259618</v>
      </c>
      <c r="AS50" s="8">
        <v>0.48690823374805103</v>
      </c>
      <c r="AT50" s="8">
        <v>0.49343764558158493</v>
      </c>
      <c r="AU50" s="8">
        <v>0.49724610026097643</v>
      </c>
      <c r="AV50" s="32">
        <v>0.61789758560777397</v>
      </c>
      <c r="AW50" s="12">
        <v>0.44789662833788602</v>
      </c>
      <c r="AX50" s="12">
        <v>0.44788650865856999</v>
      </c>
      <c r="AY50" s="12">
        <v>0.43803854025526401</v>
      </c>
      <c r="AZ50" s="12">
        <v>0.46282021799012102</v>
      </c>
      <c r="BA50" s="12">
        <v>0.492939566482411</v>
      </c>
      <c r="BB50" s="12">
        <v>0.520673703752491</v>
      </c>
      <c r="BC50" s="12">
        <v>0.49334514559259601</v>
      </c>
      <c r="BD50" s="12">
        <v>0.48690823374805198</v>
      </c>
      <c r="BE50" s="12">
        <v>0.49343764558159398</v>
      </c>
      <c r="BF50" s="33">
        <v>0.49724610026097898</v>
      </c>
      <c r="BG50" s="44" t="b">
        <f t="shared" si="20"/>
        <v>1</v>
      </c>
      <c r="BH50" t="b">
        <f t="shared" si="20"/>
        <v>1</v>
      </c>
      <c r="BI50" t="b">
        <f t="shared" si="20"/>
        <v>1</v>
      </c>
      <c r="BJ50" t="b">
        <f t="shared" si="20"/>
        <v>1</v>
      </c>
      <c r="BK50" t="b">
        <f t="shared" si="20"/>
        <v>1</v>
      </c>
      <c r="BL50" t="b">
        <f t="shared" si="20"/>
        <v>1</v>
      </c>
      <c r="BM50" t="b">
        <f t="shared" si="23"/>
        <v>1</v>
      </c>
      <c r="BN50" t="b">
        <f t="shared" si="23"/>
        <v>1</v>
      </c>
      <c r="BO50" t="b">
        <f t="shared" si="23"/>
        <v>1</v>
      </c>
      <c r="BP50" t="b">
        <f t="shared" si="23"/>
        <v>1</v>
      </c>
      <c r="BQ50" s="45" t="b">
        <f t="shared" si="23"/>
        <v>1</v>
      </c>
      <c r="BS50" s="1">
        <f t="shared" si="17"/>
        <v>198</v>
      </c>
      <c r="BT50" s="23">
        <v>1.7488017999299464E-3</v>
      </c>
      <c r="BU50" s="8">
        <v>2.7398118789714963E-5</v>
      </c>
      <c r="BV50" s="8">
        <v>2.7399792512527506E-5</v>
      </c>
      <c r="BW50" s="8">
        <v>8.3198069959199302E-12</v>
      </c>
      <c r="BX50" s="8">
        <v>1.2784472918501576E-4</v>
      </c>
      <c r="BY50" s="8">
        <v>4.8687380534871049E-4</v>
      </c>
      <c r="BZ50" s="8">
        <v>7.3573499223276442E-4</v>
      </c>
      <c r="CA50" s="8">
        <v>4.1785807753147566E-4</v>
      </c>
      <c r="CB50" s="8">
        <v>3.447935555502328E-4</v>
      </c>
      <c r="CC50" s="8">
        <v>4.1916640383401869E-4</v>
      </c>
      <c r="CD50" s="8">
        <v>4.65532769430771E-4</v>
      </c>
      <c r="CE50" s="32">
        <v>1.7488017999299399E-3</v>
      </c>
      <c r="CF50" s="12">
        <v>2.7398118789715299E-5</v>
      </c>
      <c r="CG50" s="12">
        <v>2.7399792512524301E-5</v>
      </c>
      <c r="CH50" s="12">
        <v>8.3198069959189899E-12</v>
      </c>
      <c r="CI50" s="12">
        <v>1.27844729185015E-4</v>
      </c>
      <c r="CJ50" s="12">
        <v>4.8687380534870799E-4</v>
      </c>
      <c r="CK50" s="12">
        <v>7.3573499223276496E-4</v>
      </c>
      <c r="CL50" s="12">
        <v>4.17858077531473E-4</v>
      </c>
      <c r="CM50" s="12">
        <v>3.4479355555022998E-4</v>
      </c>
      <c r="CN50" s="12">
        <v>4.1916640383394101E-4</v>
      </c>
      <c r="CO50" s="33">
        <v>4.6553276943072199E-4</v>
      </c>
      <c r="CP50" t="b">
        <f t="shared" si="21"/>
        <v>1</v>
      </c>
      <c r="CQ50" t="b">
        <f t="shared" si="21"/>
        <v>1</v>
      </c>
      <c r="CR50" t="b">
        <f t="shared" si="21"/>
        <v>1</v>
      </c>
      <c r="CS50" t="b">
        <f t="shared" si="21"/>
        <v>1</v>
      </c>
      <c r="CT50" t="b">
        <f t="shared" si="21"/>
        <v>1</v>
      </c>
      <c r="CU50" t="b">
        <f t="shared" si="21"/>
        <v>1</v>
      </c>
      <c r="CV50" t="b">
        <f t="shared" si="24"/>
        <v>1</v>
      </c>
      <c r="CW50" t="b">
        <f t="shared" si="24"/>
        <v>1</v>
      </c>
      <c r="CX50" t="b">
        <f t="shared" si="24"/>
        <v>1</v>
      </c>
      <c r="CY50" t="b">
        <f t="shared" si="24"/>
        <v>1</v>
      </c>
      <c r="CZ50" t="b">
        <f t="shared" si="24"/>
        <v>1</v>
      </c>
    </row>
    <row r="51" spans="1:104" x14ac:dyDescent="0.25">
      <c r="A51" s="1">
        <f t="shared" si="15"/>
        <v>204</v>
      </c>
      <c r="B51" s="23">
        <v>0.53355504416919863</v>
      </c>
      <c r="C51" s="8">
        <v>0.6388811545359091</v>
      </c>
      <c r="D51" s="8">
        <v>0.6388876139090216</v>
      </c>
      <c r="E51" s="8">
        <v>0.6453009123059712</v>
      </c>
      <c r="F51" s="8">
        <v>0.62906475740879275</v>
      </c>
      <c r="G51" s="8">
        <v>0.60911010605383165</v>
      </c>
      <c r="H51" s="8">
        <v>0.5915834379935736</v>
      </c>
      <c r="I51" s="8">
        <v>0.60912316147015722</v>
      </c>
      <c r="J51" s="8">
        <v>0.61332054711078554</v>
      </c>
      <c r="K51" s="8">
        <v>0.60906210013201323</v>
      </c>
      <c r="L51" s="8">
        <v>0.60658036555501638</v>
      </c>
      <c r="M51" s="32">
        <v>0.53355504416919897</v>
      </c>
      <c r="N51" s="12">
        <v>0.63888115453590899</v>
      </c>
      <c r="O51" s="12">
        <v>0.63888761390902105</v>
      </c>
      <c r="P51" s="12">
        <v>0.64530091230597098</v>
      </c>
      <c r="Q51" s="12">
        <v>0.62906475740879297</v>
      </c>
      <c r="R51" s="12">
        <v>0.60911010605383198</v>
      </c>
      <c r="S51" s="12">
        <v>0.59158343799357405</v>
      </c>
      <c r="T51" s="12">
        <v>0.60912316147015699</v>
      </c>
      <c r="U51" s="12">
        <v>0.61332054711078499</v>
      </c>
      <c r="V51" s="12">
        <v>0.60906210013200801</v>
      </c>
      <c r="W51" s="33">
        <v>0.60658036555501504</v>
      </c>
      <c r="X51" t="b">
        <f t="shared" si="0"/>
        <v>1</v>
      </c>
      <c r="Y51" t="b">
        <f t="shared" si="1"/>
        <v>1</v>
      </c>
      <c r="Z51" t="b">
        <f t="shared" si="2"/>
        <v>1</v>
      </c>
      <c r="AA51" t="b">
        <f t="shared" si="3"/>
        <v>1</v>
      </c>
      <c r="AB51" t="b">
        <f t="shared" si="4"/>
        <v>1</v>
      </c>
      <c r="AC51" t="b">
        <f t="shared" si="5"/>
        <v>1</v>
      </c>
      <c r="AD51" t="b">
        <f t="shared" si="6"/>
        <v>1</v>
      </c>
      <c r="AE51" t="b">
        <f t="shared" si="7"/>
        <v>1</v>
      </c>
      <c r="AF51" t="b">
        <f t="shared" si="8"/>
        <v>1</v>
      </c>
      <c r="AG51" t="b">
        <f t="shared" si="9"/>
        <v>1</v>
      </c>
      <c r="AH51" t="b">
        <f t="shared" si="10"/>
        <v>1</v>
      </c>
      <c r="AJ51" s="1">
        <f t="shared" si="16"/>
        <v>204</v>
      </c>
      <c r="AK51" s="23">
        <v>0.62819303798768222</v>
      </c>
      <c r="AL51" s="8">
        <v>0.44803682854403232</v>
      </c>
      <c r="AM51" s="8">
        <v>0.44802671814961342</v>
      </c>
      <c r="AN51" s="8">
        <v>0.43803854027104761</v>
      </c>
      <c r="AO51" s="8">
        <v>0.46352107462583292</v>
      </c>
      <c r="AP51" s="8">
        <v>0.49575622949629988</v>
      </c>
      <c r="AQ51" s="8">
        <v>0.52495254381530254</v>
      </c>
      <c r="AR51" s="8">
        <v>0.49573479613591792</v>
      </c>
      <c r="AS51" s="8">
        <v>0.48886756436649936</v>
      </c>
      <c r="AT51" s="8">
        <v>0.49583504581077414</v>
      </c>
      <c r="AU51" s="8">
        <v>0.49991805227819142</v>
      </c>
      <c r="AV51" s="32">
        <v>0.628193037987682</v>
      </c>
      <c r="AW51" s="12">
        <v>0.44803682854403198</v>
      </c>
      <c r="AX51" s="12">
        <v>0.44802671814961398</v>
      </c>
      <c r="AY51" s="12">
        <v>0.43803854027104699</v>
      </c>
      <c r="AZ51" s="12">
        <v>0.46352107462583297</v>
      </c>
      <c r="BA51" s="12">
        <v>0.49575622949629999</v>
      </c>
      <c r="BB51" s="12">
        <v>0.52495254381530199</v>
      </c>
      <c r="BC51" s="12">
        <v>0.49573479613591798</v>
      </c>
      <c r="BD51" s="12">
        <v>0.48886756436649997</v>
      </c>
      <c r="BE51" s="12">
        <v>0.49583504581078203</v>
      </c>
      <c r="BF51" s="33">
        <v>0.49991805227819403</v>
      </c>
      <c r="BG51" s="44" t="b">
        <f t="shared" si="20"/>
        <v>1</v>
      </c>
      <c r="BH51" t="b">
        <f t="shared" si="20"/>
        <v>1</v>
      </c>
      <c r="BI51" t="b">
        <f t="shared" si="20"/>
        <v>1</v>
      </c>
      <c r="BJ51" t="b">
        <f t="shared" si="20"/>
        <v>1</v>
      </c>
      <c r="BK51" t="b">
        <f t="shared" si="20"/>
        <v>1</v>
      </c>
      <c r="BL51" t="b">
        <f t="shared" si="20"/>
        <v>1</v>
      </c>
      <c r="BM51" t="b">
        <f t="shared" si="23"/>
        <v>1</v>
      </c>
      <c r="BN51" t="b">
        <f t="shared" si="23"/>
        <v>1</v>
      </c>
      <c r="BO51" t="b">
        <f t="shared" si="23"/>
        <v>1</v>
      </c>
      <c r="BP51" t="b">
        <f t="shared" si="23"/>
        <v>1</v>
      </c>
      <c r="BQ51" s="45" t="b">
        <f t="shared" si="23"/>
        <v>1</v>
      </c>
      <c r="BS51" s="1">
        <f t="shared" si="17"/>
        <v>204</v>
      </c>
      <c r="BT51" s="23">
        <v>1.6833197888528691E-3</v>
      </c>
      <c r="BU51" s="8">
        <v>1.9727925305085292E-5</v>
      </c>
      <c r="BV51" s="8">
        <v>1.9729346595375905E-5</v>
      </c>
      <c r="BW51" s="8">
        <v>3.7113201912699888E-13</v>
      </c>
      <c r="BX51" s="8">
        <v>1.0640954907701789E-4</v>
      </c>
      <c r="BY51" s="8">
        <v>4.5255824836752131E-4</v>
      </c>
      <c r="BZ51" s="8">
        <v>6.911093658327433E-4</v>
      </c>
      <c r="CA51" s="8">
        <v>3.7935652660491106E-4</v>
      </c>
      <c r="CB51" s="8">
        <v>3.0899846536945169E-4</v>
      </c>
      <c r="CC51" s="8">
        <v>3.8063094573987321E-4</v>
      </c>
      <c r="CD51" s="8">
        <v>4.2576600625871881E-4</v>
      </c>
      <c r="CE51" s="32">
        <v>1.6833197888528699E-3</v>
      </c>
      <c r="CF51" s="12">
        <v>1.9727925305085499E-5</v>
      </c>
      <c r="CG51" s="12">
        <v>1.9729346595373401E-5</v>
      </c>
      <c r="CH51" s="12">
        <v>3.7113201912695001E-13</v>
      </c>
      <c r="CI51" s="12">
        <v>1.06409549077018E-4</v>
      </c>
      <c r="CJ51" s="12">
        <v>4.5255824836751897E-4</v>
      </c>
      <c r="CK51" s="12">
        <v>6.9110936583274298E-4</v>
      </c>
      <c r="CL51" s="12">
        <v>3.7935652660490797E-4</v>
      </c>
      <c r="CM51" s="12">
        <v>3.0899846536945001E-4</v>
      </c>
      <c r="CN51" s="12">
        <v>3.8063094573965398E-4</v>
      </c>
      <c r="CO51" s="33">
        <v>4.2576600625868498E-4</v>
      </c>
      <c r="CP51" t="b">
        <f t="shared" si="21"/>
        <v>1</v>
      </c>
      <c r="CQ51" t="b">
        <f t="shared" si="21"/>
        <v>1</v>
      </c>
      <c r="CR51" t="b">
        <f t="shared" si="21"/>
        <v>1</v>
      </c>
      <c r="CS51" t="b">
        <f t="shared" si="21"/>
        <v>1</v>
      </c>
      <c r="CT51" t="b">
        <f t="shared" si="21"/>
        <v>1</v>
      </c>
      <c r="CU51" t="b">
        <f t="shared" si="21"/>
        <v>1</v>
      </c>
      <c r="CV51" t="b">
        <f t="shared" si="24"/>
        <v>1</v>
      </c>
      <c r="CW51" t="b">
        <f t="shared" si="24"/>
        <v>1</v>
      </c>
      <c r="CX51" t="b">
        <f t="shared" si="24"/>
        <v>1</v>
      </c>
      <c r="CY51" t="b">
        <f t="shared" si="24"/>
        <v>1</v>
      </c>
      <c r="CZ51" t="b">
        <f t="shared" si="24"/>
        <v>1</v>
      </c>
    </row>
    <row r="52" spans="1:104" x14ac:dyDescent="0.25">
      <c r="A52" s="1">
        <f t="shared" si="15"/>
        <v>210</v>
      </c>
      <c r="B52" s="23">
        <v>0.52829466571177797</v>
      </c>
      <c r="C52" s="8">
        <v>0.6388168682737434</v>
      </c>
      <c r="D52" s="8">
        <v>0.63882332202063907</v>
      </c>
      <c r="E52" s="8">
        <v>0.64530091230556375</v>
      </c>
      <c r="F52" s="8">
        <v>0.62869807851195447</v>
      </c>
      <c r="G52" s="8">
        <v>0.60751620040266407</v>
      </c>
      <c r="H52" s="8">
        <v>0.58920948443047061</v>
      </c>
      <c r="I52" s="8">
        <v>0.60780268718739461</v>
      </c>
      <c r="J52" s="8">
        <v>0.61224427484507471</v>
      </c>
      <c r="K52" s="8">
        <v>0.60773717692379503</v>
      </c>
      <c r="L52" s="8">
        <v>0.60509931628660907</v>
      </c>
      <c r="M52" s="32">
        <v>0.52829466571177797</v>
      </c>
      <c r="N52" s="12">
        <v>0.63881686827374395</v>
      </c>
      <c r="O52" s="12">
        <v>0.63882332202063896</v>
      </c>
      <c r="P52" s="12">
        <v>0.64530091230556397</v>
      </c>
      <c r="Q52" s="12">
        <v>0.62869807851195503</v>
      </c>
      <c r="R52" s="12">
        <v>0.60751620040266396</v>
      </c>
      <c r="S52" s="12">
        <v>0.58920948443047105</v>
      </c>
      <c r="T52" s="12">
        <v>0.60780268718739505</v>
      </c>
      <c r="U52" s="12">
        <v>0.61224427484507404</v>
      </c>
      <c r="V52" s="12">
        <v>0.60773717692378804</v>
      </c>
      <c r="W52" s="33">
        <v>0.60509931628660796</v>
      </c>
      <c r="X52" t="b">
        <f t="shared" si="0"/>
        <v>1</v>
      </c>
      <c r="Y52" t="b">
        <f t="shared" si="1"/>
        <v>1</v>
      </c>
      <c r="Z52" t="b">
        <f t="shared" si="2"/>
        <v>1</v>
      </c>
      <c r="AA52" t="b">
        <f t="shared" si="3"/>
        <v>1</v>
      </c>
      <c r="AB52" t="b">
        <f t="shared" si="4"/>
        <v>1</v>
      </c>
      <c r="AC52" t="b">
        <f t="shared" si="5"/>
        <v>1</v>
      </c>
      <c r="AD52" t="b">
        <f t="shared" si="6"/>
        <v>1</v>
      </c>
      <c r="AE52" t="b">
        <f t="shared" si="7"/>
        <v>1</v>
      </c>
      <c r="AF52" t="b">
        <f t="shared" si="8"/>
        <v>1</v>
      </c>
      <c r="AG52" t="b">
        <f t="shared" si="9"/>
        <v>1</v>
      </c>
      <c r="AH52" t="b">
        <f t="shared" si="10"/>
        <v>1</v>
      </c>
      <c r="AJ52" s="1">
        <f t="shared" si="16"/>
        <v>210</v>
      </c>
      <c r="AK52" s="23">
        <v>0.63810107194446697</v>
      </c>
      <c r="AL52" s="8">
        <v>0.44813745680058792</v>
      </c>
      <c r="AM52" s="8">
        <v>0.44812735419588784</v>
      </c>
      <c r="AN52" s="8">
        <v>0.43803854027167904</v>
      </c>
      <c r="AO52" s="8">
        <v>0.46410413988544208</v>
      </c>
      <c r="AP52" s="8">
        <v>0.49837643679351223</v>
      </c>
      <c r="AQ52" s="8">
        <v>0.52897349739071653</v>
      </c>
      <c r="AR52" s="8">
        <v>0.49790497733877576</v>
      </c>
      <c r="AS52" s="8">
        <v>0.49062393420203376</v>
      </c>
      <c r="AT52" s="8">
        <v>0.49801276527004351</v>
      </c>
      <c r="AU52" s="8">
        <v>0.50236267527251477</v>
      </c>
      <c r="AV52" s="32">
        <v>0.63810107194446697</v>
      </c>
      <c r="AW52" s="12">
        <v>0.44813745680058698</v>
      </c>
      <c r="AX52" s="12">
        <v>0.448127354195889</v>
      </c>
      <c r="AY52" s="12">
        <v>0.43803854027167899</v>
      </c>
      <c r="AZ52" s="12">
        <v>0.46410413988544202</v>
      </c>
      <c r="BA52" s="12">
        <v>0.49837643679351201</v>
      </c>
      <c r="BB52" s="12">
        <v>0.52897349739071597</v>
      </c>
      <c r="BC52" s="12">
        <v>0.49790497733877498</v>
      </c>
      <c r="BD52" s="12">
        <v>0.49062393420203498</v>
      </c>
      <c r="BE52" s="12">
        <v>0.498012765270055</v>
      </c>
      <c r="BF52" s="33">
        <v>0.50236267527251699</v>
      </c>
      <c r="BG52" s="44" t="b">
        <f t="shared" si="20"/>
        <v>1</v>
      </c>
      <c r="BH52" t="b">
        <f t="shared" si="20"/>
        <v>1</v>
      </c>
      <c r="BI52" t="b">
        <f t="shared" si="20"/>
        <v>1</v>
      </c>
      <c r="BJ52" t="b">
        <f t="shared" si="20"/>
        <v>1</v>
      </c>
      <c r="BK52" t="b">
        <f t="shared" si="20"/>
        <v>1</v>
      </c>
      <c r="BL52" t="b">
        <f t="shared" si="20"/>
        <v>1</v>
      </c>
      <c r="BM52" t="b">
        <f t="shared" si="23"/>
        <v>1</v>
      </c>
      <c r="BN52" t="b">
        <f t="shared" si="23"/>
        <v>1</v>
      </c>
      <c r="BO52" t="b">
        <f t="shared" si="23"/>
        <v>1</v>
      </c>
      <c r="BP52" t="b">
        <f t="shared" si="23"/>
        <v>1</v>
      </c>
      <c r="BQ52" s="45" t="b">
        <f t="shared" si="23"/>
        <v>1</v>
      </c>
      <c r="BS52" s="1">
        <f t="shared" si="17"/>
        <v>210</v>
      </c>
      <c r="BT52" s="23">
        <v>1.6196620730814645E-3</v>
      </c>
      <c r="BU52" s="8">
        <v>1.4109442492577945E-5</v>
      </c>
      <c r="BV52" s="8">
        <v>1.4110620607700935E-5</v>
      </c>
      <c r="BW52" s="8">
        <v>1.0835037684788008E-14</v>
      </c>
      <c r="BX52" s="8">
        <v>8.8481176576329169E-5</v>
      </c>
      <c r="BY52" s="8">
        <v>4.2132989319317065E-4</v>
      </c>
      <c r="BZ52" s="8">
        <v>6.4972530446370661E-4</v>
      </c>
      <c r="CA52" s="8">
        <v>3.4463320365246984E-4</v>
      </c>
      <c r="CB52" s="8">
        <v>2.7706456542448457E-4</v>
      </c>
      <c r="CC52" s="8">
        <v>3.4587116874925961E-4</v>
      </c>
      <c r="CD52" s="8">
        <v>3.8969210609325026E-4</v>
      </c>
      <c r="CE52" s="32">
        <v>1.6196620730814599E-3</v>
      </c>
      <c r="CF52" s="12">
        <v>1.4109442492578199E-5</v>
      </c>
      <c r="CG52" s="12">
        <v>1.41106206076991E-5</v>
      </c>
      <c r="CH52" s="12">
        <v>1.08350376847865E-14</v>
      </c>
      <c r="CI52" s="12">
        <v>8.8481176576328804E-5</v>
      </c>
      <c r="CJ52" s="12">
        <v>4.2132989319316902E-4</v>
      </c>
      <c r="CK52" s="12">
        <v>6.4972530446370704E-4</v>
      </c>
      <c r="CL52" s="12">
        <v>3.4463320365246702E-4</v>
      </c>
      <c r="CM52" s="12">
        <v>2.7706456542448299E-4</v>
      </c>
      <c r="CN52" s="12">
        <v>3.4587116874906798E-4</v>
      </c>
      <c r="CO52" s="33">
        <v>3.89692106093209E-4</v>
      </c>
      <c r="CP52" t="b">
        <f t="shared" si="21"/>
        <v>1</v>
      </c>
      <c r="CQ52" t="b">
        <f t="shared" si="21"/>
        <v>1</v>
      </c>
      <c r="CR52" t="b">
        <f t="shared" si="21"/>
        <v>1</v>
      </c>
      <c r="CS52" t="b">
        <f t="shared" si="21"/>
        <v>1</v>
      </c>
      <c r="CT52" t="b">
        <f t="shared" si="21"/>
        <v>1</v>
      </c>
      <c r="CU52" t="b">
        <f t="shared" si="21"/>
        <v>1</v>
      </c>
      <c r="CV52" t="b">
        <f t="shared" si="24"/>
        <v>1</v>
      </c>
      <c r="CW52" t="b">
        <f t="shared" si="24"/>
        <v>1</v>
      </c>
      <c r="CX52" t="b">
        <f t="shared" si="24"/>
        <v>1</v>
      </c>
      <c r="CY52" t="b">
        <f t="shared" si="24"/>
        <v>1</v>
      </c>
      <c r="CZ52" t="b">
        <f t="shared" si="24"/>
        <v>1</v>
      </c>
    </row>
    <row r="53" spans="1:104" x14ac:dyDescent="0.25">
      <c r="A53" s="1">
        <f t="shared" si="15"/>
        <v>216</v>
      </c>
      <c r="B53" s="23">
        <v>0.5232831191494014</v>
      </c>
      <c r="C53" s="8">
        <v>0.63877103883828457</v>
      </c>
      <c r="D53" s="8">
        <v>0.63877748803923129</v>
      </c>
      <c r="E53" s="8">
        <v>0.6453009123055532</v>
      </c>
      <c r="F53" s="8">
        <v>0.6283934789936465</v>
      </c>
      <c r="G53" s="8">
        <v>0.60603490251966463</v>
      </c>
      <c r="H53" s="8">
        <v>0.58698548566062647</v>
      </c>
      <c r="I53" s="8">
        <v>0.60660516389343044</v>
      </c>
      <c r="J53" s="8">
        <v>0.61128058399508445</v>
      </c>
      <c r="K53" s="8">
        <v>0.60653534677240906</v>
      </c>
      <c r="L53" s="8">
        <v>0.60374641666172857</v>
      </c>
      <c r="M53" s="32">
        <v>0.52328311914940195</v>
      </c>
      <c r="N53" s="12">
        <v>0.63877103883828501</v>
      </c>
      <c r="O53" s="12">
        <v>0.63877748803923096</v>
      </c>
      <c r="P53" s="12">
        <v>0.64530091230555298</v>
      </c>
      <c r="Q53" s="12">
        <v>0.62839347899364695</v>
      </c>
      <c r="R53" s="12">
        <v>0.60603490251966496</v>
      </c>
      <c r="S53" s="12">
        <v>0.58698548566062703</v>
      </c>
      <c r="T53" s="12">
        <v>0.606605163893431</v>
      </c>
      <c r="U53" s="12">
        <v>0.611280583995084</v>
      </c>
      <c r="V53" s="12">
        <v>0.60653534677240395</v>
      </c>
      <c r="W53" s="33">
        <v>0.60374641666172801</v>
      </c>
      <c r="X53" t="b">
        <f t="shared" si="0"/>
        <v>1</v>
      </c>
      <c r="Y53" t="b">
        <f t="shared" si="1"/>
        <v>1</v>
      </c>
      <c r="Z53" t="b">
        <f t="shared" si="2"/>
        <v>1</v>
      </c>
      <c r="AA53" t="b">
        <f t="shared" si="3"/>
        <v>1</v>
      </c>
      <c r="AB53" t="b">
        <f t="shared" si="4"/>
        <v>1</v>
      </c>
      <c r="AC53" t="b">
        <f t="shared" si="5"/>
        <v>1</v>
      </c>
      <c r="AD53" t="b">
        <f t="shared" si="6"/>
        <v>1</v>
      </c>
      <c r="AE53" t="b">
        <f t="shared" si="7"/>
        <v>1</v>
      </c>
      <c r="AF53" t="b">
        <f t="shared" si="8"/>
        <v>1</v>
      </c>
      <c r="AG53" t="b">
        <f t="shared" si="9"/>
        <v>1</v>
      </c>
      <c r="AH53" t="b">
        <f t="shared" si="10"/>
        <v>1</v>
      </c>
      <c r="AJ53" s="1">
        <f t="shared" si="16"/>
        <v>216</v>
      </c>
      <c r="AK53" s="23">
        <v>0.6476326245813866</v>
      </c>
      <c r="AL53" s="8">
        <v>0.44820920049074553</v>
      </c>
      <c r="AM53" s="8">
        <v>0.44819910427786425</v>
      </c>
      <c r="AN53" s="8">
        <v>0.43803854027169536</v>
      </c>
      <c r="AO53" s="8">
        <v>0.4645887498129378</v>
      </c>
      <c r="AP53" s="8">
        <v>0.50081769965440781</v>
      </c>
      <c r="AQ53" s="8">
        <v>0.53275518576191017</v>
      </c>
      <c r="AR53" s="8">
        <v>0.49987717091616463</v>
      </c>
      <c r="AS53" s="8">
        <v>0.49219920427899011</v>
      </c>
      <c r="AT53" s="8">
        <v>0.49999227237470906</v>
      </c>
      <c r="AU53" s="8">
        <v>0.50460100916882089</v>
      </c>
      <c r="AV53" s="32">
        <v>0.64763262458138604</v>
      </c>
      <c r="AW53" s="12">
        <v>0.44820920049074497</v>
      </c>
      <c r="AX53" s="12">
        <v>0.44819910427786502</v>
      </c>
      <c r="AY53" s="12">
        <v>0.43803854027169498</v>
      </c>
      <c r="AZ53" s="12">
        <v>0.46458874981293702</v>
      </c>
      <c r="BA53" s="12">
        <v>0.50081769965440803</v>
      </c>
      <c r="BB53" s="12">
        <v>0.53275518576191006</v>
      </c>
      <c r="BC53" s="12">
        <v>0.49987717091616402</v>
      </c>
      <c r="BD53" s="12">
        <v>0.492199204278991</v>
      </c>
      <c r="BE53" s="12">
        <v>0.499992272374717</v>
      </c>
      <c r="BF53" s="33">
        <v>0.504601009168823</v>
      </c>
      <c r="BG53" s="44" t="b">
        <f t="shared" si="20"/>
        <v>1</v>
      </c>
      <c r="BH53" t="b">
        <f t="shared" si="20"/>
        <v>1</v>
      </c>
      <c r="BI53" t="b">
        <f t="shared" si="20"/>
        <v>1</v>
      </c>
      <c r="BJ53" t="b">
        <f t="shared" si="20"/>
        <v>1</v>
      </c>
      <c r="BK53" t="b">
        <f t="shared" si="20"/>
        <v>1</v>
      </c>
      <c r="BL53" t="b">
        <f t="shared" si="20"/>
        <v>1</v>
      </c>
      <c r="BM53" t="b">
        <f t="shared" si="23"/>
        <v>1</v>
      </c>
      <c r="BN53" t="b">
        <f t="shared" si="23"/>
        <v>1</v>
      </c>
      <c r="BO53" t="b">
        <f t="shared" si="23"/>
        <v>1</v>
      </c>
      <c r="BP53" t="b">
        <f t="shared" si="23"/>
        <v>1</v>
      </c>
      <c r="BQ53" s="45" t="b">
        <f t="shared" si="23"/>
        <v>1</v>
      </c>
      <c r="BS53" s="1">
        <f t="shared" si="17"/>
        <v>216</v>
      </c>
      <c r="BT53" s="23">
        <v>1.5578250839893835E-3</v>
      </c>
      <c r="BU53" s="8">
        <v>1.0024305669560832E-5</v>
      </c>
      <c r="BV53" s="8">
        <v>1.0025262471496509E-5</v>
      </c>
      <c r="BW53" s="8">
        <v>1.9582911929776576E-16</v>
      </c>
      <c r="BX53" s="8">
        <v>7.3506084559044212E-5</v>
      </c>
      <c r="BY53" s="8">
        <v>3.9285858924251974E-4</v>
      </c>
      <c r="BZ53" s="8">
        <v>6.1131123510433023E-4</v>
      </c>
      <c r="CA53" s="8">
        <v>3.132994104900712E-4</v>
      </c>
      <c r="CB53" s="8">
        <v>2.4856480369717278E-4</v>
      </c>
      <c r="CC53" s="8">
        <v>3.1449901989857024E-4</v>
      </c>
      <c r="CD53" s="8">
        <v>3.569452683901049E-4</v>
      </c>
      <c r="CE53" s="32">
        <v>1.55782508398938E-3</v>
      </c>
      <c r="CF53" s="12">
        <v>1.0024305669561E-5</v>
      </c>
      <c r="CG53" s="12">
        <v>1.00252624714951E-5</v>
      </c>
      <c r="CH53" s="12">
        <v>1.9582911929772701E-16</v>
      </c>
      <c r="CI53" s="12">
        <v>7.35060845590439E-5</v>
      </c>
      <c r="CJ53" s="12">
        <v>3.92858589242518E-4</v>
      </c>
      <c r="CK53" s="12">
        <v>6.1131123510433001E-4</v>
      </c>
      <c r="CL53" s="12">
        <v>3.13299410490068E-4</v>
      </c>
      <c r="CM53" s="12">
        <v>2.4856480369717099E-4</v>
      </c>
      <c r="CN53" s="12">
        <v>3.1449901989839298E-4</v>
      </c>
      <c r="CO53" s="33">
        <v>3.5694526839006701E-4</v>
      </c>
      <c r="CP53" t="b">
        <f t="shared" si="21"/>
        <v>1</v>
      </c>
      <c r="CQ53" t="b">
        <f t="shared" si="21"/>
        <v>1</v>
      </c>
      <c r="CR53" t="b">
        <f t="shared" si="21"/>
        <v>1</v>
      </c>
      <c r="CS53" t="b">
        <f t="shared" si="21"/>
        <v>1</v>
      </c>
      <c r="CT53" t="b">
        <f t="shared" si="21"/>
        <v>1</v>
      </c>
      <c r="CU53" t="b">
        <f t="shared" si="21"/>
        <v>1</v>
      </c>
      <c r="CV53" t="b">
        <f t="shared" si="24"/>
        <v>1</v>
      </c>
      <c r="CW53" t="b">
        <f t="shared" si="24"/>
        <v>1</v>
      </c>
      <c r="CX53" t="b">
        <f t="shared" si="24"/>
        <v>1</v>
      </c>
      <c r="CY53" t="b">
        <f t="shared" si="24"/>
        <v>1</v>
      </c>
      <c r="CZ53" t="b">
        <f t="shared" si="24"/>
        <v>1</v>
      </c>
    </row>
    <row r="54" spans="1:104" x14ac:dyDescent="0.25">
      <c r="A54" s="1">
        <f t="shared" si="15"/>
        <v>222</v>
      </c>
      <c r="B54" s="23">
        <v>0.51850863397686808</v>
      </c>
      <c r="C54" s="8">
        <v>0.63873858092329872</v>
      </c>
      <c r="D54" s="8">
        <v>0.63874502650961984</v>
      </c>
      <c r="E54" s="8">
        <v>0.64530091230555298</v>
      </c>
      <c r="F54" s="8">
        <v>0.62814064994436081</v>
      </c>
      <c r="G54" s="8">
        <v>0.60465594332184669</v>
      </c>
      <c r="H54" s="8">
        <v>0.58489982932790074</v>
      </c>
      <c r="I54" s="8">
        <v>0.60551820445996751</v>
      </c>
      <c r="J54" s="8">
        <v>0.6104170799842018</v>
      </c>
      <c r="K54" s="8">
        <v>0.60544422642505391</v>
      </c>
      <c r="L54" s="8">
        <v>0.60250939879548659</v>
      </c>
      <c r="M54" s="32">
        <v>0.51850863397686797</v>
      </c>
      <c r="N54" s="12">
        <v>0.63873858092329905</v>
      </c>
      <c r="O54" s="12">
        <v>0.63874502650961995</v>
      </c>
      <c r="P54" s="12">
        <v>0.64530091230555298</v>
      </c>
      <c r="Q54" s="12">
        <v>0.62814064994436103</v>
      </c>
      <c r="R54" s="12">
        <v>0.60465594332184702</v>
      </c>
      <c r="S54" s="12">
        <v>0.58489982932790097</v>
      </c>
      <c r="T54" s="12">
        <v>0.60551820445996796</v>
      </c>
      <c r="U54" s="12">
        <v>0.61041707998420103</v>
      </c>
      <c r="V54" s="12">
        <v>0.60544422642504903</v>
      </c>
      <c r="W54" s="33">
        <v>0.60250939879548504</v>
      </c>
      <c r="X54" t="b">
        <f t="shared" si="0"/>
        <v>1</v>
      </c>
      <c r="Y54" t="b">
        <f t="shared" si="1"/>
        <v>1</v>
      </c>
      <c r="Z54" t="b">
        <f t="shared" si="2"/>
        <v>1</v>
      </c>
      <c r="AA54" t="b">
        <f t="shared" si="3"/>
        <v>1</v>
      </c>
      <c r="AB54" t="b">
        <f t="shared" si="4"/>
        <v>1</v>
      </c>
      <c r="AC54" t="b">
        <f t="shared" si="5"/>
        <v>1</v>
      </c>
      <c r="AD54" t="b">
        <f t="shared" si="6"/>
        <v>1</v>
      </c>
      <c r="AE54" t="b">
        <f t="shared" si="7"/>
        <v>1</v>
      </c>
      <c r="AF54" t="b">
        <f t="shared" si="8"/>
        <v>1</v>
      </c>
      <c r="AG54" t="b">
        <f t="shared" si="9"/>
        <v>1</v>
      </c>
      <c r="AH54" t="b">
        <f t="shared" si="10"/>
        <v>1</v>
      </c>
      <c r="AJ54" s="1">
        <f t="shared" si="16"/>
        <v>222</v>
      </c>
      <c r="AK54" s="23">
        <v>0.65679859961538412</v>
      </c>
      <c r="AL54" s="8">
        <v>0.4482600148478208</v>
      </c>
      <c r="AM54" s="8">
        <v>0.4482499237808456</v>
      </c>
      <c r="AN54" s="8">
        <v>0.43803854027169575</v>
      </c>
      <c r="AO54" s="8">
        <v>0.4649911727107725</v>
      </c>
      <c r="AP54" s="8">
        <v>0.50309567144028056</v>
      </c>
      <c r="AQ54" s="8">
        <v>0.53631467833025759</v>
      </c>
      <c r="AR54" s="8">
        <v>0.50167065127171029</v>
      </c>
      <c r="AS54" s="8">
        <v>0.49361281777787375</v>
      </c>
      <c r="AT54" s="8">
        <v>0.50179283183341705</v>
      </c>
      <c r="AU54" s="8">
        <v>0.50665201407844174</v>
      </c>
      <c r="AV54" s="32">
        <v>0.656798599615384</v>
      </c>
      <c r="AW54" s="12">
        <v>0.44826001484782002</v>
      </c>
      <c r="AX54" s="12">
        <v>0.44824992378084599</v>
      </c>
      <c r="AY54" s="12">
        <v>0.43803854027169498</v>
      </c>
      <c r="AZ54" s="12">
        <v>0.464991172710772</v>
      </c>
      <c r="BA54" s="12">
        <v>0.50309567144028</v>
      </c>
      <c r="BB54" s="12">
        <v>0.53631467833025703</v>
      </c>
      <c r="BC54" s="12">
        <v>0.50167065127170996</v>
      </c>
      <c r="BD54" s="12">
        <v>0.49361281777787502</v>
      </c>
      <c r="BE54" s="12">
        <v>0.50179283183342505</v>
      </c>
      <c r="BF54" s="33">
        <v>0.50665201407844396</v>
      </c>
      <c r="BG54" s="44" t="b">
        <f t="shared" si="20"/>
        <v>1</v>
      </c>
      <c r="BH54" t="b">
        <f t="shared" si="20"/>
        <v>1</v>
      </c>
      <c r="BI54" t="b">
        <f t="shared" si="20"/>
        <v>1</v>
      </c>
      <c r="BJ54" t="b">
        <f t="shared" si="20"/>
        <v>1</v>
      </c>
      <c r="BK54" t="b">
        <f t="shared" si="20"/>
        <v>1</v>
      </c>
      <c r="BL54" t="b">
        <f t="shared" si="20"/>
        <v>1</v>
      </c>
      <c r="BM54" t="b">
        <f t="shared" si="23"/>
        <v>1</v>
      </c>
      <c r="BN54" t="b">
        <f t="shared" si="23"/>
        <v>1</v>
      </c>
      <c r="BO54" t="b">
        <f t="shared" si="23"/>
        <v>1</v>
      </c>
      <c r="BP54" t="b">
        <f t="shared" si="23"/>
        <v>1</v>
      </c>
      <c r="BQ54" s="45" t="b">
        <f t="shared" si="23"/>
        <v>1</v>
      </c>
      <c r="BS54" s="1">
        <f t="shared" si="17"/>
        <v>222</v>
      </c>
      <c r="BT54" s="23">
        <v>1.4978013031878516E-3</v>
      </c>
      <c r="BU54" s="8">
        <v>7.0755393977749114E-6</v>
      </c>
      <c r="BV54" s="8">
        <v>7.0763027936791728E-6</v>
      </c>
      <c r="BW54" s="8">
        <v>2.0576018178259021E-18</v>
      </c>
      <c r="BX54" s="8">
        <v>6.1013274454929087E-5</v>
      </c>
      <c r="BY54" s="8">
        <v>3.6685422807168969E-4</v>
      </c>
      <c r="BZ54" s="8">
        <v>5.7562098489822926E-4</v>
      </c>
      <c r="CA54" s="8">
        <v>2.8500734236552194E-4</v>
      </c>
      <c r="CB54" s="8">
        <v>2.231194158514096E-4</v>
      </c>
      <c r="CC54" s="8">
        <v>2.8616725222497462E-4</v>
      </c>
      <c r="CD54" s="8">
        <v>3.2719734840961273E-4</v>
      </c>
      <c r="CE54" s="32">
        <v>1.49780130318785E-3</v>
      </c>
      <c r="CF54" s="12">
        <v>7.07553939777503E-6</v>
      </c>
      <c r="CG54" s="12">
        <v>7.0763027936781301E-6</v>
      </c>
      <c r="CH54" s="12">
        <v>2.0576018178254499E-18</v>
      </c>
      <c r="CI54" s="12">
        <v>6.1013274454928802E-5</v>
      </c>
      <c r="CJ54" s="12">
        <v>3.6685422807168801E-4</v>
      </c>
      <c r="CK54" s="12">
        <v>5.7562098489822905E-4</v>
      </c>
      <c r="CL54" s="12">
        <v>2.8500734236551998E-4</v>
      </c>
      <c r="CM54" s="12">
        <v>2.23119415851408E-4</v>
      </c>
      <c r="CN54" s="12">
        <v>2.8616725222492301E-4</v>
      </c>
      <c r="CO54" s="33">
        <v>3.2719734840958801E-4</v>
      </c>
      <c r="CP54" t="b">
        <f t="shared" si="21"/>
        <v>1</v>
      </c>
      <c r="CQ54" t="b">
        <f t="shared" si="21"/>
        <v>1</v>
      </c>
      <c r="CR54" t="b">
        <f t="shared" si="21"/>
        <v>1</v>
      </c>
      <c r="CS54" t="b">
        <f t="shared" si="21"/>
        <v>1</v>
      </c>
      <c r="CT54" t="b">
        <f t="shared" si="21"/>
        <v>1</v>
      </c>
      <c r="CU54" t="b">
        <f t="shared" si="21"/>
        <v>1</v>
      </c>
      <c r="CV54" t="b">
        <f t="shared" si="24"/>
        <v>1</v>
      </c>
      <c r="CW54" t="b">
        <f t="shared" si="24"/>
        <v>1</v>
      </c>
      <c r="CX54" t="b">
        <f t="shared" si="24"/>
        <v>1</v>
      </c>
      <c r="CY54" t="b">
        <f t="shared" si="24"/>
        <v>1</v>
      </c>
      <c r="CZ54" t="b">
        <f t="shared" si="24"/>
        <v>1</v>
      </c>
    </row>
    <row r="55" spans="1:104" x14ac:dyDescent="0.25">
      <c r="A55" s="1">
        <f t="shared" si="15"/>
        <v>228</v>
      </c>
      <c r="B55" s="23">
        <v>0.51395999646966106</v>
      </c>
      <c r="C55" s="8">
        <v>0.63871574141260934</v>
      </c>
      <c r="D55" s="8">
        <v>0.63872218416618665</v>
      </c>
      <c r="E55" s="8">
        <v>0.64530091230555298</v>
      </c>
      <c r="F55" s="8">
        <v>0.62793095020802836</v>
      </c>
      <c r="G55" s="8">
        <v>0.60337018115297192</v>
      </c>
      <c r="H55" s="8">
        <v>0.58294196842203472</v>
      </c>
      <c r="I55" s="8">
        <v>0.60453076431345076</v>
      </c>
      <c r="J55" s="8">
        <v>0.60964279910484565</v>
      </c>
      <c r="K55" s="8">
        <v>0.6044527736005938</v>
      </c>
      <c r="L55" s="8">
        <v>0.60137728191707374</v>
      </c>
      <c r="M55" s="32">
        <v>0.51395999646966095</v>
      </c>
      <c r="N55" s="12">
        <v>0.63871574141261001</v>
      </c>
      <c r="O55" s="12">
        <v>0.63872218416618598</v>
      </c>
      <c r="P55" s="12">
        <v>0.64530091230555298</v>
      </c>
      <c r="Q55" s="12">
        <v>0.62793095020802803</v>
      </c>
      <c r="R55" s="12">
        <v>0.60337018115297203</v>
      </c>
      <c r="S55" s="12">
        <v>0.58294196842203505</v>
      </c>
      <c r="T55" s="12">
        <v>0.60453076431345099</v>
      </c>
      <c r="U55" s="12">
        <v>0.60964279910484498</v>
      </c>
      <c r="V55" s="12">
        <v>0.60445277360058802</v>
      </c>
      <c r="W55" s="33">
        <v>0.60137728191707296</v>
      </c>
      <c r="X55" t="b">
        <f t="shared" si="0"/>
        <v>1</v>
      </c>
      <c r="Y55" t="b">
        <f t="shared" si="1"/>
        <v>1</v>
      </c>
      <c r="Z55" t="b">
        <f t="shared" si="2"/>
        <v>1</v>
      </c>
      <c r="AA55" t="b">
        <f t="shared" si="3"/>
        <v>1</v>
      </c>
      <c r="AB55" t="b">
        <f t="shared" si="4"/>
        <v>1</v>
      </c>
      <c r="AC55" t="b">
        <f t="shared" si="5"/>
        <v>1</v>
      </c>
      <c r="AD55" t="b">
        <f t="shared" si="6"/>
        <v>1</v>
      </c>
      <c r="AE55" t="b">
        <f t="shared" si="7"/>
        <v>1</v>
      </c>
      <c r="AF55" t="b">
        <f t="shared" si="8"/>
        <v>1</v>
      </c>
      <c r="AG55" t="b">
        <f t="shared" si="9"/>
        <v>1</v>
      </c>
      <c r="AH55" t="b">
        <f t="shared" si="10"/>
        <v>1</v>
      </c>
      <c r="AJ55" s="1">
        <f t="shared" si="16"/>
        <v>228</v>
      </c>
      <c r="AK55" s="23">
        <v>0.66560984443575544</v>
      </c>
      <c r="AL55" s="8">
        <v>0.44829577269887266</v>
      </c>
      <c r="AM55" s="8">
        <v>0.44828568570607502</v>
      </c>
      <c r="AN55" s="8">
        <v>0.43803854027169575</v>
      </c>
      <c r="AO55" s="8">
        <v>0.46532507045713545</v>
      </c>
      <c r="AP55" s="8">
        <v>0.50522437152109234</v>
      </c>
      <c r="AQ55" s="8">
        <v>0.53966763717088406</v>
      </c>
      <c r="AR55" s="8">
        <v>0.50330271805773452</v>
      </c>
      <c r="AS55" s="8">
        <v>0.49488206856887806</v>
      </c>
      <c r="AT55" s="8">
        <v>0.5034317367093859</v>
      </c>
      <c r="AU55" s="8">
        <v>0.50853278447032324</v>
      </c>
      <c r="AV55" s="32">
        <v>0.66560984443575499</v>
      </c>
      <c r="AW55" s="12">
        <v>0.448295772698872</v>
      </c>
      <c r="AX55" s="12">
        <v>0.44828568570607602</v>
      </c>
      <c r="AY55" s="12">
        <v>0.43803854027169498</v>
      </c>
      <c r="AZ55" s="12">
        <v>0.465325070457135</v>
      </c>
      <c r="BA55" s="12">
        <v>0.50522437152109201</v>
      </c>
      <c r="BB55" s="12">
        <v>0.53966763717088395</v>
      </c>
      <c r="BC55" s="12">
        <v>0.50330271805773397</v>
      </c>
      <c r="BD55" s="12">
        <v>0.49488206856887901</v>
      </c>
      <c r="BE55" s="12">
        <v>0.50343173670939501</v>
      </c>
      <c r="BF55" s="33">
        <v>0.50853278447032502</v>
      </c>
      <c r="BG55" s="44" t="b">
        <f t="shared" si="20"/>
        <v>1</v>
      </c>
      <c r="BH55" t="b">
        <f t="shared" si="20"/>
        <v>1</v>
      </c>
      <c r="BI55" t="b">
        <f t="shared" si="20"/>
        <v>1</v>
      </c>
      <c r="BJ55" t="b">
        <f t="shared" si="20"/>
        <v>1</v>
      </c>
      <c r="BK55" t="b">
        <f t="shared" si="20"/>
        <v>1</v>
      </c>
      <c r="BL55" t="b">
        <f t="shared" si="20"/>
        <v>1</v>
      </c>
      <c r="BM55" t="b">
        <f t="shared" si="23"/>
        <v>1</v>
      </c>
      <c r="BN55" t="b">
        <f t="shared" si="23"/>
        <v>1</v>
      </c>
      <c r="BO55" t="b">
        <f t="shared" si="23"/>
        <v>1</v>
      </c>
      <c r="BP55" t="b">
        <f t="shared" si="23"/>
        <v>1</v>
      </c>
      <c r="BQ55" s="45" t="b">
        <f t="shared" si="23"/>
        <v>1</v>
      </c>
      <c r="BS55" s="1">
        <f t="shared" si="17"/>
        <v>228</v>
      </c>
      <c r="BT55" s="23">
        <v>1.4395795157929848E-3</v>
      </c>
      <c r="BU55" s="8">
        <v>4.9621219995880062E-6</v>
      </c>
      <c r="BV55" s="8">
        <v>4.9627215664380893E-6</v>
      </c>
      <c r="BW55" s="8">
        <v>1.1705615688135804E-20</v>
      </c>
      <c r="BX55" s="8">
        <v>5.0603185640308732E-5</v>
      </c>
      <c r="BY55" s="8">
        <v>3.430614348738685E-4</v>
      </c>
      <c r="BZ55" s="8">
        <v>5.4243121329272594E-4</v>
      </c>
      <c r="CA55" s="8">
        <v>2.5944588486668461E-4</v>
      </c>
      <c r="CB55" s="8">
        <v>2.0039093425683785E-4</v>
      </c>
      <c r="CC55" s="8">
        <v>2.6056523022253741E-4</v>
      </c>
      <c r="CD55" s="8">
        <v>3.0015399718700029E-4</v>
      </c>
      <c r="CE55" s="32">
        <v>1.43957951579298E-3</v>
      </c>
      <c r="CF55" s="12">
        <v>4.9621219995881002E-6</v>
      </c>
      <c r="CG55" s="12">
        <v>4.9627215664373202E-6</v>
      </c>
      <c r="CH55" s="12">
        <v>1.17056156881329E-20</v>
      </c>
      <c r="CI55" s="12">
        <v>5.0603185640308603E-5</v>
      </c>
      <c r="CJ55" s="12">
        <v>3.4306143487386698E-4</v>
      </c>
      <c r="CK55" s="12">
        <v>5.4243121329272605E-4</v>
      </c>
      <c r="CL55" s="12">
        <v>2.5944588486668201E-4</v>
      </c>
      <c r="CM55" s="12">
        <v>2.0039093425683601E-4</v>
      </c>
      <c r="CN55" s="12">
        <v>2.6056523022239099E-4</v>
      </c>
      <c r="CO55" s="33">
        <v>3.00153997186974E-4</v>
      </c>
      <c r="CP55" t="b">
        <f t="shared" si="21"/>
        <v>1</v>
      </c>
      <c r="CQ55" t="b">
        <f t="shared" si="21"/>
        <v>1</v>
      </c>
      <c r="CR55" t="b">
        <f t="shared" si="21"/>
        <v>1</v>
      </c>
      <c r="CS55" t="b">
        <f t="shared" si="21"/>
        <v>1</v>
      </c>
      <c r="CT55" t="b">
        <f t="shared" si="21"/>
        <v>1</v>
      </c>
      <c r="CU55" t="b">
        <f t="shared" si="21"/>
        <v>1</v>
      </c>
      <c r="CV55" t="b">
        <f t="shared" si="24"/>
        <v>1</v>
      </c>
      <c r="CW55" t="b">
        <f t="shared" si="24"/>
        <v>1</v>
      </c>
      <c r="CX55" t="b">
        <f t="shared" si="24"/>
        <v>1</v>
      </c>
      <c r="CY55" t="b">
        <f t="shared" si="24"/>
        <v>1</v>
      </c>
      <c r="CZ55" t="b">
        <f t="shared" si="24"/>
        <v>1</v>
      </c>
    </row>
    <row r="56" spans="1:104" x14ac:dyDescent="0.25">
      <c r="A56" s="1">
        <f t="shared" si="15"/>
        <v>234</v>
      </c>
      <c r="B56" s="23">
        <v>0.50962652334652792</v>
      </c>
      <c r="C56" s="8">
        <v>0.63869977227928654</v>
      </c>
      <c r="D56" s="8">
        <v>0.63870621284213591</v>
      </c>
      <c r="E56" s="8">
        <v>0.64530091230555298</v>
      </c>
      <c r="F56" s="8">
        <v>0.62775714644935821</v>
      </c>
      <c r="G56" s="8">
        <v>0.60216945917734188</v>
      </c>
      <c r="H56" s="8">
        <v>0.58110230865536683</v>
      </c>
      <c r="I56" s="8">
        <v>0.60363298609306448</v>
      </c>
      <c r="J56" s="8">
        <v>0.60894803634273154</v>
      </c>
      <c r="K56" s="8">
        <v>0.6035511318895227</v>
      </c>
      <c r="L56" s="8">
        <v>0.60034022592462666</v>
      </c>
      <c r="M56" s="32">
        <v>0.50962652334652803</v>
      </c>
      <c r="N56" s="12">
        <v>0.63869977227928698</v>
      </c>
      <c r="O56" s="12">
        <v>0.63870621284213602</v>
      </c>
      <c r="P56" s="12">
        <v>0.64530091230555298</v>
      </c>
      <c r="Q56" s="12">
        <v>0.62775714644935798</v>
      </c>
      <c r="R56" s="12">
        <v>0.60216945917734199</v>
      </c>
      <c r="S56" s="12">
        <v>0.58110230865536705</v>
      </c>
      <c r="T56" s="12">
        <v>0.60363298609306504</v>
      </c>
      <c r="U56" s="12">
        <v>0.60894803634273098</v>
      </c>
      <c r="V56" s="12">
        <v>0.60355113188952003</v>
      </c>
      <c r="W56" s="33">
        <v>0.60034022592462599</v>
      </c>
      <c r="X56" t="b">
        <f t="shared" si="0"/>
        <v>1</v>
      </c>
      <c r="Y56" t="b">
        <f t="shared" si="1"/>
        <v>1</v>
      </c>
      <c r="Z56" t="b">
        <f t="shared" si="2"/>
        <v>1</v>
      </c>
      <c r="AA56" t="b">
        <f t="shared" si="3"/>
        <v>1</v>
      </c>
      <c r="AB56" t="b">
        <f t="shared" si="4"/>
        <v>1</v>
      </c>
      <c r="AC56" t="b">
        <f t="shared" si="5"/>
        <v>1</v>
      </c>
      <c r="AD56" t="b">
        <f t="shared" si="6"/>
        <v>1</v>
      </c>
      <c r="AE56" t="b">
        <f t="shared" si="7"/>
        <v>1</v>
      </c>
      <c r="AF56" t="b">
        <f t="shared" si="8"/>
        <v>1</v>
      </c>
      <c r="AG56" t="b">
        <f t="shared" si="9"/>
        <v>1</v>
      </c>
      <c r="AH56" t="b">
        <f t="shared" si="10"/>
        <v>1</v>
      </c>
      <c r="AJ56" s="1">
        <f t="shared" si="16"/>
        <v>234</v>
      </c>
      <c r="AK56" s="23">
        <v>0.67407712869530501</v>
      </c>
      <c r="AL56" s="8">
        <v>0.4483207749524894</v>
      </c>
      <c r="AM56" s="8">
        <v>0.44831069113743849</v>
      </c>
      <c r="AN56" s="8">
        <v>0.43803854027169575</v>
      </c>
      <c r="AO56" s="8">
        <v>0.46560189678087421</v>
      </c>
      <c r="AP56" s="8">
        <v>0.50721637963515043</v>
      </c>
      <c r="AQ56" s="8">
        <v>0.54282844700350219</v>
      </c>
      <c r="AR56" s="8">
        <v>0.50478890465343662</v>
      </c>
      <c r="AS56" s="8">
        <v>0.49602234111513882</v>
      </c>
      <c r="AT56" s="8">
        <v>0.50492451645025849</v>
      </c>
      <c r="AU56" s="8">
        <v>0.51025874126652981</v>
      </c>
      <c r="AV56" s="32">
        <v>0.67407712869530501</v>
      </c>
      <c r="AW56" s="12">
        <v>0.44832077495248901</v>
      </c>
      <c r="AX56" s="12">
        <v>0.44831069113743899</v>
      </c>
      <c r="AY56" s="12">
        <v>0.43803854027169498</v>
      </c>
      <c r="AZ56" s="12">
        <v>0.46560189678087399</v>
      </c>
      <c r="BA56" s="12">
        <v>0.50721637963514998</v>
      </c>
      <c r="BB56" s="12">
        <v>0.54282844700350197</v>
      </c>
      <c r="BC56" s="12">
        <v>0.50478890465343595</v>
      </c>
      <c r="BD56" s="12">
        <v>0.49602234111513999</v>
      </c>
      <c r="BE56" s="12">
        <v>0.50492451645026404</v>
      </c>
      <c r="BF56" s="33">
        <v>0.51025874126653104</v>
      </c>
      <c r="BG56" s="44" t="b">
        <f t="shared" si="20"/>
        <v>1</v>
      </c>
      <c r="BH56" t="b">
        <f t="shared" si="20"/>
        <v>1</v>
      </c>
      <c r="BI56" t="b">
        <f t="shared" si="20"/>
        <v>1</v>
      </c>
      <c r="BJ56" t="b">
        <f t="shared" si="20"/>
        <v>1</v>
      </c>
      <c r="BK56" t="b">
        <f t="shared" si="20"/>
        <v>1</v>
      </c>
      <c r="BL56" t="b">
        <f t="shared" si="20"/>
        <v>1</v>
      </c>
      <c r="BM56" t="b">
        <f t="shared" si="23"/>
        <v>1</v>
      </c>
      <c r="BN56" t="b">
        <f t="shared" si="23"/>
        <v>1</v>
      </c>
      <c r="BO56" t="b">
        <f t="shared" si="23"/>
        <v>1</v>
      </c>
      <c r="BP56" t="b">
        <f t="shared" si="23"/>
        <v>1</v>
      </c>
      <c r="BQ56" s="45" t="b">
        <f t="shared" si="23"/>
        <v>1</v>
      </c>
      <c r="BS56" s="1">
        <f t="shared" si="17"/>
        <v>234</v>
      </c>
      <c r="BT56" s="23">
        <v>1.383145067582113E-3</v>
      </c>
      <c r="BU56" s="8">
        <v>3.4579379880493737E-6</v>
      </c>
      <c r="BV56" s="8">
        <v>3.4584022365453624E-6</v>
      </c>
      <c r="BW56" s="8">
        <v>3.3268822731359607E-23</v>
      </c>
      <c r="BX56" s="8">
        <v>4.1937771398588576E-5</v>
      </c>
      <c r="BY56" s="8">
        <v>3.2125500234313805E-4</v>
      </c>
      <c r="BZ56" s="8">
        <v>5.1153911361375272E-4</v>
      </c>
      <c r="CA56" s="8">
        <v>2.3633678763116634E-4</v>
      </c>
      <c r="CB56" s="8">
        <v>1.8007963469223248E-4</v>
      </c>
      <c r="CC56" s="8">
        <v>2.3741511181406621E-4</v>
      </c>
      <c r="CD56" s="8">
        <v>2.7555115999890195E-4</v>
      </c>
      <c r="CE56" s="32">
        <v>1.38314506758211E-3</v>
      </c>
      <c r="CF56" s="12">
        <v>3.4579379880494402E-6</v>
      </c>
      <c r="CG56" s="12">
        <v>3.4584022365448E-6</v>
      </c>
      <c r="CH56" s="12">
        <v>3.3268822731350197E-23</v>
      </c>
      <c r="CI56" s="12">
        <v>4.19377713985884E-5</v>
      </c>
      <c r="CJ56" s="12">
        <v>3.2125500234313702E-4</v>
      </c>
      <c r="CK56" s="12">
        <v>5.1153911361375305E-4</v>
      </c>
      <c r="CL56" s="12">
        <v>2.3633678763116501E-4</v>
      </c>
      <c r="CM56" s="12">
        <v>1.8007963469223099E-4</v>
      </c>
      <c r="CN56" s="12">
        <v>2.3741511181393299E-4</v>
      </c>
      <c r="CO56" s="33">
        <v>2.7555115999887999E-4</v>
      </c>
      <c r="CP56" t="b">
        <f t="shared" si="21"/>
        <v>1</v>
      </c>
      <c r="CQ56" t="b">
        <f t="shared" si="21"/>
        <v>1</v>
      </c>
      <c r="CR56" t="b">
        <f t="shared" si="21"/>
        <v>1</v>
      </c>
      <c r="CS56" t="b">
        <f t="shared" si="21"/>
        <v>1</v>
      </c>
      <c r="CT56" t="b">
        <f t="shared" si="21"/>
        <v>1</v>
      </c>
      <c r="CU56" t="b">
        <f t="shared" si="21"/>
        <v>1</v>
      </c>
      <c r="CV56" t="b">
        <f t="shared" si="24"/>
        <v>1</v>
      </c>
      <c r="CW56" t="b">
        <f t="shared" si="24"/>
        <v>1</v>
      </c>
      <c r="CX56" t="b">
        <f t="shared" si="24"/>
        <v>1</v>
      </c>
      <c r="CY56" t="b">
        <f t="shared" si="24"/>
        <v>1</v>
      </c>
      <c r="CZ56" t="b">
        <f t="shared" si="24"/>
        <v>1</v>
      </c>
    </row>
    <row r="57" spans="1:104" x14ac:dyDescent="0.25">
      <c r="A57" s="1">
        <v>240</v>
      </c>
      <c r="B57" s="25">
        <v>0.50549803667790172</v>
      </c>
      <c r="C57" s="26">
        <v>0.63868867693556075</v>
      </c>
      <c r="D57" s="26">
        <v>0.63869511582487315</v>
      </c>
      <c r="E57" s="26">
        <v>0.64530091230555298</v>
      </c>
      <c r="F57" s="26">
        <v>0.62761319146732264</v>
      </c>
      <c r="G57" s="26">
        <v>0.60104648291682516</v>
      </c>
      <c r="H57" s="26">
        <v>0.57937210924446236</v>
      </c>
      <c r="I57" s="26">
        <v>0.60281606329853676</v>
      </c>
      <c r="J57" s="26">
        <v>0.60832419458654274</v>
      </c>
      <c r="K57" s="26">
        <v>0.60273049461474459</v>
      </c>
      <c r="L57" s="26">
        <v>0.59938940278885433</v>
      </c>
      <c r="M57" s="34">
        <v>0.50549803667790205</v>
      </c>
      <c r="N57" s="35">
        <v>0.63868867693556097</v>
      </c>
      <c r="O57" s="35">
        <v>0.63869511582487304</v>
      </c>
      <c r="P57" s="35">
        <v>0.64530091230555298</v>
      </c>
      <c r="Q57" s="35">
        <v>0.62761319146732297</v>
      </c>
      <c r="R57" s="35">
        <v>0.60104648291682505</v>
      </c>
      <c r="S57" s="35">
        <v>0.57937210924446303</v>
      </c>
      <c r="T57" s="35">
        <v>0.60281606329853699</v>
      </c>
      <c r="U57" s="35">
        <v>0.60832419458654197</v>
      </c>
      <c r="V57" s="35">
        <v>0.60273049461474104</v>
      </c>
      <c r="W57" s="36">
        <v>0.599389402788854</v>
      </c>
      <c r="X57" t="b">
        <f t="shared" si="0"/>
        <v>1</v>
      </c>
      <c r="Y57" t="b">
        <f t="shared" si="1"/>
        <v>1</v>
      </c>
      <c r="Z57" t="b">
        <f t="shared" si="2"/>
        <v>1</v>
      </c>
      <c r="AA57" t="b">
        <f t="shared" si="3"/>
        <v>1</v>
      </c>
      <c r="AB57" t="b">
        <f t="shared" si="4"/>
        <v>1</v>
      </c>
      <c r="AC57" t="b">
        <f t="shared" si="5"/>
        <v>1</v>
      </c>
      <c r="AD57" t="b">
        <f t="shared" si="6"/>
        <v>1</v>
      </c>
      <c r="AE57" t="b">
        <f t="shared" si="7"/>
        <v>1</v>
      </c>
      <c r="AF57" t="b">
        <f t="shared" si="8"/>
        <v>1</v>
      </c>
      <c r="AG57" t="b">
        <f t="shared" si="9"/>
        <v>1</v>
      </c>
      <c r="AH57" t="b">
        <f t="shared" si="10"/>
        <v>1</v>
      </c>
      <c r="AJ57" s="1">
        <f t="shared" si="16"/>
        <v>240</v>
      </c>
      <c r="AK57" s="25">
        <v>0.68221112445021825</v>
      </c>
      <c r="AL57" s="26">
        <v>0.44833814687053497</v>
      </c>
      <c r="AM57" s="26">
        <v>0.44832806550055215</v>
      </c>
      <c r="AN57" s="26">
        <v>0.43803854027169575</v>
      </c>
      <c r="AO57" s="26">
        <v>0.46583123943509913</v>
      </c>
      <c r="AP57" s="26">
        <v>0.50908300481404678</v>
      </c>
      <c r="AQ57" s="26">
        <v>0.54581033211228591</v>
      </c>
      <c r="AR57" s="26">
        <v>0.50614316477705157</v>
      </c>
      <c r="AS57" s="26">
        <v>0.49704732434395921</v>
      </c>
      <c r="AT57" s="26">
        <v>0.50628512310022744</v>
      </c>
      <c r="AU57" s="26">
        <v>0.51184380395413631</v>
      </c>
      <c r="AV57" s="34">
        <v>0.68221112445021803</v>
      </c>
      <c r="AW57" s="35">
        <v>0.44833814687053403</v>
      </c>
      <c r="AX57" s="35">
        <v>0.44832806550055299</v>
      </c>
      <c r="AY57" s="35">
        <v>0.43803854027169498</v>
      </c>
      <c r="AZ57" s="35">
        <v>0.46583123943509902</v>
      </c>
      <c r="BA57" s="35">
        <v>0.509083004814047</v>
      </c>
      <c r="BB57" s="35">
        <v>0.54581033211228502</v>
      </c>
      <c r="BC57" s="35">
        <v>0.50614316477705101</v>
      </c>
      <c r="BD57" s="35">
        <v>0.49704732434395998</v>
      </c>
      <c r="BE57" s="35">
        <v>0.50628512310023299</v>
      </c>
      <c r="BF57" s="36">
        <v>0.51184380395413798</v>
      </c>
      <c r="BG57" s="46" t="b">
        <f t="shared" si="20"/>
        <v>1</v>
      </c>
      <c r="BH57" s="3" t="b">
        <f t="shared" si="20"/>
        <v>1</v>
      </c>
      <c r="BI57" s="3" t="b">
        <f t="shared" si="20"/>
        <v>1</v>
      </c>
      <c r="BJ57" s="3" t="b">
        <f t="shared" si="20"/>
        <v>1</v>
      </c>
      <c r="BK57" s="3" t="b">
        <f t="shared" si="20"/>
        <v>1</v>
      </c>
      <c r="BL57" s="3" t="b">
        <f t="shared" si="20"/>
        <v>1</v>
      </c>
      <c r="BM57" s="3" t="b">
        <f t="shared" si="23"/>
        <v>1</v>
      </c>
      <c r="BN57" s="3" t="b">
        <f t="shared" si="23"/>
        <v>1</v>
      </c>
      <c r="BO57" s="3" t="b">
        <f t="shared" si="23"/>
        <v>1</v>
      </c>
      <c r="BP57" s="3" t="b">
        <f t="shared" si="23"/>
        <v>1</v>
      </c>
      <c r="BQ57" s="47" t="b">
        <f t="shared" si="23"/>
        <v>1</v>
      </c>
      <c r="BS57" s="1">
        <f t="shared" si="17"/>
        <v>240</v>
      </c>
      <c r="BT57" s="25">
        <v>1.328480123703126E-3</v>
      </c>
      <c r="BU57" s="26">
        <v>2.394670879347417E-6</v>
      </c>
      <c r="BV57" s="26">
        <v>2.3950257026729116E-6</v>
      </c>
      <c r="BW57" s="26">
        <v>4.3129147877715928E-26</v>
      </c>
      <c r="BX57" s="26">
        <v>3.4731714544704374E-5</v>
      </c>
      <c r="BY57" s="26">
        <v>3.0123596229653002E-4</v>
      </c>
      <c r="BZ57" s="26">
        <v>4.8276035679579001E-4</v>
      </c>
      <c r="CA57" s="26">
        <v>2.154311987574525E-4</v>
      </c>
      <c r="CB57" s="26">
        <v>1.6191940953389668E-4</v>
      </c>
      <c r="CC57" s="26">
        <v>2.1646839058334598E-4</v>
      </c>
      <c r="CD57" s="26">
        <v>2.5315191297903912E-4</v>
      </c>
      <c r="CE57" s="34">
        <v>1.32848012370312E-3</v>
      </c>
      <c r="CF57" s="35">
        <v>2.3946708793474602E-6</v>
      </c>
      <c r="CG57" s="35">
        <v>2.3950257026724902E-6</v>
      </c>
      <c r="CH57" s="35">
        <v>4.31291478777019E-26</v>
      </c>
      <c r="CI57" s="35">
        <v>3.4731714544704198E-5</v>
      </c>
      <c r="CJ57" s="35">
        <v>3.0123596229652801E-4</v>
      </c>
      <c r="CK57" s="35">
        <v>4.8276035679579001E-4</v>
      </c>
      <c r="CL57" s="35">
        <v>2.1543119875745101E-4</v>
      </c>
      <c r="CM57" s="35">
        <v>1.61919409533896E-4</v>
      </c>
      <c r="CN57" s="35">
        <v>2.1646839058322599E-4</v>
      </c>
      <c r="CO57" s="36">
        <v>2.5315191297901901E-4</v>
      </c>
      <c r="CP57" t="b">
        <f t="shared" si="21"/>
        <v>1</v>
      </c>
      <c r="CQ57" t="b">
        <f t="shared" si="21"/>
        <v>1</v>
      </c>
      <c r="CR57" t="b">
        <f t="shared" si="21"/>
        <v>1</v>
      </c>
      <c r="CS57" t="b">
        <f t="shared" si="21"/>
        <v>1</v>
      </c>
      <c r="CT57" t="b">
        <f t="shared" si="21"/>
        <v>1</v>
      </c>
      <c r="CU57" t="b">
        <f t="shared" si="21"/>
        <v>1</v>
      </c>
      <c r="CV57" t="b">
        <f t="shared" si="24"/>
        <v>1</v>
      </c>
      <c r="CW57" t="b">
        <f t="shared" si="24"/>
        <v>1</v>
      </c>
      <c r="CX57" t="b">
        <f t="shared" si="24"/>
        <v>1</v>
      </c>
      <c r="CY57" t="b">
        <f t="shared" si="24"/>
        <v>1</v>
      </c>
      <c r="CZ57" t="b">
        <f t="shared" si="24"/>
        <v>1</v>
      </c>
    </row>
    <row r="58" spans="1:104" x14ac:dyDescent="0.25">
      <c r="J58"/>
      <c r="K58"/>
      <c r="L58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104" x14ac:dyDescent="0.25">
      <c r="J59"/>
      <c r="K59"/>
      <c r="L59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104" x14ac:dyDescent="0.25">
      <c r="J60"/>
      <c r="K60"/>
      <c r="L60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104" x14ac:dyDescent="0.25">
      <c r="J61"/>
      <c r="K61"/>
      <c r="L6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104" x14ac:dyDescent="0.25">
      <c r="J62"/>
      <c r="K62"/>
      <c r="L62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104" x14ac:dyDescent="0.25">
      <c r="J63"/>
      <c r="K63"/>
      <c r="L63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104" x14ac:dyDescent="0.25">
      <c r="J64"/>
      <c r="K64"/>
      <c r="L64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0:23" x14ac:dyDescent="0.25">
      <c r="J65"/>
      <c r="K65"/>
      <c r="L65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0:23" x14ac:dyDescent="0.25">
      <c r="J66"/>
      <c r="K66"/>
      <c r="L66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0:23" x14ac:dyDescent="0.25">
      <c r="J67"/>
      <c r="K67"/>
      <c r="L67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0:23" x14ac:dyDescent="0.25">
      <c r="J68"/>
      <c r="K68"/>
      <c r="L68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0:23" x14ac:dyDescent="0.25">
      <c r="J69"/>
      <c r="K69"/>
      <c r="L69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0:23" x14ac:dyDescent="0.25">
      <c r="J70"/>
      <c r="K70"/>
      <c r="L70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0:23" x14ac:dyDescent="0.25">
      <c r="J71"/>
      <c r="K71"/>
      <c r="L7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0:23" x14ac:dyDescent="0.25">
      <c r="J72"/>
      <c r="K72"/>
      <c r="L72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0:23" x14ac:dyDescent="0.25">
      <c r="J73"/>
      <c r="K73"/>
      <c r="L73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0:23" x14ac:dyDescent="0.25">
      <c r="J74"/>
      <c r="K74"/>
      <c r="L74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0:23" x14ac:dyDescent="0.25">
      <c r="J75"/>
      <c r="K75"/>
      <c r="L75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0:23" x14ac:dyDescent="0.25">
      <c r="J76"/>
      <c r="K76"/>
      <c r="L76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0:23" x14ac:dyDescent="0.25">
      <c r="J77"/>
      <c r="K77"/>
      <c r="L77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0:23" x14ac:dyDescent="0.25">
      <c r="J78"/>
      <c r="K78"/>
      <c r="L78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0:23" x14ac:dyDescent="0.25">
      <c r="J79"/>
      <c r="K79"/>
      <c r="L79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0:23" x14ac:dyDescent="0.25">
      <c r="J80"/>
      <c r="K80"/>
      <c r="L80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0:87" x14ac:dyDescent="0.25">
      <c r="J81"/>
      <c r="K81"/>
      <c r="L8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0:87" x14ac:dyDescent="0.25">
      <c r="J82"/>
      <c r="K82"/>
      <c r="L82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0:87" x14ac:dyDescent="0.25">
      <c r="J83"/>
      <c r="K83"/>
      <c r="L83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0:87" x14ac:dyDescent="0.25">
      <c r="J84"/>
      <c r="K84"/>
      <c r="L84"/>
      <c r="N84" s="1"/>
      <c r="O84" s="1"/>
      <c r="P84" s="1"/>
      <c r="Q84" s="1"/>
      <c r="R84" s="1"/>
      <c r="S84" s="1"/>
      <c r="T84" s="1"/>
      <c r="U84" s="1"/>
      <c r="V84" s="1"/>
      <c r="W84" s="1"/>
      <c r="CH84" s="63"/>
    </row>
    <row r="85" spans="10:87" x14ac:dyDescent="0.25">
      <c r="J85"/>
      <c r="K85"/>
      <c r="L85"/>
      <c r="N85" s="1"/>
      <c r="O85" s="1"/>
      <c r="P85" s="1"/>
      <c r="Q85" s="1"/>
      <c r="R85" s="1"/>
      <c r="S85" s="1"/>
      <c r="T85" s="1"/>
      <c r="U85" s="1"/>
      <c r="V85" s="1"/>
      <c r="W85" s="1"/>
      <c r="CH85" s="63"/>
    </row>
    <row r="86" spans="10:87" x14ac:dyDescent="0.25">
      <c r="J86"/>
      <c r="K86"/>
      <c r="L86"/>
      <c r="N86" s="1"/>
      <c r="O86" s="1"/>
      <c r="P86" s="1"/>
      <c r="Q86" s="1"/>
      <c r="R86" s="1"/>
      <c r="S86" s="1"/>
      <c r="T86" s="1"/>
      <c r="U86" s="1"/>
      <c r="V86" s="1"/>
      <c r="W86" s="1"/>
      <c r="CH86" s="63"/>
    </row>
    <row r="87" spans="10:87" x14ac:dyDescent="0.25">
      <c r="J87"/>
      <c r="K87"/>
      <c r="L87"/>
      <c r="N87" s="1"/>
      <c r="O87" s="1"/>
      <c r="P87" s="1"/>
      <c r="Q87" s="1"/>
      <c r="R87" s="1"/>
      <c r="S87" s="1"/>
      <c r="T87" s="1"/>
      <c r="U87" s="1"/>
      <c r="V87" s="1"/>
      <c r="W87" s="1"/>
      <c r="CH87" s="63"/>
    </row>
    <row r="88" spans="10:87" x14ac:dyDescent="0.25">
      <c r="J88"/>
      <c r="K88"/>
      <c r="L88"/>
      <c r="N88" s="1"/>
      <c r="O88" s="1"/>
      <c r="P88" s="1"/>
      <c r="Q88" s="1"/>
      <c r="R88" s="1"/>
      <c r="S88" s="1"/>
      <c r="T88" s="1"/>
      <c r="U88" s="1"/>
      <c r="V88" s="1"/>
      <c r="W88" s="1"/>
      <c r="CH88" s="63"/>
    </row>
    <row r="89" spans="10:87" x14ac:dyDescent="0.25">
      <c r="J89"/>
      <c r="K89"/>
      <c r="L89"/>
      <c r="N89" s="1"/>
      <c r="O89" s="1"/>
      <c r="P89" s="1"/>
      <c r="Q89" s="1"/>
      <c r="R89" s="1"/>
      <c r="S89" s="1"/>
      <c r="T89" s="1"/>
      <c r="U89" s="1"/>
      <c r="V89" s="1"/>
      <c r="W89" s="1"/>
      <c r="CH89" s="63"/>
    </row>
    <row r="90" spans="10:87" x14ac:dyDescent="0.25">
      <c r="J90"/>
      <c r="K90"/>
      <c r="L90"/>
      <c r="N90" s="1"/>
      <c r="O90" s="1"/>
      <c r="P90" s="1"/>
      <c r="Q90" s="1"/>
      <c r="R90" s="1"/>
      <c r="S90" s="1"/>
      <c r="T90" s="1"/>
      <c r="U90" s="1"/>
      <c r="V90" s="1"/>
      <c r="W90" s="1"/>
      <c r="CF90" s="63"/>
      <c r="CG90" s="63"/>
      <c r="CH90" s="63"/>
    </row>
    <row r="91" spans="10:87" x14ac:dyDescent="0.25">
      <c r="J91"/>
      <c r="K91"/>
      <c r="L91"/>
      <c r="N91" s="1"/>
      <c r="O91" s="1"/>
      <c r="P91" s="1"/>
      <c r="Q91" s="1"/>
      <c r="R91" s="1"/>
      <c r="S91" s="1"/>
      <c r="T91" s="1"/>
      <c r="U91" s="1"/>
      <c r="V91" s="1"/>
      <c r="W91" s="1"/>
      <c r="CF91" s="63"/>
      <c r="CG91" s="63"/>
      <c r="CH91" s="63"/>
    </row>
    <row r="92" spans="10:87" x14ac:dyDescent="0.25">
      <c r="J92"/>
      <c r="K92"/>
      <c r="L92"/>
      <c r="N92" s="1"/>
      <c r="O92" s="1"/>
      <c r="P92" s="1"/>
      <c r="Q92" s="1"/>
      <c r="R92" s="1"/>
      <c r="S92" s="1"/>
      <c r="T92" s="1"/>
      <c r="U92" s="1"/>
      <c r="V92" s="1"/>
      <c r="W92" s="1"/>
      <c r="CF92" s="63"/>
      <c r="CG92" s="63"/>
      <c r="CH92" s="63"/>
    </row>
    <row r="93" spans="10:87" x14ac:dyDescent="0.25">
      <c r="J93"/>
      <c r="K93"/>
      <c r="L93"/>
      <c r="N93" s="1"/>
      <c r="O93" s="1"/>
      <c r="P93" s="1"/>
      <c r="Q93" s="1"/>
      <c r="R93" s="1"/>
      <c r="S93" s="1"/>
      <c r="T93" s="1"/>
      <c r="U93" s="1"/>
      <c r="V93" s="1"/>
      <c r="W93" s="1"/>
      <c r="CF93" s="63"/>
      <c r="CG93" s="63"/>
      <c r="CH93" s="63"/>
    </row>
    <row r="94" spans="10:87" x14ac:dyDescent="0.25">
      <c r="J94"/>
      <c r="K94"/>
      <c r="L94"/>
      <c r="N94" s="1"/>
      <c r="O94" s="1"/>
      <c r="P94" s="1"/>
      <c r="Q94" s="1"/>
      <c r="R94" s="1"/>
      <c r="S94" s="1"/>
      <c r="T94" s="1"/>
      <c r="U94" s="1"/>
      <c r="V94" s="1"/>
      <c r="W94" s="1"/>
      <c r="CF94" s="63"/>
      <c r="CG94" s="63"/>
      <c r="CH94" s="63"/>
    </row>
    <row r="95" spans="10:87" x14ac:dyDescent="0.25">
      <c r="J95"/>
      <c r="K95"/>
      <c r="L95"/>
      <c r="N95" s="1"/>
      <c r="O95" s="1"/>
      <c r="P95" s="1"/>
      <c r="Q95" s="1"/>
      <c r="R95" s="1"/>
      <c r="S95" s="1"/>
      <c r="T95" s="1"/>
      <c r="U95" s="1"/>
      <c r="V95" s="1"/>
      <c r="W95" s="1"/>
      <c r="CF95" s="63"/>
      <c r="CG95" s="63"/>
      <c r="CH95" s="63"/>
    </row>
    <row r="96" spans="10:87" x14ac:dyDescent="0.25">
      <c r="J96"/>
      <c r="K96"/>
      <c r="L96"/>
      <c r="N96" s="1"/>
      <c r="O96" s="1"/>
      <c r="P96" s="1"/>
      <c r="Q96" s="1"/>
      <c r="R96" s="1"/>
      <c r="S96" s="1"/>
      <c r="T96" s="1"/>
      <c r="U96" s="1"/>
      <c r="V96" s="1"/>
      <c r="W96" s="1"/>
      <c r="CF96" s="63"/>
      <c r="CG96" s="63"/>
      <c r="CH96" s="63"/>
      <c r="CI96" s="63"/>
    </row>
    <row r="97" spans="10:87" x14ac:dyDescent="0.25">
      <c r="J97"/>
      <c r="K97"/>
      <c r="L97"/>
      <c r="N97" s="1"/>
      <c r="O97" s="1"/>
      <c r="P97" s="1"/>
      <c r="Q97" s="1"/>
      <c r="R97" s="1"/>
      <c r="S97" s="1"/>
      <c r="T97" s="1"/>
      <c r="U97" s="1"/>
      <c r="V97" s="1"/>
      <c r="W97" s="1"/>
      <c r="CF97" s="63"/>
      <c r="CG97" s="63"/>
      <c r="CH97" s="63"/>
      <c r="CI97" s="63"/>
    </row>
    <row r="98" spans="10:87" x14ac:dyDescent="0.25">
      <c r="J98"/>
      <c r="K98"/>
      <c r="L98"/>
      <c r="N98" s="1"/>
      <c r="O98" s="1"/>
      <c r="P98" s="1"/>
      <c r="Q98" s="1"/>
      <c r="R98" s="1"/>
      <c r="S98" s="1"/>
      <c r="T98" s="1"/>
      <c r="U98" s="1"/>
      <c r="V98" s="1"/>
      <c r="W98" s="1"/>
      <c r="CF98" s="63"/>
      <c r="CG98" s="63"/>
      <c r="CH98" s="63"/>
      <c r="CI98" s="63"/>
    </row>
    <row r="99" spans="10:87" x14ac:dyDescent="0.25">
      <c r="J99"/>
      <c r="K99"/>
      <c r="L99"/>
      <c r="N99" s="1"/>
      <c r="O99" s="1"/>
      <c r="P99" s="1"/>
      <c r="Q99" s="1"/>
      <c r="R99" s="1"/>
      <c r="S99" s="1"/>
      <c r="T99" s="1"/>
      <c r="U99" s="1"/>
      <c r="V99" s="1"/>
      <c r="W99" s="1"/>
      <c r="CF99" s="63"/>
      <c r="CG99" s="63"/>
      <c r="CH99" s="63"/>
      <c r="CI99" s="63"/>
    </row>
    <row r="100" spans="10:87" x14ac:dyDescent="0.25">
      <c r="J100"/>
      <c r="K100"/>
      <c r="L100"/>
      <c r="N100" s="1"/>
      <c r="O100" s="1"/>
      <c r="P100" s="1"/>
      <c r="Q100" s="1"/>
      <c r="R100" s="1"/>
      <c r="S100" s="1"/>
      <c r="T100" s="1"/>
      <c r="U100" s="1"/>
      <c r="V100" s="1"/>
      <c r="W100" s="1"/>
      <c r="CF100" s="63"/>
      <c r="CG100" s="63"/>
      <c r="CH100" s="63"/>
      <c r="CI100" s="63"/>
    </row>
    <row r="101" spans="10:87" x14ac:dyDescent="0.25">
      <c r="J101"/>
      <c r="K101"/>
      <c r="L101"/>
      <c r="N101" s="1"/>
      <c r="O101" s="1"/>
      <c r="P101" s="1"/>
      <c r="Q101" s="1"/>
      <c r="R101" s="1"/>
      <c r="S101" s="1"/>
      <c r="T101" s="1"/>
      <c r="U101" s="1"/>
      <c r="V101" s="1"/>
      <c r="W101" s="1"/>
      <c r="CF101" s="63"/>
      <c r="CG101" s="63"/>
      <c r="CH101" s="63"/>
      <c r="CI101" s="63"/>
    </row>
    <row r="102" spans="10:87" x14ac:dyDescent="0.25">
      <c r="J102"/>
      <c r="K102"/>
      <c r="L102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0:87" x14ac:dyDescent="0.25">
      <c r="J103"/>
      <c r="K103"/>
      <c r="L103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0:87" x14ac:dyDescent="0.25">
      <c r="J104"/>
      <c r="K104"/>
      <c r="L104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0:87" x14ac:dyDescent="0.25">
      <c r="J105"/>
      <c r="K105"/>
      <c r="L105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0:87" x14ac:dyDescent="0.25">
      <c r="J106"/>
      <c r="K106"/>
      <c r="L106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0:87" x14ac:dyDescent="0.25">
      <c r="J107"/>
      <c r="K107"/>
      <c r="L107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0:87" x14ac:dyDescent="0.25">
      <c r="J108"/>
      <c r="K108"/>
      <c r="L108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0:87" x14ac:dyDescent="0.25">
      <c r="J109"/>
      <c r="K109"/>
      <c r="L109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0:87" x14ac:dyDescent="0.25">
      <c r="J110"/>
      <c r="K110"/>
      <c r="L110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0:87" x14ac:dyDescent="0.25">
      <c r="J111"/>
      <c r="K111"/>
      <c r="L11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0:87" x14ac:dyDescent="0.25">
      <c r="J112"/>
      <c r="K112"/>
      <c r="L112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0:23" x14ac:dyDescent="0.25">
      <c r="J113"/>
      <c r="K113"/>
      <c r="L113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0:23" x14ac:dyDescent="0.25">
      <c r="J114"/>
      <c r="K114"/>
      <c r="L114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0:23" x14ac:dyDescent="0.25">
      <c r="J115"/>
      <c r="K115"/>
      <c r="L115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0:23" x14ac:dyDescent="0.25">
      <c r="J116"/>
      <c r="K116"/>
      <c r="L116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0:23" x14ac:dyDescent="0.25">
      <c r="J117"/>
      <c r="K117"/>
      <c r="L117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0:23" x14ac:dyDescent="0.25">
      <c r="J118"/>
      <c r="K118"/>
      <c r="L118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0:23" x14ac:dyDescent="0.25">
      <c r="J119"/>
      <c r="K119"/>
      <c r="L119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0:23" x14ac:dyDescent="0.25">
      <c r="J120"/>
      <c r="K120"/>
      <c r="L120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0:23" x14ac:dyDescent="0.25">
      <c r="J121"/>
      <c r="K121"/>
      <c r="L12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0:23" x14ac:dyDescent="0.25">
      <c r="J122"/>
      <c r="K122"/>
      <c r="L122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0:23" x14ac:dyDescent="0.25">
      <c r="J123"/>
      <c r="K123"/>
      <c r="L123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0:23" x14ac:dyDescent="0.25">
      <c r="J124"/>
      <c r="K124"/>
      <c r="L124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0:23" x14ac:dyDescent="0.25">
      <c r="J125"/>
      <c r="K125"/>
      <c r="L125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0:23" x14ac:dyDescent="0.25">
      <c r="J126"/>
      <c r="K126"/>
      <c r="L126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0:23" x14ac:dyDescent="0.25">
      <c r="J127"/>
      <c r="K127"/>
      <c r="L127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0:23" x14ac:dyDescent="0.25">
      <c r="J128"/>
      <c r="K128"/>
      <c r="L128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0:23" x14ac:dyDescent="0.25">
      <c r="J129"/>
      <c r="K129"/>
      <c r="L129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0:23" x14ac:dyDescent="0.25">
      <c r="J130"/>
      <c r="K130"/>
      <c r="L130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0:23" x14ac:dyDescent="0.25">
      <c r="J131"/>
      <c r="K131"/>
      <c r="L13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0:23" x14ac:dyDescent="0.25">
      <c r="J132"/>
      <c r="K132"/>
      <c r="L132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0:23" x14ac:dyDescent="0.25">
      <c r="J133"/>
      <c r="K133"/>
      <c r="L133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0:23" x14ac:dyDescent="0.25">
      <c r="J134"/>
      <c r="K134"/>
      <c r="L134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0:23" x14ac:dyDescent="0.25">
      <c r="J135"/>
      <c r="K135"/>
      <c r="L135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0:23" x14ac:dyDescent="0.25">
      <c r="J136"/>
      <c r="K136"/>
      <c r="L136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0:23" x14ac:dyDescent="0.25">
      <c r="J137"/>
      <c r="K137"/>
      <c r="L137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0:23" x14ac:dyDescent="0.25">
      <c r="J138"/>
      <c r="K138"/>
      <c r="L138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0:23" x14ac:dyDescent="0.25">
      <c r="J139"/>
      <c r="K139"/>
      <c r="L139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0:23" x14ac:dyDescent="0.25">
      <c r="J140"/>
      <c r="K140"/>
      <c r="L140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0:23" x14ac:dyDescent="0.25">
      <c r="J141"/>
      <c r="K141"/>
      <c r="L14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0:23" x14ac:dyDescent="0.25">
      <c r="J142"/>
      <c r="K142"/>
      <c r="L142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0:23" x14ac:dyDescent="0.25">
      <c r="J143"/>
      <c r="K143"/>
      <c r="L143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0:23" x14ac:dyDescent="0.25">
      <c r="J144"/>
      <c r="K144"/>
      <c r="L144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0:23" x14ac:dyDescent="0.25">
      <c r="J145"/>
      <c r="K145"/>
      <c r="L145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0:23" x14ac:dyDescent="0.25">
      <c r="J146"/>
      <c r="K146"/>
      <c r="L146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0:23" x14ac:dyDescent="0.25">
      <c r="J147"/>
      <c r="K147"/>
      <c r="L147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0:23" x14ac:dyDescent="0.25">
      <c r="J148"/>
      <c r="K148"/>
      <c r="L148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0:23" x14ac:dyDescent="0.25">
      <c r="J149"/>
      <c r="K149"/>
      <c r="L149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0:23" x14ac:dyDescent="0.25">
      <c r="J150"/>
      <c r="K150"/>
      <c r="L150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0:23" x14ac:dyDescent="0.25">
      <c r="J151"/>
      <c r="K151"/>
      <c r="L15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0:23" x14ac:dyDescent="0.25">
      <c r="J152"/>
      <c r="K152"/>
      <c r="L152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0:23" x14ac:dyDescent="0.25">
      <c r="J153"/>
      <c r="K153"/>
      <c r="L153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0:23" x14ac:dyDescent="0.25">
      <c r="J154"/>
      <c r="K154"/>
      <c r="L154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0:23" x14ac:dyDescent="0.25">
      <c r="J155"/>
      <c r="K155"/>
      <c r="L155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0:23" x14ac:dyDescent="0.25">
      <c r="J156"/>
      <c r="K156"/>
      <c r="L156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0:23" x14ac:dyDescent="0.25">
      <c r="J157"/>
      <c r="K157"/>
      <c r="L157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0:23" x14ac:dyDescent="0.25">
      <c r="J158"/>
      <c r="K158"/>
      <c r="L158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0:23" x14ac:dyDescent="0.25">
      <c r="J159"/>
      <c r="K159"/>
      <c r="L159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0:23" x14ac:dyDescent="0.25">
      <c r="J160"/>
      <c r="K160"/>
      <c r="L160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0:23" x14ac:dyDescent="0.25">
      <c r="J161"/>
      <c r="K161"/>
      <c r="L16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0:23" x14ac:dyDescent="0.25">
      <c r="J162"/>
      <c r="K162"/>
      <c r="L162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0:23" x14ac:dyDescent="0.25">
      <c r="J163"/>
      <c r="K163"/>
      <c r="L163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0:23" x14ac:dyDescent="0.25">
      <c r="J164"/>
      <c r="K164"/>
      <c r="L164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0:23" x14ac:dyDescent="0.25">
      <c r="J165"/>
      <c r="K165"/>
      <c r="L165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0:23" x14ac:dyDescent="0.25">
      <c r="J166"/>
      <c r="K166"/>
      <c r="L166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0:23" x14ac:dyDescent="0.25">
      <c r="J167"/>
      <c r="K167"/>
      <c r="L167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0:23" x14ac:dyDescent="0.25">
      <c r="J168"/>
      <c r="K168"/>
      <c r="L168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0:23" x14ac:dyDescent="0.25">
      <c r="J169"/>
      <c r="K169"/>
      <c r="L169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0:23" x14ac:dyDescent="0.25">
      <c r="J170"/>
      <c r="K170"/>
      <c r="L170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0:23" x14ac:dyDescent="0.25">
      <c r="J171"/>
      <c r="K171"/>
      <c r="L17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0:23" x14ac:dyDescent="0.25">
      <c r="J172"/>
      <c r="K172"/>
      <c r="L172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0:23" x14ac:dyDescent="0.25">
      <c r="J173"/>
      <c r="K173"/>
      <c r="L173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0:23" x14ac:dyDescent="0.25">
      <c r="J174"/>
      <c r="K174"/>
      <c r="L174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0:23" x14ac:dyDescent="0.25">
      <c r="J175"/>
      <c r="K175"/>
      <c r="L175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10:23" x14ac:dyDescent="0.25">
      <c r="J176"/>
      <c r="K176"/>
      <c r="L176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0:23" x14ac:dyDescent="0.25">
      <c r="J177"/>
      <c r="K177"/>
      <c r="L177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0:23" x14ac:dyDescent="0.25">
      <c r="J178"/>
      <c r="K178"/>
      <c r="L178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0:23" x14ac:dyDescent="0.25">
      <c r="J179"/>
      <c r="K179"/>
      <c r="L179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0:23" x14ac:dyDescent="0.25">
      <c r="J180"/>
      <c r="K180"/>
      <c r="L180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0:23" x14ac:dyDescent="0.25">
      <c r="J181"/>
      <c r="K181"/>
      <c r="L18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0:23" x14ac:dyDescent="0.25">
      <c r="J182"/>
      <c r="K182"/>
      <c r="L182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0:23" x14ac:dyDescent="0.25">
      <c r="J183"/>
      <c r="K183"/>
      <c r="L183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0:23" x14ac:dyDescent="0.25">
      <c r="J184"/>
      <c r="K184"/>
      <c r="L184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0:23" x14ac:dyDescent="0.25">
      <c r="J185"/>
      <c r="K185"/>
      <c r="L185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0:23" x14ac:dyDescent="0.25">
      <c r="J186"/>
      <c r="K186"/>
      <c r="L186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0:23" x14ac:dyDescent="0.25">
      <c r="J187"/>
      <c r="K187"/>
      <c r="L187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0:23" x14ac:dyDescent="0.25">
      <c r="J188"/>
      <c r="K188"/>
      <c r="L188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10:23" x14ac:dyDescent="0.25">
      <c r="J189"/>
      <c r="K189"/>
      <c r="L189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10:23" x14ac:dyDescent="0.25">
      <c r="J190"/>
      <c r="K190"/>
      <c r="L190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10:23" x14ac:dyDescent="0.25">
      <c r="J191"/>
      <c r="K191"/>
      <c r="L19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0:23" x14ac:dyDescent="0.25">
      <c r="J192"/>
      <c r="K192"/>
      <c r="L192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0:23" x14ac:dyDescent="0.25">
      <c r="J193"/>
      <c r="K193"/>
      <c r="L193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0:23" x14ac:dyDescent="0.25">
      <c r="J194"/>
      <c r="K194"/>
      <c r="L194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0:23" x14ac:dyDescent="0.25">
      <c r="J195"/>
      <c r="K195"/>
      <c r="L195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0:23" x14ac:dyDescent="0.25">
      <c r="J196"/>
      <c r="K196"/>
      <c r="L196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0:23" x14ac:dyDescent="0.25">
      <c r="J197"/>
      <c r="K197"/>
      <c r="L197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10:23" x14ac:dyDescent="0.25">
      <c r="J198"/>
      <c r="K198"/>
      <c r="L198"/>
      <c r="N198" s="1"/>
      <c r="O198" s="1"/>
      <c r="P198" s="1"/>
      <c r="Q198" s="1"/>
      <c r="R198" s="1"/>
      <c r="S198" s="1"/>
      <c r="T198" s="1"/>
      <c r="U198" s="1"/>
      <c r="V198" s="1"/>
      <c r="W198" s="1"/>
    </row>
  </sheetData>
  <mergeCells count="16">
    <mergeCell ref="B14:AH14"/>
    <mergeCell ref="AK14:BQ14"/>
    <mergeCell ref="BT14:CZ14"/>
    <mergeCell ref="EM14:FS14"/>
    <mergeCell ref="FI15:FS15"/>
    <mergeCell ref="B15:L15"/>
    <mergeCell ref="M15:W15"/>
    <mergeCell ref="X15:AH15"/>
    <mergeCell ref="AK15:AU15"/>
    <mergeCell ref="AV15:BF15"/>
    <mergeCell ref="BG15:BQ15"/>
    <mergeCell ref="BT15:CD15"/>
    <mergeCell ref="CE15:CO15"/>
    <mergeCell ref="CP15:CZ15"/>
    <mergeCell ref="EM15:EW15"/>
    <mergeCell ref="EX15:FH15"/>
  </mergeCells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036C6-ACEB-4753-B153-6FFE5FFDFBF7}">
  <sheetPr codeName="Sheet9"/>
  <dimension ref="A1:S132"/>
  <sheetViews>
    <sheetView zoomScale="106" zoomScaleNormal="106" workbookViewId="0">
      <selection activeCell="M10" sqref="M10"/>
    </sheetView>
  </sheetViews>
  <sheetFormatPr defaultRowHeight="15" x14ac:dyDescent="0.25"/>
  <cols>
    <col min="1" max="1" width="16.42578125" customWidth="1"/>
    <col min="9" max="9" width="13" customWidth="1"/>
    <col min="10" max="10" width="14.85546875" customWidth="1"/>
  </cols>
  <sheetData>
    <row r="1" spans="1:19" x14ac:dyDescent="0.25">
      <c r="A1" s="57" t="s">
        <v>765</v>
      </c>
      <c r="B1" s="57" t="s">
        <v>724</v>
      </c>
      <c r="C1" s="57" t="s">
        <v>725</v>
      </c>
      <c r="D1" s="57" t="s">
        <v>726</v>
      </c>
      <c r="E1" s="57" t="s">
        <v>727</v>
      </c>
      <c r="F1" s="57" t="s">
        <v>758</v>
      </c>
    </row>
    <row r="2" spans="1:19" x14ac:dyDescent="0.25">
      <c r="A2" t="s">
        <v>728</v>
      </c>
      <c r="B2" s="15">
        <v>0.42234911733093</v>
      </c>
      <c r="C2" s="15">
        <v>8.0764019493177394E-3</v>
      </c>
      <c r="D2" s="15"/>
      <c r="E2" s="15"/>
      <c r="F2" s="15"/>
    </row>
    <row r="3" spans="1:19" x14ac:dyDescent="0.25">
      <c r="A3" t="s">
        <v>729</v>
      </c>
      <c r="B3" s="15">
        <v>0.63866487822979201</v>
      </c>
      <c r="C3" s="15">
        <v>1.6019908498331501</v>
      </c>
      <c r="D3" s="15">
        <v>58.380402583788701</v>
      </c>
      <c r="E3" s="15"/>
      <c r="F3" s="15"/>
    </row>
    <row r="4" spans="1:19" x14ac:dyDescent="0.25">
      <c r="A4" t="s">
        <v>730</v>
      </c>
      <c r="B4" s="15">
        <v>0.63867131243913799</v>
      </c>
      <c r="C4" s="15">
        <v>1.60196503609936</v>
      </c>
      <c r="D4" s="15">
        <v>1.4808397376316099E-3</v>
      </c>
      <c r="F4" s="15"/>
    </row>
    <row r="5" spans="1:19" x14ac:dyDescent="0.25">
      <c r="A5" t="s">
        <v>731</v>
      </c>
      <c r="B5" s="15">
        <v>0.64530091230555298</v>
      </c>
      <c r="C5" s="15">
        <v>2.0535569426276899E-2</v>
      </c>
      <c r="D5" s="15">
        <v>8.6810267068728204E-3</v>
      </c>
      <c r="E5" s="15"/>
      <c r="F5" s="15"/>
    </row>
    <row r="6" spans="1:19" x14ac:dyDescent="0.25">
      <c r="A6" t="s">
        <v>732</v>
      </c>
      <c r="B6" s="15">
        <v>0.62693093069108297</v>
      </c>
      <c r="C6" s="15">
        <v>2.0012853388186902</v>
      </c>
      <c r="D6" s="15">
        <v>3.5685557574287603E-2</v>
      </c>
      <c r="E6" s="15"/>
      <c r="F6" s="15"/>
    </row>
    <row r="7" spans="1:19" x14ac:dyDescent="0.25">
      <c r="A7" t="s">
        <v>733</v>
      </c>
      <c r="B7" s="15">
        <v>0.57591172372710098</v>
      </c>
      <c r="C7" s="15">
        <v>1.8377454646909199</v>
      </c>
      <c r="D7" s="15">
        <v>53.319353376977602</v>
      </c>
      <c r="E7" s="15"/>
      <c r="F7" s="15"/>
    </row>
    <row r="8" spans="1:19" x14ac:dyDescent="0.25">
      <c r="A8" t="s">
        <v>734</v>
      </c>
      <c r="B8" s="15">
        <v>0.54348179449624401</v>
      </c>
      <c r="C8" s="15">
        <v>4.0693334288749901</v>
      </c>
      <c r="D8" s="15">
        <v>0.99778927226894898</v>
      </c>
      <c r="E8" s="15"/>
      <c r="F8" s="15"/>
    </row>
    <row r="9" spans="1:19" x14ac:dyDescent="0.25">
      <c r="A9" t="s">
        <v>735</v>
      </c>
      <c r="B9" s="15">
        <v>0.59371146651538498</v>
      </c>
      <c r="C9" s="15">
        <v>4.0252996509105996</v>
      </c>
      <c r="D9" s="15">
        <v>0.847045936033192</v>
      </c>
      <c r="E9" s="15">
        <v>0.33524378025856399</v>
      </c>
      <c r="F9" s="15"/>
    </row>
    <row r="10" spans="1:19" x14ac:dyDescent="0.25">
      <c r="A10" t="s">
        <v>748</v>
      </c>
      <c r="B10" s="15">
        <v>0.60246711623881899</v>
      </c>
      <c r="C10" s="15">
        <v>0.51455393642107905</v>
      </c>
      <c r="D10" s="15">
        <v>1.8949329919583699</v>
      </c>
      <c r="E10" s="15">
        <v>5.7023005628149903</v>
      </c>
      <c r="F10" s="15"/>
    </row>
    <row r="11" spans="1:19" x14ac:dyDescent="0.25">
      <c r="A11" t="s">
        <v>736</v>
      </c>
      <c r="B11" s="15">
        <v>0.593550284362239</v>
      </c>
      <c r="C11" s="15">
        <v>4.0253722662761904</v>
      </c>
      <c r="D11" s="15">
        <v>0.84749091188339898</v>
      </c>
      <c r="E11" s="15">
        <v>0.33359029993228101</v>
      </c>
      <c r="F11" s="15">
        <v>1.1576232934139999E-3</v>
      </c>
    </row>
    <row r="12" spans="1:19" x14ac:dyDescent="0.25">
      <c r="A12" t="s">
        <v>749</v>
      </c>
      <c r="B12" s="15">
        <v>0.58747846359885603</v>
      </c>
      <c r="C12" s="15">
        <v>4.0270208434255599</v>
      </c>
      <c r="D12" s="15">
        <v>2.6488924248738099</v>
      </c>
      <c r="E12" s="55">
        <v>10.112700230278</v>
      </c>
      <c r="F12" s="55">
        <v>120.62004340318499</v>
      </c>
    </row>
    <row r="14" spans="1:19" x14ac:dyDescent="0.25">
      <c r="A14" s="9"/>
      <c r="B14" s="103" t="s">
        <v>12</v>
      </c>
      <c r="C14" s="104"/>
      <c r="D14" s="104"/>
      <c r="E14" s="104"/>
      <c r="F14" s="104"/>
      <c r="G14" s="104"/>
      <c r="H14" s="104"/>
      <c r="I14" s="104"/>
      <c r="J14" s="104"/>
      <c r="K14" s="104"/>
      <c r="L14" s="105"/>
    </row>
    <row r="15" spans="1:19" x14ac:dyDescent="0.25">
      <c r="A15" s="10"/>
      <c r="B15" s="103" t="s">
        <v>20</v>
      </c>
      <c r="C15" s="104"/>
      <c r="D15" s="104"/>
      <c r="E15" s="104"/>
      <c r="F15" s="104"/>
      <c r="G15" s="104"/>
      <c r="H15" s="104"/>
      <c r="I15" s="104"/>
      <c r="J15" s="104"/>
      <c r="K15" s="104"/>
      <c r="L15" s="105"/>
    </row>
    <row r="16" spans="1:19" x14ac:dyDescent="0.25">
      <c r="A16" s="22" t="s">
        <v>10</v>
      </c>
      <c r="B16" s="7" t="s">
        <v>728</v>
      </c>
      <c r="C16" s="7" t="s">
        <v>729</v>
      </c>
      <c r="D16" s="7" t="s">
        <v>730</v>
      </c>
      <c r="E16" s="7" t="s">
        <v>731</v>
      </c>
      <c r="F16" s="7" t="s">
        <v>732</v>
      </c>
      <c r="G16" s="7" t="s">
        <v>733</v>
      </c>
      <c r="H16" s="7" t="s">
        <v>734</v>
      </c>
      <c r="I16" s="7" t="s">
        <v>735</v>
      </c>
      <c r="J16" s="7" t="s">
        <v>748</v>
      </c>
      <c r="K16" s="7" t="s">
        <v>736</v>
      </c>
      <c r="L16" s="7" t="s">
        <v>749</v>
      </c>
      <c r="N16" s="66" t="s">
        <v>769</v>
      </c>
      <c r="O16" s="66" t="s">
        <v>770</v>
      </c>
      <c r="Q16" s="7" t="s">
        <v>714</v>
      </c>
      <c r="R16" s="7" t="s">
        <v>768</v>
      </c>
      <c r="S16" s="7" t="s">
        <v>722</v>
      </c>
    </row>
    <row r="17" spans="1:19" x14ac:dyDescent="0.25">
      <c r="A17" s="1">
        <v>0</v>
      </c>
      <c r="B17" s="23" cm="1">
        <f t="array" ref="B17:B57">smixexp(A17:A57,B2,C2)</f>
        <v>1</v>
      </c>
      <c r="C17" s="8" cm="1">
        <f t="array" ref="C17:C57">Smixweibull(A17:A57,B3,C3,D3)</f>
        <v>1</v>
      </c>
      <c r="D17" s="8" cm="1">
        <f t="array" ref="D17:D57">SmixweibullPH(A17:A57,B4,C4,D4)</f>
        <v>1</v>
      </c>
      <c r="E17" s="8" cm="1">
        <f t="array" ref="E17:E57">Smixgompertz(A17:A57,B5,C5,D5)</f>
        <v>1</v>
      </c>
      <c r="F17" s="8" cm="1">
        <f t="array" ref="F17:F57">Smixgamma(A17:A57,B6,C6,D6)</f>
        <v>1</v>
      </c>
      <c r="G17" s="8" cm="1">
        <f t="array" ref="G17:G57">Smixllogis(A17:A57,B7,C7,D7)</f>
        <v>1</v>
      </c>
      <c r="H17" s="8" cm="1">
        <f t="array" ref="H17:H57">Smixlnorm(A17:A57,B8,C8,D8)</f>
        <v>1</v>
      </c>
      <c r="I17" s="8" cm="1">
        <f t="array" ref="I17:I57">Smixgengamma(A17:A57,B9,C9,D9,E9)</f>
        <v>1</v>
      </c>
      <c r="J17" s="8" cm="1">
        <f t="array" ref="J17:J57">Smixgengamma_orig(A17:A57,B10,C10,D10,E10)</f>
        <v>1</v>
      </c>
      <c r="K17" s="28" cm="1">
        <f t="array" ref="K17:K57">Smixgenf(A17:A57,B11,C11,D11,E11,F11)</f>
        <v>1</v>
      </c>
      <c r="L17" s="8" cm="1">
        <f t="array" ref="L17:L57">Smixgenf_orig(A17:A57,B12,C12,D12,E12,F12)</f>
        <v>1</v>
      </c>
      <c r="N17" s="2">
        <v>0</v>
      </c>
      <c r="O17" s="2">
        <v>1</v>
      </c>
      <c r="Q17" s="1">
        <v>0</v>
      </c>
      <c r="R17" s="1">
        <v>205</v>
      </c>
      <c r="S17" s="1">
        <v>0.02</v>
      </c>
    </row>
    <row r="18" spans="1:19" x14ac:dyDescent="0.25">
      <c r="A18" s="1">
        <f t="shared" ref="A18:A56" si="0">A17+6</f>
        <v>6</v>
      </c>
      <c r="B18" s="23">
        <v>0.97267535692120399</v>
      </c>
      <c r="C18" s="8">
        <v>0.99068254842763914</v>
      </c>
      <c r="D18" s="8">
        <v>0.99068204344951249</v>
      </c>
      <c r="E18" s="8">
        <v>0.98087367774552625</v>
      </c>
      <c r="F18" s="8">
        <v>0.99260013781371315</v>
      </c>
      <c r="G18" s="8">
        <v>0.99248106399290104</v>
      </c>
      <c r="H18" s="8">
        <v>0.99487495557686989</v>
      </c>
      <c r="I18" s="8">
        <v>0.99406670034537059</v>
      </c>
      <c r="J18" s="8">
        <v>0.99377411262733251</v>
      </c>
      <c r="K18" s="8">
        <v>0.9940679327217834</v>
      </c>
      <c r="L18" s="8">
        <v>0.99420754366719855</v>
      </c>
      <c r="N18" s="2">
        <v>6.0780287474332653</v>
      </c>
      <c r="O18" s="2">
        <v>1</v>
      </c>
      <c r="Q18" s="1">
        <v>12</v>
      </c>
      <c r="R18" s="1">
        <v>193</v>
      </c>
      <c r="S18" s="1">
        <v>0.02</v>
      </c>
    </row>
    <row r="19" spans="1:19" x14ac:dyDescent="0.25">
      <c r="A19" s="1">
        <f t="shared" si="0"/>
        <v>12</v>
      </c>
      <c r="B19" s="23">
        <v>0.9466432525397156</v>
      </c>
      <c r="C19" s="8">
        <v>0.9724514898672838</v>
      </c>
      <c r="D19" s="8">
        <v>0.97245052297356949</v>
      </c>
      <c r="E19" s="8">
        <v>0.96047949868664118</v>
      </c>
      <c r="F19" s="8">
        <v>0.97421547757980687</v>
      </c>
      <c r="G19" s="8">
        <v>0.97429671877301038</v>
      </c>
      <c r="H19" s="8">
        <v>0.97436638330445413</v>
      </c>
      <c r="I19" s="8">
        <v>0.97460786127895427</v>
      </c>
      <c r="J19" s="8">
        <v>0.97455774954926733</v>
      </c>
      <c r="K19" s="8">
        <v>0.97460776888889122</v>
      </c>
      <c r="L19" s="8">
        <v>0.97462233412755861</v>
      </c>
      <c r="N19" s="2">
        <v>6.0780287474332653</v>
      </c>
      <c r="O19" s="2">
        <v>0.99502487562189057</v>
      </c>
      <c r="Q19" s="1">
        <v>24</v>
      </c>
      <c r="R19" s="1">
        <v>183</v>
      </c>
      <c r="S19" s="1">
        <v>0.02</v>
      </c>
    </row>
    <row r="20" spans="1:19" x14ac:dyDescent="0.25">
      <c r="A20" s="1">
        <f t="shared" si="0"/>
        <v>18</v>
      </c>
      <c r="B20" s="23">
        <v>0.9218425458452304</v>
      </c>
      <c r="C20" s="8">
        <v>0.94909661809878831</v>
      </c>
      <c r="D20" s="8">
        <v>0.9490954226102839</v>
      </c>
      <c r="E20" s="8">
        <v>0.93890097488583224</v>
      </c>
      <c r="F20" s="8">
        <v>0.94934513735032189</v>
      </c>
      <c r="G20" s="8">
        <v>0.94925380825710104</v>
      </c>
      <c r="H20" s="8">
        <v>0.94581702951578261</v>
      </c>
      <c r="I20" s="8">
        <v>0.9475638557097219</v>
      </c>
      <c r="J20" s="8">
        <v>0.94796067270314055</v>
      </c>
      <c r="K20" s="8">
        <v>0.94756143467186926</v>
      </c>
      <c r="L20" s="8">
        <v>0.94734175003254251</v>
      </c>
      <c r="N20" s="2">
        <v>6.7022587268993838</v>
      </c>
      <c r="O20" s="2">
        <v>0.99502487562189057</v>
      </c>
      <c r="Q20" s="1">
        <v>36</v>
      </c>
      <c r="R20" s="1">
        <v>167</v>
      </c>
      <c r="S20" s="1">
        <v>0.02</v>
      </c>
    </row>
    <row r="21" spans="1:19" x14ac:dyDescent="0.25">
      <c r="A21" s="1">
        <f t="shared" si="0"/>
        <v>24</v>
      </c>
      <c r="B21" s="23">
        <v>0.89821498798312904</v>
      </c>
      <c r="C21" s="8">
        <v>0.92269186900842814</v>
      </c>
      <c r="D21" s="8">
        <v>0.92269070438613487</v>
      </c>
      <c r="E21" s="8">
        <v>0.91626818267144017</v>
      </c>
      <c r="F21" s="8">
        <v>0.92116786198718081</v>
      </c>
      <c r="G21" s="8">
        <v>0.92052446871468196</v>
      </c>
      <c r="H21" s="8">
        <v>0.91515130184193283</v>
      </c>
      <c r="I21" s="8">
        <v>0.91769066334950511</v>
      </c>
      <c r="J21" s="8">
        <v>0.91839173157909026</v>
      </c>
      <c r="K21" s="8">
        <v>0.91768734327881329</v>
      </c>
      <c r="L21" s="8">
        <v>0.91730927301078002</v>
      </c>
      <c r="N21" s="2">
        <v>6.7022587268993838</v>
      </c>
      <c r="O21" s="2">
        <v>0.99004975124378114</v>
      </c>
      <c r="Q21" s="1">
        <v>48</v>
      </c>
      <c r="R21" s="1">
        <v>160</v>
      </c>
      <c r="S21" s="1">
        <v>0.02</v>
      </c>
    </row>
    <row r="22" spans="1:19" x14ac:dyDescent="0.25">
      <c r="A22" s="1">
        <f t="shared" si="0"/>
        <v>30</v>
      </c>
      <c r="B22" s="23">
        <v>0.87570508544671932</v>
      </c>
      <c r="C22" s="8">
        <v>0.89477859900612933</v>
      </c>
      <c r="D22" s="8">
        <v>0.8947777042602113</v>
      </c>
      <c r="E22" s="8">
        <v>0.89276329892114703</v>
      </c>
      <c r="F22" s="8">
        <v>0.8918798937070278</v>
      </c>
      <c r="G22" s="8">
        <v>0.89062592704812205</v>
      </c>
      <c r="H22" s="8">
        <v>0.88516230552554198</v>
      </c>
      <c r="I22" s="8">
        <v>0.88768973726034672</v>
      </c>
      <c r="J22" s="8">
        <v>0.88847283987232273</v>
      </c>
      <c r="K22" s="8">
        <v>0.88768755201418659</v>
      </c>
      <c r="L22" s="8">
        <v>0.88726909313852242</v>
      </c>
      <c r="N22" s="2">
        <v>6.8993839835728954</v>
      </c>
      <c r="O22" s="2">
        <v>0.99004975124378114</v>
      </c>
      <c r="Q22" s="1">
        <v>60</v>
      </c>
      <c r="R22" s="1">
        <v>122</v>
      </c>
      <c r="S22" s="1">
        <v>0.02</v>
      </c>
    </row>
    <row r="23" spans="1:19" x14ac:dyDescent="0.25">
      <c r="A23" s="1">
        <f t="shared" si="0"/>
        <v>36</v>
      </c>
      <c r="B23" s="23">
        <v>0.85425996974090157</v>
      </c>
      <c r="C23" s="8">
        <v>0.86655690182935807</v>
      </c>
      <c r="D23" s="8">
        <v>0.8665564734736001</v>
      </c>
      <c r="E23" s="8">
        <v>0.86862429612549041</v>
      </c>
      <c r="F23" s="8">
        <v>0.86295463858275612</v>
      </c>
      <c r="G23" s="8">
        <v>0.86132736092228723</v>
      </c>
      <c r="H23" s="8">
        <v>0.85703318267244788</v>
      </c>
      <c r="I23" s="8">
        <v>0.85898338820421904</v>
      </c>
      <c r="J23" s="8">
        <v>0.85966216010998708</v>
      </c>
      <c r="K23" s="8">
        <v>0.85898401530311097</v>
      </c>
      <c r="L23" s="8">
        <v>0.85862362930205616</v>
      </c>
      <c r="N23" s="2">
        <v>6.8993839835728954</v>
      </c>
      <c r="O23" s="2">
        <v>0.98507462686567171</v>
      </c>
      <c r="Q23" s="1">
        <v>72</v>
      </c>
      <c r="R23" s="1">
        <v>83</v>
      </c>
      <c r="S23" s="1">
        <v>0.02</v>
      </c>
    </row>
    <row r="24" spans="1:19" x14ac:dyDescent="0.25">
      <c r="A24" s="1">
        <f t="shared" si="0"/>
        <v>42</v>
      </c>
      <c r="B24" s="23">
        <v>0.83382927321113942</v>
      </c>
      <c r="C24" s="8">
        <v>0.83895332851278115</v>
      </c>
      <c r="D24" s="8">
        <v>0.83895351121923445</v>
      </c>
      <c r="E24" s="8">
        <v>0.84414572698981694</v>
      </c>
      <c r="F24" s="8">
        <v>0.83533931269526085</v>
      </c>
      <c r="G24" s="8">
        <v>0.83371976359136779</v>
      </c>
      <c r="H24" s="8">
        <v>0.83118224847485589</v>
      </c>
      <c r="I24" s="8">
        <v>0.83225895952289963</v>
      </c>
      <c r="J24" s="8">
        <v>0.8327139066352125</v>
      </c>
      <c r="K24" s="8">
        <v>0.83226342102086348</v>
      </c>
      <c r="L24" s="8">
        <v>0.83202394573369765</v>
      </c>
      <c r="N24" s="2">
        <v>7.6221765913757702</v>
      </c>
      <c r="O24" s="2">
        <v>0.98507462686567171</v>
      </c>
      <c r="Q24" s="1">
        <v>84</v>
      </c>
      <c r="R24" s="1">
        <v>64</v>
      </c>
      <c r="S24" s="1">
        <v>0.02</v>
      </c>
    </row>
    <row r="25" spans="1:19" x14ac:dyDescent="0.25">
      <c r="A25" s="1">
        <f t="shared" si="0"/>
        <v>48</v>
      </c>
      <c r="B25" s="23">
        <v>0.81436501074609724</v>
      </c>
      <c r="C25" s="8">
        <v>0.81265895764462859</v>
      </c>
      <c r="D25" s="8">
        <v>0.81265984300058713</v>
      </c>
      <c r="E25" s="8">
        <v>0.81967541718504899</v>
      </c>
      <c r="F25" s="8">
        <v>0.80960284005907213</v>
      </c>
      <c r="G25" s="8">
        <v>0.8083699691797307</v>
      </c>
      <c r="H25" s="8">
        <v>0.80766933119189388</v>
      </c>
      <c r="I25" s="8">
        <v>0.80778925672568691</v>
      </c>
      <c r="J25" s="8">
        <v>0.80796459587850145</v>
      </c>
      <c r="K25" s="8">
        <v>0.80779793068176264</v>
      </c>
      <c r="L25" s="8">
        <v>0.80770857921635397</v>
      </c>
      <c r="N25" s="2">
        <v>7.6221765913757702</v>
      </c>
      <c r="O25" s="2">
        <v>0.98009950248756228</v>
      </c>
      <c r="Q25" s="1">
        <v>96</v>
      </c>
      <c r="R25" s="1">
        <v>55</v>
      </c>
      <c r="S25" s="1">
        <v>0.02</v>
      </c>
    </row>
    <row r="26" spans="1:19" x14ac:dyDescent="0.25">
      <c r="A26" s="1">
        <f t="shared" si="0"/>
        <v>54</v>
      </c>
      <c r="B26" s="23">
        <v>0.7958214670761028</v>
      </c>
      <c r="C26" s="8">
        <v>0.78816005472113648</v>
      </c>
      <c r="D26" s="8">
        <v>0.78816168526837493</v>
      </c>
      <c r="E26" s="8">
        <v>0.79560591381975121</v>
      </c>
      <c r="F26" s="8">
        <v>0.78604637570410008</v>
      </c>
      <c r="G26" s="8">
        <v>0.78548447101254637</v>
      </c>
      <c r="H26" s="8">
        <v>0.78639106868072484</v>
      </c>
      <c r="I26" s="8">
        <v>0.7856168500157007</v>
      </c>
      <c r="J26" s="8">
        <v>0.78550652137525856</v>
      </c>
      <c r="K26" s="8">
        <v>0.78562959593432258</v>
      </c>
      <c r="L26" s="8">
        <v>0.78569347083741115</v>
      </c>
      <c r="N26" s="2">
        <v>9.1663244353182751</v>
      </c>
      <c r="O26" s="2">
        <v>0.98009950248756228</v>
      </c>
      <c r="Q26" s="1">
        <v>108</v>
      </c>
      <c r="R26" s="1">
        <v>38</v>
      </c>
      <c r="S26" s="1">
        <v>0.02</v>
      </c>
    </row>
    <row r="27" spans="1:19" x14ac:dyDescent="0.25">
      <c r="A27" s="1">
        <f t="shared" si="0"/>
        <v>60</v>
      </c>
      <c r="B27" s="23">
        <v>0.77815508940273492</v>
      </c>
      <c r="C27" s="8">
        <v>0.76576732521498814</v>
      </c>
      <c r="D27" s="8">
        <v>0.76576970167794789</v>
      </c>
      <c r="E27" s="8">
        <v>0.77235978866737487</v>
      </c>
      <c r="F27" s="8">
        <v>0.76478532273128885</v>
      </c>
      <c r="G27" s="8">
        <v>0.7650455295976436</v>
      </c>
      <c r="H27" s="8">
        <v>0.76717614479836826</v>
      </c>
      <c r="I27" s="8">
        <v>0.76566023187815524</v>
      </c>
      <c r="J27" s="8">
        <v>0.76529266928699602</v>
      </c>
      <c r="K27" s="8">
        <v>0.76567653878824404</v>
      </c>
      <c r="L27" s="8">
        <v>0.76587864304706088</v>
      </c>
      <c r="N27" s="2">
        <v>9.1663244353182751</v>
      </c>
      <c r="O27" s="2">
        <v>0.97509899482180951</v>
      </c>
      <c r="Q27" s="1">
        <v>120</v>
      </c>
      <c r="R27" s="1">
        <v>23</v>
      </c>
      <c r="S27" s="1">
        <v>0.02</v>
      </c>
    </row>
    <row r="28" spans="1:19" x14ac:dyDescent="0.25">
      <c r="A28" s="1">
        <f t="shared" si="0"/>
        <v>66</v>
      </c>
      <c r="B28" s="23">
        <v>0.76132438510735878</v>
      </c>
      <c r="C28" s="8">
        <v>0.74564489373613452</v>
      </c>
      <c r="D28" s="8">
        <v>0.7456479838165927</v>
      </c>
      <c r="E28" s="8">
        <v>0.75036844794196433</v>
      </c>
      <c r="F28" s="8">
        <v>0.74580970581336448</v>
      </c>
      <c r="G28" s="8">
        <v>0.74690987851813817</v>
      </c>
      <c r="H28" s="8">
        <v>0.74983200722840093</v>
      </c>
      <c r="I28" s="8">
        <v>0.74777519201294562</v>
      </c>
      <c r="J28" s="8">
        <v>0.74720026837386544</v>
      </c>
      <c r="K28" s="8">
        <v>0.74779431207526004</v>
      </c>
      <c r="L28" s="8">
        <v>0.74810833893762241</v>
      </c>
      <c r="N28" s="2">
        <v>9.6919917864476393</v>
      </c>
      <c r="O28" s="2">
        <v>0.97509899482180951</v>
      </c>
      <c r="Q28" s="1">
        <v>132</v>
      </c>
      <c r="R28" s="1">
        <v>12</v>
      </c>
      <c r="S28" s="1">
        <v>0.02</v>
      </c>
    </row>
    <row r="29" spans="1:19" x14ac:dyDescent="0.25">
      <c r="A29" s="1">
        <f t="shared" si="0"/>
        <v>72</v>
      </c>
      <c r="B29" s="23">
        <v>0.74528982429835788</v>
      </c>
      <c r="C29" s="8">
        <v>0.72783856468512009</v>
      </c>
      <c r="D29" s="8">
        <v>0.72784231219634954</v>
      </c>
      <c r="E29" s="8">
        <v>0.73004500259762906</v>
      </c>
      <c r="F29" s="8">
        <v>0.72902818717305817</v>
      </c>
      <c r="G29" s="8">
        <v>0.73087403231704773</v>
      </c>
      <c r="H29" s="8">
        <v>0.73416747017796224</v>
      </c>
      <c r="I29" s="8">
        <v>0.73179026130713543</v>
      </c>
      <c r="J29" s="8">
        <v>0.73106923015467773</v>
      </c>
      <c r="K29" s="8">
        <v>0.73181131723718607</v>
      </c>
      <c r="L29" s="8">
        <v>0.73220484773473182</v>
      </c>
      <c r="N29" s="2">
        <v>9.6919917864476393</v>
      </c>
      <c r="O29" s="2">
        <v>0.97009848715605662</v>
      </c>
      <c r="Q29" s="1">
        <v>144</v>
      </c>
      <c r="R29" s="1">
        <v>7</v>
      </c>
      <c r="S29" s="1">
        <v>0.02</v>
      </c>
    </row>
    <row r="30" spans="1:19" x14ac:dyDescent="0.25">
      <c r="A30" s="1">
        <f t="shared" si="0"/>
        <v>78</v>
      </c>
      <c r="B30" s="23">
        <v>0.73001374696817878</v>
      </c>
      <c r="C30" s="8">
        <v>0.71230251057200988</v>
      </c>
      <c r="D30" s="8">
        <v>0.71230684404075273</v>
      </c>
      <c r="E30" s="8">
        <v>0.71175298149165411</v>
      </c>
      <c r="F30" s="8">
        <v>0.71429978208545331</v>
      </c>
      <c r="G30" s="8">
        <v>0.71671443456337769</v>
      </c>
      <c r="H30" s="8">
        <v>0.72000311052365296</v>
      </c>
      <c r="I30" s="8">
        <v>0.71752696796481474</v>
      </c>
      <c r="J30" s="8">
        <v>0.71672521816670109</v>
      </c>
      <c r="K30" s="8">
        <v>0.71754903356875321</v>
      </c>
      <c r="L30" s="8">
        <v>0.71798727101577053</v>
      </c>
      <c r="N30" s="2">
        <v>12.681724845995893</v>
      </c>
      <c r="O30" s="2">
        <v>0.97009848715605662</v>
      </c>
      <c r="Q30" s="1">
        <v>156</v>
      </c>
      <c r="R30" s="1">
        <v>2</v>
      </c>
      <c r="S30" s="1">
        <v>0.02</v>
      </c>
    </row>
    <row r="31" spans="1:19" x14ac:dyDescent="0.25">
      <c r="A31" s="1">
        <f t="shared" si="0"/>
        <v>84</v>
      </c>
      <c r="B31" s="23">
        <v>0.71546027454212868</v>
      </c>
      <c r="C31" s="8">
        <v>0.69892358112870856</v>
      </c>
      <c r="D31" s="8">
        <v>0.69892842130644561</v>
      </c>
      <c r="E31" s="8">
        <v>0.69577408341367952</v>
      </c>
      <c r="F31" s="8">
        <v>0.70145637706761743</v>
      </c>
      <c r="G31" s="8">
        <v>0.70421040801098456</v>
      </c>
      <c r="H31" s="8">
        <v>0.70717543677770678</v>
      </c>
      <c r="I31" s="8">
        <v>0.70481111948760311</v>
      </c>
      <c r="J31" s="8">
        <v>0.70399324206110947</v>
      </c>
      <c r="K31" s="8">
        <v>0.70483327680459418</v>
      </c>
      <c r="L31" s="8">
        <v>0.70528159437179827</v>
      </c>
      <c r="N31" s="2">
        <v>12.681724845995893</v>
      </c>
      <c r="O31" s="2">
        <v>0.96507207012415996</v>
      </c>
      <c r="Q31" s="1">
        <v>168</v>
      </c>
      <c r="R31" s="1">
        <v>1</v>
      </c>
      <c r="S31" s="1">
        <v>0.02</v>
      </c>
    </row>
    <row r="32" spans="1:19" x14ac:dyDescent="0.25">
      <c r="A32" s="1">
        <f t="shared" si="0"/>
        <v>90</v>
      </c>
      <c r="B32" s="23">
        <v>0.70159522561118604</v>
      </c>
      <c r="C32" s="8">
        <v>0.68754264569763401</v>
      </c>
      <c r="D32" s="8">
        <v>0.68754791168528251</v>
      </c>
      <c r="E32" s="8">
        <v>0.68227947023168989</v>
      </c>
      <c r="F32" s="8">
        <v>0.69031841594670729</v>
      </c>
      <c r="G32" s="8">
        <v>0.69315610193546662</v>
      </c>
      <c r="H32" s="8">
        <v>0.69553790347823929</v>
      </c>
      <c r="I32" s="8">
        <v>0.69347875906581569</v>
      </c>
      <c r="J32" s="8">
        <v>0.69270538824898875</v>
      </c>
      <c r="K32" s="8">
        <v>0.69350013672225719</v>
      </c>
      <c r="L32" s="8">
        <v>0.69392572175410439</v>
      </c>
      <c r="N32" s="2">
        <v>13.995893223819301</v>
      </c>
      <c r="O32" s="2">
        <v>0.96507207012415996</v>
      </c>
      <c r="Q32" s="1">
        <v>180</v>
      </c>
      <c r="R32" s="1">
        <v>1</v>
      </c>
      <c r="S32" s="1">
        <v>0.02</v>
      </c>
    </row>
    <row r="33" spans="1:15" x14ac:dyDescent="0.25">
      <c r="A33" s="1">
        <f t="shared" si="0"/>
        <v>96</v>
      </c>
      <c r="B33" s="23">
        <v>0.68838603565090317</v>
      </c>
      <c r="C33" s="8">
        <v>0.67797264514583255</v>
      </c>
      <c r="D33" s="8">
        <v>0.67797825904271791</v>
      </c>
      <c r="E33" s="8">
        <v>0.67130986486395305</v>
      </c>
      <c r="F33" s="8">
        <v>0.68070554967174324</v>
      </c>
      <c r="G33" s="8">
        <v>0.68336576367460622</v>
      </c>
      <c r="H33" s="8">
        <v>0.68496037570178414</v>
      </c>
      <c r="I33" s="8">
        <v>0.6833789671052275</v>
      </c>
      <c r="J33" s="8">
        <v>0.68270492378177416</v>
      </c>
      <c r="K33" s="8">
        <v>0.68339876429540447</v>
      </c>
      <c r="L33" s="8">
        <v>0.68377160274634186</v>
      </c>
      <c r="N33" s="2">
        <v>13.995893223819301</v>
      </c>
      <c r="O33" s="2">
        <v>0.96004565309226331</v>
      </c>
    </row>
    <row r="34" spans="1:15" x14ac:dyDescent="0.25">
      <c r="A34" s="1">
        <f t="shared" si="0"/>
        <v>102</v>
      </c>
      <c r="B34" s="23">
        <v>0.67580168053785028</v>
      </c>
      <c r="C34" s="8">
        <v>0.67001327665787414</v>
      </c>
      <c r="D34" s="8">
        <v>0.67001916679629447</v>
      </c>
      <c r="E34" s="8">
        <v>0.6627694349829385</v>
      </c>
      <c r="F34" s="8">
        <v>0.67244360771147893</v>
      </c>
      <c r="G34" s="8">
        <v>0.67467516384155901</v>
      </c>
      <c r="H34" s="8">
        <v>0.67532788830667145</v>
      </c>
      <c r="I34" s="8">
        <v>0.67437481268156507</v>
      </c>
      <c r="J34" s="8">
        <v>0.67384817090942928</v>
      </c>
      <c r="K34" s="8">
        <v>0.67439231253934928</v>
      </c>
      <c r="L34" s="8">
        <v>0.67468570630039015</v>
      </c>
      <c r="N34" s="2">
        <v>15.408624229979466</v>
      </c>
      <c r="O34" s="2">
        <v>0.96004565309226331</v>
      </c>
    </row>
    <row r="35" spans="1:15" x14ac:dyDescent="0.25">
      <c r="A35" s="1">
        <f t="shared" si="0"/>
        <v>108</v>
      </c>
      <c r="B35" s="23">
        <v>0.66381260368396333</v>
      </c>
      <c r="C35" s="8">
        <v>0.66346243725656595</v>
      </c>
      <c r="D35" s="8">
        <v>0.66346854018178414</v>
      </c>
      <c r="E35" s="8">
        <v>0.65643673255011903</v>
      </c>
      <c r="F35" s="8">
        <v>0.66536891282461352</v>
      </c>
      <c r="G35" s="8">
        <v>0.66694094148573635</v>
      </c>
      <c r="H35" s="8">
        <v>0.66653914306190698</v>
      </c>
      <c r="I35" s="8">
        <v>0.6663432445164682</v>
      </c>
      <c r="J35" s="8">
        <v>0.66600503089524532</v>
      </c>
      <c r="K35" s="8">
        <v>0.66635781989429077</v>
      </c>
      <c r="L35" s="8">
        <v>0.6665485830799357</v>
      </c>
      <c r="N35" s="2">
        <v>15.408624229979466</v>
      </c>
      <c r="O35" s="2">
        <v>0.95501923606036665</v>
      </c>
    </row>
    <row r="36" spans="1:15" x14ac:dyDescent="0.25">
      <c r="A36" s="1">
        <f t="shared" si="0"/>
        <v>114</v>
      </c>
      <c r="B36" s="23">
        <v>0.65239064661766</v>
      </c>
      <c r="C36" s="8">
        <v>0.65812469997857381</v>
      </c>
      <c r="D36" s="8">
        <v>0.65813096138815597</v>
      </c>
      <c r="E36" s="8">
        <v>0.65199280084648548</v>
      </c>
      <c r="F36" s="8">
        <v>0.65933070393384496</v>
      </c>
      <c r="G36" s="8">
        <v>0.66003893058890228</v>
      </c>
      <c r="H36" s="8">
        <v>0.65850497177948142</v>
      </c>
      <c r="I36" s="8">
        <v>0.65917440051074938</v>
      </c>
      <c r="J36" s="8">
        <v>0.65905871122171145</v>
      </c>
      <c r="K36" s="8">
        <v>0.65918551449533125</v>
      </c>
      <c r="L36" s="8">
        <v>0.65925395624417837</v>
      </c>
      <c r="N36" s="2">
        <v>17.37987679671458</v>
      </c>
      <c r="O36" s="2">
        <v>0.95501923606036665</v>
      </c>
    </row>
    <row r="37" spans="1:15" x14ac:dyDescent="0.25">
      <c r="A37" s="1">
        <f t="shared" si="0"/>
        <v>120</v>
      </c>
      <c r="B37" s="23">
        <v>0.64150898284867841</v>
      </c>
      <c r="C37" s="8">
        <v>0.65381719084591383</v>
      </c>
      <c r="D37" s="8">
        <v>0.6538235657211513</v>
      </c>
      <c r="E37" s="8">
        <v>0.64906252114833485</v>
      </c>
      <c r="F37" s="8">
        <v>0.65419223585124753</v>
      </c>
      <c r="G37" s="8">
        <v>0.65386208220265885</v>
      </c>
      <c r="H37" s="8">
        <v>0.65114687752013078</v>
      </c>
      <c r="I37" s="8">
        <v>0.65277062567987942</v>
      </c>
      <c r="J37" s="8">
        <v>0.65290500551933639</v>
      </c>
      <c r="K37" s="8">
        <v>0.65277782859607902</v>
      </c>
      <c r="L37" s="8">
        <v>0.6527075999075207</v>
      </c>
      <c r="N37" s="2">
        <v>17.37987679671458</v>
      </c>
      <c r="O37" s="2">
        <v>0.94996622422935939</v>
      </c>
    </row>
    <row r="38" spans="1:15" x14ac:dyDescent="0.25">
      <c r="A38" s="1">
        <f t="shared" si="0"/>
        <v>126</v>
      </c>
      <c r="B38" s="23">
        <v>0.63114205486131103</v>
      </c>
      <c r="C38" s="8">
        <v>0.65037328142951101</v>
      </c>
      <c r="D38" s="8">
        <v>0.65037973358474321</v>
      </c>
      <c r="E38" s="8">
        <v>0.64726153561654121</v>
      </c>
      <c r="F38" s="8">
        <v>0.6498309757194547</v>
      </c>
      <c r="G38" s="8">
        <v>0.64831832202123529</v>
      </c>
      <c r="H38" s="8">
        <v>0.64439570335876795</v>
      </c>
      <c r="I38" s="8">
        <v>0.64704537217597458</v>
      </c>
      <c r="J38" s="8">
        <v>0.64745134531400206</v>
      </c>
      <c r="K38" s="8">
        <v>0.64704829636871841</v>
      </c>
      <c r="L38" s="8">
        <v>0.64682615583372038</v>
      </c>
      <c r="N38" s="2">
        <v>20.402464065708418</v>
      </c>
      <c r="O38" s="2">
        <v>0.94996622422935939</v>
      </c>
    </row>
    <row r="39" spans="1:15" x14ac:dyDescent="0.25">
      <c r="A39" s="1">
        <f t="shared" si="0"/>
        <v>132</v>
      </c>
      <c r="B39" s="23">
        <v>0.62126551408805053</v>
      </c>
      <c r="C39" s="8">
        <v>0.64764451998159589</v>
      </c>
      <c r="D39" s="8">
        <v>0.64765102123344676</v>
      </c>
      <c r="E39" s="8">
        <v>0.64623914115462833</v>
      </c>
      <c r="F39" s="8">
        <v>0.64613820338878503</v>
      </c>
      <c r="G39" s="8">
        <v>0.64332851920115008</v>
      </c>
      <c r="H39" s="8">
        <v>0.63819044484728371</v>
      </c>
      <c r="I39" s="8">
        <v>0.64192208341746326</v>
      </c>
      <c r="J39" s="8">
        <v>0.64261575944516602</v>
      </c>
      <c r="K39" s="8">
        <v>0.64192043674363575</v>
      </c>
      <c r="L39" s="8">
        <v>0.64153597328343159</v>
      </c>
      <c r="N39" s="2">
        <v>20.402464065708418</v>
      </c>
      <c r="O39" s="2">
        <v>0.94491321239835213</v>
      </c>
    </row>
    <row r="40" spans="1:15" x14ac:dyDescent="0.25">
      <c r="A40" s="1">
        <f t="shared" si="0"/>
        <v>138</v>
      </c>
      <c r="B40" s="23">
        <v>0.61185616372266327</v>
      </c>
      <c r="C40" s="8">
        <v>0.6455012037124358</v>
      </c>
      <c r="D40" s="8">
        <v>0.64550773283783158</v>
      </c>
      <c r="E40" s="8">
        <v>0.6457085289911032</v>
      </c>
      <c r="F40" s="8">
        <v>0.64301823811470871</v>
      </c>
      <c r="G40" s="8">
        <v>0.63882464696239283</v>
      </c>
      <c r="H40" s="8">
        <v>0.63247720506562266</v>
      </c>
      <c r="I40" s="8">
        <v>0.63733312008194676</v>
      </c>
      <c r="J40" s="8">
        <v>0.63832582366559643</v>
      </c>
      <c r="K40" s="8">
        <v>0.63732667877224236</v>
      </c>
      <c r="L40" s="8">
        <v>0.63677201731703914</v>
      </c>
      <c r="N40" s="2">
        <v>20.6652977412731</v>
      </c>
      <c r="O40" s="2">
        <v>0.94491321239835213</v>
      </c>
    </row>
    <row r="41" spans="1:15" x14ac:dyDescent="0.25">
      <c r="A41" s="1">
        <f t="shared" si="0"/>
        <v>144</v>
      </c>
      <c r="B41" s="23">
        <v>0.60289190423837979</v>
      </c>
      <c r="C41" s="8">
        <v>0.6438319552356907</v>
      </c>
      <c r="D41" s="8">
        <v>0.64383849685100958</v>
      </c>
      <c r="E41" s="8">
        <v>0.64545966464496207</v>
      </c>
      <c r="F41" s="8">
        <v>0.6403874504031859</v>
      </c>
      <c r="G41" s="8">
        <v>0.63474816197368034</v>
      </c>
      <c r="H41" s="8">
        <v>0.62720828278167351</v>
      </c>
      <c r="I41" s="8">
        <v>0.6332187584611837</v>
      </c>
      <c r="J41" s="8">
        <v>0.63451764876770356</v>
      </c>
      <c r="K41" s="8">
        <v>0.63320735980910914</v>
      </c>
      <c r="L41" s="8">
        <v>0.63247686709615403</v>
      </c>
      <c r="N41" s="2">
        <v>20.6652977412731</v>
      </c>
      <c r="O41" s="2">
        <v>0.93986020056734487</v>
      </c>
    </row>
    <row r="42" spans="1:15" x14ac:dyDescent="0.25">
      <c r="A42" s="1">
        <f t="shared" si="0"/>
        <v>150</v>
      </c>
      <c r="B42" s="23">
        <v>0.59435168148323958</v>
      </c>
      <c r="C42" s="8">
        <v>0.64254261572540317</v>
      </c>
      <c r="D42" s="8">
        <v>0.64254915918351063</v>
      </c>
      <c r="E42" s="8">
        <v>0.64535554946701579</v>
      </c>
      <c r="F42" s="8">
        <v>0.63817317050582978</v>
      </c>
      <c r="G42" s="8">
        <v>0.63104860085322956</v>
      </c>
      <c r="H42" s="8">
        <v>0.62234138072746026</v>
      </c>
      <c r="I42" s="8">
        <v>0.62952627504353109</v>
      </c>
      <c r="J42" s="8">
        <v>0.63113493378918006</v>
      </c>
      <c r="K42" s="8">
        <v>0.6295098102286375</v>
      </c>
      <c r="L42" s="8">
        <v>0.62859981168287526</v>
      </c>
      <c r="N42" s="2">
        <v>21.650924024640656</v>
      </c>
      <c r="O42" s="2">
        <v>0.93986020056734487</v>
      </c>
    </row>
    <row r="43" spans="1:15" x14ac:dyDescent="0.25">
      <c r="A43" s="1">
        <f t="shared" si="0"/>
        <v>156</v>
      </c>
      <c r="B43" s="23">
        <v>0.58621543723068459</v>
      </c>
      <c r="C43" s="8">
        <v>0.64155471255897056</v>
      </c>
      <c r="D43" s="8">
        <v>0.64156125092900673</v>
      </c>
      <c r="E43" s="8">
        <v>0.64531726218134688</v>
      </c>
      <c r="F43" s="8">
        <v>0.63631257007904629</v>
      </c>
      <c r="G43" s="8">
        <v>0.62768237794654635</v>
      </c>
      <c r="H43" s="8">
        <v>0.61783892009220076</v>
      </c>
      <c r="I43" s="8">
        <v>0.62620912121285188</v>
      </c>
      <c r="J43" s="8">
        <v>0.62812809707595751</v>
      </c>
      <c r="K43" s="8">
        <v>0.62618752845662717</v>
      </c>
      <c r="L43" s="8">
        <v>0.62509604275394559</v>
      </c>
      <c r="N43" s="2">
        <v>21.650924024640656</v>
      </c>
      <c r="O43" s="2">
        <v>0.93480718873633761</v>
      </c>
    </row>
    <row r="44" spans="1:15" x14ac:dyDescent="0.25">
      <c r="A44" s="1">
        <f t="shared" si="0"/>
        <v>162</v>
      </c>
      <c r="B44" s="23">
        <v>0.57846406206925904</v>
      </c>
      <c r="C44" s="8">
        <v>0.64080370514249008</v>
      </c>
      <c r="D44" s="8">
        <v>0.64081023431062056</v>
      </c>
      <c r="E44" s="8">
        <v>0.64530508901555417</v>
      </c>
      <c r="F44" s="8">
        <v>0.63475156787493725</v>
      </c>
      <c r="G44" s="8">
        <v>0.62461176261888007</v>
      </c>
      <c r="H44" s="8">
        <v>0.61366744776853122</v>
      </c>
      <c r="I44" s="8">
        <v>0.62322618615031855</v>
      </c>
      <c r="J44" s="8">
        <v>0.6254534894117969</v>
      </c>
      <c r="K44" s="8">
        <v>0.62319944432444441</v>
      </c>
      <c r="L44" s="8">
        <v>0.62192593921786099</v>
      </c>
      <c r="N44" s="2">
        <v>21.913757700205338</v>
      </c>
      <c r="O44" s="2">
        <v>0.93480718873633761</v>
      </c>
    </row>
    <row r="45" spans="1:15" x14ac:dyDescent="0.25">
      <c r="A45" s="1">
        <f t="shared" si="0"/>
        <v>168</v>
      </c>
      <c r="B45" s="23">
        <v>0.57107935052077063</v>
      </c>
      <c r="C45" s="8">
        <v>0.64023716264009756</v>
      </c>
      <c r="D45" s="8">
        <v>0.64024368054853675</v>
      </c>
      <c r="E45" s="8">
        <v>0.64530180445689278</v>
      </c>
      <c r="F45" s="8">
        <v>0.63344379172666188</v>
      </c>
      <c r="G45" s="8">
        <v>0.6218040129006821</v>
      </c>
      <c r="H45" s="8">
        <v>0.60979712396049623</v>
      </c>
      <c r="I45" s="8">
        <v>0.6205411428311558</v>
      </c>
      <c r="J45" s="8">
        <v>0.62307268823482609</v>
      </c>
      <c r="K45" s="8">
        <v>0.62050926558249264</v>
      </c>
      <c r="L45" s="8">
        <v>0.61905443651682757</v>
      </c>
      <c r="N45" s="2">
        <v>21.913757700205338</v>
      </c>
      <c r="O45" s="2">
        <v>0.92975417690533046</v>
      </c>
    </row>
    <row r="46" spans="1:15" x14ac:dyDescent="0.25">
      <c r="A46" s="1">
        <f t="shared" si="0"/>
        <v>174</v>
      </c>
      <c r="B46" s="23">
        <v>0.56404395828149878</v>
      </c>
      <c r="C46" s="8">
        <v>0.63981298351457516</v>
      </c>
      <c r="D46" s="8">
        <v>0.63981948954086953</v>
      </c>
      <c r="E46" s="8">
        <v>0.6453010679510498</v>
      </c>
      <c r="F46" s="8">
        <v>0.63234961576632676</v>
      </c>
      <c r="G46" s="8">
        <v>0.61923064327009758</v>
      </c>
      <c r="H46" s="8">
        <v>0.60620127908132815</v>
      </c>
      <c r="I46" s="8">
        <v>0.61812187043063416</v>
      </c>
      <c r="J46" s="8">
        <v>0.6209518689586232</v>
      </c>
      <c r="K46" s="8">
        <v>0.61808490084849355</v>
      </c>
      <c r="L46" s="8">
        <v>0.61645047252340213</v>
      </c>
      <c r="N46" s="2">
        <v>23.589322381930184</v>
      </c>
      <c r="O46" s="2">
        <v>0.92975417690533046</v>
      </c>
    </row>
    <row r="47" spans="1:15" x14ac:dyDescent="0.25">
      <c r="A47" s="1">
        <f t="shared" si="0"/>
        <v>180</v>
      </c>
      <c r="B47" s="23">
        <v>0.55734136148602376</v>
      </c>
      <c r="C47" s="8">
        <v>0.63949773009769495</v>
      </c>
      <c r="D47" s="8">
        <v>0.63950422456591116</v>
      </c>
      <c r="E47" s="8">
        <v>0.64530093390296128</v>
      </c>
      <c r="F47" s="8">
        <v>0.63143528242543601</v>
      </c>
      <c r="G47" s="8">
        <v>0.61686680639554548</v>
      </c>
      <c r="H47" s="8">
        <v>0.60285603022651335</v>
      </c>
      <c r="I47" s="8">
        <v>0.61593994586303014</v>
      </c>
      <c r="J47" s="8">
        <v>0.6190612478173233</v>
      </c>
      <c r="K47" s="8">
        <v>0.61589795168803529</v>
      </c>
      <c r="L47" s="8">
        <v>0.61408650185101543</v>
      </c>
      <c r="N47" s="2">
        <v>23.589322381930184</v>
      </c>
      <c r="O47" s="2">
        <v>0.92470116507432321</v>
      </c>
    </row>
    <row r="48" spans="1:15" x14ac:dyDescent="0.25">
      <c r="A48" s="1">
        <f t="shared" si="0"/>
        <v>186</v>
      </c>
      <c r="B48" s="23">
        <v>0.55095581789800019</v>
      </c>
      <c r="C48" s="8">
        <v>0.63926512199127972</v>
      </c>
      <c r="D48" s="8">
        <v>0.63927160580052278</v>
      </c>
      <c r="E48" s="8">
        <v>0.64530091461865902</v>
      </c>
      <c r="F48" s="8">
        <v>0.63067211229436182</v>
      </c>
      <c r="G48" s="8">
        <v>0.61469077109445669</v>
      </c>
      <c r="H48" s="8">
        <v>0.59973994879668591</v>
      </c>
      <c r="I48" s="8">
        <v>0.6139701971741709</v>
      </c>
      <c r="J48" s="8">
        <v>0.61737458994705197</v>
      </c>
      <c r="K48" s="8">
        <v>0.61392326653070228</v>
      </c>
      <c r="L48" s="8">
        <v>0.6119380707454245</v>
      </c>
      <c r="N48" s="2">
        <v>24.706365503080082</v>
      </c>
      <c r="O48" s="2">
        <v>0.92470116507432321</v>
      </c>
    </row>
    <row r="49" spans="1:15" x14ac:dyDescent="0.25">
      <c r="A49" s="1">
        <f t="shared" si="0"/>
        <v>192</v>
      </c>
      <c r="B49" s="23">
        <v>0.54487232993672585</v>
      </c>
      <c r="C49" s="8">
        <v>0.63909470953383696</v>
      </c>
      <c r="D49" s="8">
        <v>0.63910118388651838</v>
      </c>
      <c r="E49" s="8">
        <v>0.64530091249038213</v>
      </c>
      <c r="F49" s="8">
        <v>0.63003580058372444</v>
      </c>
      <c r="G49" s="8">
        <v>0.6126834812166515</v>
      </c>
      <c r="H49" s="8">
        <v>0.5968337720167245</v>
      </c>
      <c r="I49" s="8">
        <v>0.61219031183960926</v>
      </c>
      <c r="J49" s="8">
        <v>0.61586877626266623</v>
      </c>
      <c r="K49" s="8">
        <v>0.61213854946295476</v>
      </c>
      <c r="L49" s="8">
        <v>0.6099834452990992</v>
      </c>
      <c r="N49" s="2">
        <v>24.706365503080082</v>
      </c>
      <c r="O49" s="2">
        <v>0.91964815324331595</v>
      </c>
    </row>
    <row r="50" spans="1:15" x14ac:dyDescent="0.25">
      <c r="A50" s="1">
        <f t="shared" si="0"/>
        <v>198</v>
      </c>
      <c r="B50" s="23">
        <v>0.53907660945266522</v>
      </c>
      <c r="C50" s="8">
        <v>0.6389707320847261</v>
      </c>
      <c r="D50" s="8">
        <v>0.63897719829634581</v>
      </c>
      <c r="E50" s="8">
        <v>0.64530091231615638</v>
      </c>
      <c r="F50" s="8">
        <v>0.62950579615272706</v>
      </c>
      <c r="G50" s="8">
        <v>0.6108281824461782</v>
      </c>
      <c r="H50" s="8">
        <v>0.59412015213532576</v>
      </c>
      <c r="I50" s="8">
        <v>0.61058049352758637</v>
      </c>
      <c r="J50" s="8">
        <v>0.6145234228684967</v>
      </c>
      <c r="K50" s="8">
        <v>0.61052401745071683</v>
      </c>
      <c r="L50" s="8">
        <v>0.60820328640413557</v>
      </c>
      <c r="N50" s="2">
        <v>25.593429158110883</v>
      </c>
      <c r="O50" s="2">
        <v>0.91964815324331595</v>
      </c>
    </row>
    <row r="51" spans="1:15" x14ac:dyDescent="0.25">
      <c r="A51" s="1">
        <f t="shared" si="0"/>
        <v>204</v>
      </c>
      <c r="B51" s="23">
        <v>0.53355504416919863</v>
      </c>
      <c r="C51" s="8">
        <v>0.6388811545359091</v>
      </c>
      <c r="D51" s="8">
        <v>0.6388876139090216</v>
      </c>
      <c r="E51" s="8">
        <v>0.6453009123059712</v>
      </c>
      <c r="F51" s="8">
        <v>0.62906475740879275</v>
      </c>
      <c r="G51" s="8">
        <v>0.60911010605383165</v>
      </c>
      <c r="H51" s="8">
        <v>0.5915834379935736</v>
      </c>
      <c r="I51" s="8">
        <v>0.60912316147015722</v>
      </c>
      <c r="J51" s="8">
        <v>0.61332054711078554</v>
      </c>
      <c r="K51" s="8">
        <v>0.60906210013201323</v>
      </c>
      <c r="L51" s="8">
        <v>0.60658036555501638</v>
      </c>
      <c r="N51" s="2">
        <v>25.593429158110883</v>
      </c>
      <c r="O51" s="2">
        <v>0.91459514141230869</v>
      </c>
    </row>
    <row r="52" spans="1:15" x14ac:dyDescent="0.25">
      <c r="A52" s="1">
        <f t="shared" si="0"/>
        <v>210</v>
      </c>
      <c r="B52" s="23">
        <v>0.52829466571177797</v>
      </c>
      <c r="C52" s="8">
        <v>0.6388168682737434</v>
      </c>
      <c r="D52" s="8">
        <v>0.63882332202063907</v>
      </c>
      <c r="E52" s="8">
        <v>0.64530091230556375</v>
      </c>
      <c r="F52" s="8">
        <v>0.62869807851195447</v>
      </c>
      <c r="G52" s="8">
        <v>0.60751620040266407</v>
      </c>
      <c r="H52" s="8">
        <v>0.58920948443047061</v>
      </c>
      <c r="I52" s="8">
        <v>0.60780268718739461</v>
      </c>
      <c r="J52" s="8">
        <v>0.61224427484507471</v>
      </c>
      <c r="K52" s="8">
        <v>0.60773717692379503</v>
      </c>
      <c r="L52" s="8">
        <v>0.60509931628660907</v>
      </c>
      <c r="N52" s="2">
        <v>26.053388090349078</v>
      </c>
      <c r="O52" s="2">
        <v>0.91459514141230869</v>
      </c>
    </row>
    <row r="53" spans="1:15" x14ac:dyDescent="0.25">
      <c r="A53" s="1">
        <f t="shared" si="0"/>
        <v>216</v>
      </c>
      <c r="B53" s="23">
        <v>0.5232831191494014</v>
      </c>
      <c r="C53" s="8">
        <v>0.63877103883828457</v>
      </c>
      <c r="D53" s="8">
        <v>0.63877748803923129</v>
      </c>
      <c r="E53" s="8">
        <v>0.6453009123055532</v>
      </c>
      <c r="F53" s="8">
        <v>0.6283934789936465</v>
      </c>
      <c r="G53" s="8">
        <v>0.60603490251966463</v>
      </c>
      <c r="H53" s="8">
        <v>0.58698548566062647</v>
      </c>
      <c r="I53" s="8">
        <v>0.60660516389343044</v>
      </c>
      <c r="J53" s="8">
        <v>0.61128058399508445</v>
      </c>
      <c r="K53" s="8">
        <v>0.60653534677240906</v>
      </c>
      <c r="L53" s="8">
        <v>0.60374641666172857</v>
      </c>
      <c r="N53" s="2">
        <v>26.053388090349078</v>
      </c>
      <c r="O53" s="2">
        <v>0.90954212958130143</v>
      </c>
    </row>
    <row r="54" spans="1:15" x14ac:dyDescent="0.25">
      <c r="A54" s="1">
        <f t="shared" si="0"/>
        <v>222</v>
      </c>
      <c r="B54" s="23">
        <v>0.51850863397686808</v>
      </c>
      <c r="C54" s="8">
        <v>0.63873858092329872</v>
      </c>
      <c r="D54" s="8">
        <v>0.63874502650961984</v>
      </c>
      <c r="E54" s="8">
        <v>0.64530091230555298</v>
      </c>
      <c r="F54" s="8">
        <v>0.62814064994436081</v>
      </c>
      <c r="G54" s="8">
        <v>0.60465594332184669</v>
      </c>
      <c r="H54" s="8">
        <v>0.58489982932790074</v>
      </c>
      <c r="I54" s="8">
        <v>0.60551820445996751</v>
      </c>
      <c r="J54" s="8">
        <v>0.6104170799842018</v>
      </c>
      <c r="K54" s="8">
        <v>0.60544422642505391</v>
      </c>
      <c r="L54" s="8">
        <v>0.60250939879548659</v>
      </c>
      <c r="N54" s="2">
        <v>26.84188911704312</v>
      </c>
      <c r="O54" s="2">
        <v>0.90954212958130143</v>
      </c>
    </row>
    <row r="55" spans="1:15" x14ac:dyDescent="0.25">
      <c r="A55" s="1">
        <f t="shared" si="0"/>
        <v>228</v>
      </c>
      <c r="B55" s="23">
        <v>0.51395999646966106</v>
      </c>
      <c r="C55" s="8">
        <v>0.63871574141260934</v>
      </c>
      <c r="D55" s="8">
        <v>0.63872218416618665</v>
      </c>
      <c r="E55" s="8">
        <v>0.64530091230555298</v>
      </c>
      <c r="F55" s="8">
        <v>0.62793095020802836</v>
      </c>
      <c r="G55" s="8">
        <v>0.60337018115297192</v>
      </c>
      <c r="H55" s="8">
        <v>0.58294196842203472</v>
      </c>
      <c r="I55" s="8">
        <v>0.60453076431345076</v>
      </c>
      <c r="J55" s="8">
        <v>0.60964279910484565</v>
      </c>
      <c r="K55" s="8">
        <v>0.6044527736005938</v>
      </c>
      <c r="L55" s="8">
        <v>0.60137728191707374</v>
      </c>
      <c r="N55" s="2">
        <v>26.84188911704312</v>
      </c>
      <c r="O55" s="2">
        <v>0.90448911775029417</v>
      </c>
    </row>
    <row r="56" spans="1:15" x14ac:dyDescent="0.25">
      <c r="A56" s="1">
        <f t="shared" si="0"/>
        <v>234</v>
      </c>
      <c r="B56" s="23">
        <v>0.50962652334652792</v>
      </c>
      <c r="C56" s="8">
        <v>0.63869977227928654</v>
      </c>
      <c r="D56" s="8">
        <v>0.63870621284213591</v>
      </c>
      <c r="E56" s="8">
        <v>0.64530091230555298</v>
      </c>
      <c r="F56" s="8">
        <v>0.62775714644935821</v>
      </c>
      <c r="G56" s="8">
        <v>0.60216945917734188</v>
      </c>
      <c r="H56" s="8">
        <v>0.58110230865536683</v>
      </c>
      <c r="I56" s="8">
        <v>0.60363298609306448</v>
      </c>
      <c r="J56" s="8">
        <v>0.60894803634273154</v>
      </c>
      <c r="K56" s="8">
        <v>0.6035511318895227</v>
      </c>
      <c r="L56" s="8">
        <v>0.60034022592462666</v>
      </c>
      <c r="N56" s="2">
        <v>27.367556468172484</v>
      </c>
      <c r="O56" s="2">
        <v>0.90448911775029417</v>
      </c>
    </row>
    <row r="57" spans="1:15" x14ac:dyDescent="0.25">
      <c r="A57" s="1">
        <v>240</v>
      </c>
      <c r="B57" s="25">
        <v>0.50549803667790172</v>
      </c>
      <c r="C57" s="26">
        <v>0.63868867693556075</v>
      </c>
      <c r="D57" s="26">
        <v>0.63869511582487315</v>
      </c>
      <c r="E57" s="26">
        <v>0.64530091230555298</v>
      </c>
      <c r="F57" s="26">
        <v>0.62761319146732264</v>
      </c>
      <c r="G57" s="26">
        <v>0.60104648291682516</v>
      </c>
      <c r="H57" s="26">
        <v>0.57937210924446236</v>
      </c>
      <c r="I57" s="26">
        <v>0.60281606329853676</v>
      </c>
      <c r="J57" s="26">
        <v>0.60832419458654274</v>
      </c>
      <c r="K57" s="26">
        <v>0.60273049461474459</v>
      </c>
      <c r="L57" s="26">
        <v>0.59938940278885433</v>
      </c>
      <c r="N57" s="2">
        <v>27.367556468172484</v>
      </c>
      <c r="O57" s="2">
        <v>0.8994077182123712</v>
      </c>
    </row>
    <row r="58" spans="1:15" x14ac:dyDescent="0.25">
      <c r="N58" s="2">
        <v>28.188911704312115</v>
      </c>
      <c r="O58" s="2">
        <v>0.8994077182123712</v>
      </c>
    </row>
    <row r="59" spans="1:15" x14ac:dyDescent="0.25">
      <c r="N59" s="2">
        <v>28.188911704312115</v>
      </c>
      <c r="O59" s="2">
        <v>0.89432631867444823</v>
      </c>
    </row>
    <row r="60" spans="1:15" x14ac:dyDescent="0.25">
      <c r="N60" s="2">
        <v>28.550308008213552</v>
      </c>
      <c r="O60" s="2">
        <v>0.89432631867444823</v>
      </c>
    </row>
    <row r="61" spans="1:15" x14ac:dyDescent="0.25">
      <c r="N61" s="2">
        <v>28.550308008213552</v>
      </c>
      <c r="O61" s="2">
        <v>0.88924491913652515</v>
      </c>
    </row>
    <row r="62" spans="1:15" x14ac:dyDescent="0.25">
      <c r="N62" s="2">
        <v>28.648870636550306</v>
      </c>
      <c r="O62" s="2">
        <v>0.88924491913652515</v>
      </c>
    </row>
    <row r="63" spans="1:15" x14ac:dyDescent="0.25">
      <c r="N63" s="2">
        <v>28.648870636550306</v>
      </c>
      <c r="O63" s="2">
        <v>0.88416351959860218</v>
      </c>
    </row>
    <row r="64" spans="1:15" x14ac:dyDescent="0.25">
      <c r="N64" s="2">
        <v>31.770020533880903</v>
      </c>
      <c r="O64" s="2">
        <v>0.88416351959860218</v>
      </c>
    </row>
    <row r="65" spans="14:15" x14ac:dyDescent="0.25">
      <c r="N65" s="2">
        <v>31.770020533880903</v>
      </c>
      <c r="O65" s="2">
        <v>0.8790821200606791</v>
      </c>
    </row>
    <row r="66" spans="14:15" x14ac:dyDescent="0.25">
      <c r="N66" s="2">
        <v>32.098562628336758</v>
      </c>
      <c r="O66" s="2">
        <v>0.8790821200606791</v>
      </c>
    </row>
    <row r="67" spans="14:15" x14ac:dyDescent="0.25">
      <c r="N67" s="2">
        <v>32.098562628336758</v>
      </c>
      <c r="O67" s="2">
        <v>0.87400072052275601</v>
      </c>
    </row>
    <row r="68" spans="14:15" x14ac:dyDescent="0.25">
      <c r="N68" s="2">
        <v>32.262833675564679</v>
      </c>
      <c r="O68" s="2">
        <v>0.87400072052275601</v>
      </c>
    </row>
    <row r="69" spans="14:15" x14ac:dyDescent="0.25">
      <c r="N69" s="2">
        <v>32.262833675564679</v>
      </c>
      <c r="O69" s="2">
        <v>0.86891932098483304</v>
      </c>
    </row>
    <row r="70" spans="14:15" x14ac:dyDescent="0.25">
      <c r="N70" s="2">
        <v>34.201232032854207</v>
      </c>
      <c r="O70" s="2">
        <v>0.86891932098483304</v>
      </c>
    </row>
    <row r="71" spans="14:15" x14ac:dyDescent="0.25">
      <c r="N71" s="2">
        <v>34.201232032854207</v>
      </c>
      <c r="O71" s="2">
        <v>0.86383792144690996</v>
      </c>
    </row>
    <row r="72" spans="14:15" x14ac:dyDescent="0.25">
      <c r="N72" s="2">
        <v>34.661190965092402</v>
      </c>
      <c r="O72" s="2">
        <v>0.86383792144690996</v>
      </c>
    </row>
    <row r="73" spans="14:15" x14ac:dyDescent="0.25">
      <c r="N73" s="2">
        <v>34.661190965092402</v>
      </c>
      <c r="O73" s="2">
        <v>0.85875652190898699</v>
      </c>
    </row>
    <row r="74" spans="14:15" x14ac:dyDescent="0.25">
      <c r="N74" s="2">
        <v>34.891170431211499</v>
      </c>
      <c r="O74" s="2">
        <v>0.85875652190898699</v>
      </c>
    </row>
    <row r="75" spans="14:15" x14ac:dyDescent="0.25">
      <c r="N75" s="2">
        <v>34.891170431211499</v>
      </c>
      <c r="O75" s="2">
        <v>0.85367512237106391</v>
      </c>
    </row>
    <row r="76" spans="14:15" x14ac:dyDescent="0.25">
      <c r="N76" s="2">
        <v>35.318275154004105</v>
      </c>
      <c r="O76" s="2">
        <v>0.85367512237106391</v>
      </c>
    </row>
    <row r="77" spans="14:15" x14ac:dyDescent="0.25">
      <c r="N77" s="2">
        <v>35.318275154004105</v>
      </c>
      <c r="O77" s="2">
        <v>0.84859372283314094</v>
      </c>
    </row>
    <row r="78" spans="14:15" x14ac:dyDescent="0.25">
      <c r="N78" s="2">
        <v>37.979466119096507</v>
      </c>
      <c r="O78" s="2">
        <v>0.84859372283314094</v>
      </c>
    </row>
    <row r="79" spans="14:15" x14ac:dyDescent="0.25">
      <c r="N79" s="2">
        <v>37.979466119096507</v>
      </c>
      <c r="O79" s="2">
        <v>0.84351232329521786</v>
      </c>
    </row>
    <row r="80" spans="14:15" x14ac:dyDescent="0.25">
      <c r="N80" s="2">
        <v>40.344969199178642</v>
      </c>
      <c r="O80" s="2">
        <v>0.84351232329521786</v>
      </c>
    </row>
    <row r="81" spans="14:15" x14ac:dyDescent="0.25">
      <c r="N81" s="2">
        <v>40.344969199178642</v>
      </c>
      <c r="O81" s="2">
        <v>0.83843092375729489</v>
      </c>
    </row>
    <row r="82" spans="14:15" x14ac:dyDescent="0.25">
      <c r="N82" s="2">
        <v>41.133470225872692</v>
      </c>
      <c r="O82" s="2">
        <v>0.83843092375729489</v>
      </c>
    </row>
    <row r="83" spans="14:15" x14ac:dyDescent="0.25">
      <c r="N83" s="2">
        <v>41.133470225872692</v>
      </c>
      <c r="O83" s="2">
        <v>0.83334952421937181</v>
      </c>
    </row>
    <row r="84" spans="14:15" x14ac:dyDescent="0.25">
      <c r="N84" s="2">
        <v>41.757700205338807</v>
      </c>
      <c r="O84" s="2">
        <v>0.83334952421937181</v>
      </c>
    </row>
    <row r="85" spans="14:15" x14ac:dyDescent="0.25">
      <c r="N85" s="2">
        <v>41.757700205338807</v>
      </c>
      <c r="O85" s="2">
        <v>0.82826812468144884</v>
      </c>
    </row>
    <row r="86" spans="14:15" x14ac:dyDescent="0.25">
      <c r="N86" s="2">
        <v>43.104722792607802</v>
      </c>
      <c r="O86" s="2">
        <v>0.82826812468144884</v>
      </c>
    </row>
    <row r="87" spans="14:15" x14ac:dyDescent="0.25">
      <c r="N87" s="2">
        <v>43.104722792607802</v>
      </c>
      <c r="O87" s="2">
        <v>0.82318672514352587</v>
      </c>
    </row>
    <row r="88" spans="14:15" x14ac:dyDescent="0.25">
      <c r="N88" s="2">
        <v>47.145790554414788</v>
      </c>
      <c r="O88" s="2">
        <v>0.82318672514352587</v>
      </c>
    </row>
    <row r="89" spans="14:15" x14ac:dyDescent="0.25">
      <c r="N89" s="2">
        <v>47.145790554414788</v>
      </c>
      <c r="O89" s="2">
        <v>0.81807376411778965</v>
      </c>
    </row>
    <row r="90" spans="14:15" x14ac:dyDescent="0.25">
      <c r="N90" s="2">
        <v>49.478439425051334</v>
      </c>
      <c r="O90" s="2">
        <v>0.81807376411778965</v>
      </c>
    </row>
    <row r="91" spans="14:15" x14ac:dyDescent="0.25">
      <c r="N91" s="2">
        <v>49.478439425051334</v>
      </c>
      <c r="O91" s="2">
        <v>0.81292864610447024</v>
      </c>
    </row>
    <row r="92" spans="14:15" x14ac:dyDescent="0.25">
      <c r="N92" s="2">
        <v>49.80698151950719</v>
      </c>
      <c r="O92" s="2">
        <v>0.81292864610447024</v>
      </c>
    </row>
    <row r="93" spans="14:15" x14ac:dyDescent="0.25">
      <c r="N93" s="2">
        <v>49.80698151950719</v>
      </c>
      <c r="O93" s="2">
        <v>0.80768394516186071</v>
      </c>
    </row>
    <row r="94" spans="14:15" x14ac:dyDescent="0.25">
      <c r="N94" s="2">
        <v>50.858316221765911</v>
      </c>
      <c r="O94" s="2">
        <v>0.80768394516186071</v>
      </c>
    </row>
    <row r="95" spans="14:15" x14ac:dyDescent="0.25">
      <c r="N95" s="2">
        <v>50.858316221765911</v>
      </c>
      <c r="O95" s="2">
        <v>0.80237023499632221</v>
      </c>
    </row>
    <row r="96" spans="14:15" x14ac:dyDescent="0.25">
      <c r="N96" s="2">
        <v>51.252566735112936</v>
      </c>
      <c r="O96" s="2">
        <v>0.80237023499632221</v>
      </c>
    </row>
    <row r="97" spans="14:15" x14ac:dyDescent="0.25">
      <c r="N97" s="2">
        <v>51.252566735112936</v>
      </c>
      <c r="O97" s="2">
        <v>0.79702110009634675</v>
      </c>
    </row>
    <row r="98" spans="14:15" x14ac:dyDescent="0.25">
      <c r="N98" s="2">
        <v>52.041067761806978</v>
      </c>
      <c r="O98" s="2">
        <v>0.79702110009634675</v>
      </c>
    </row>
    <row r="99" spans="14:15" x14ac:dyDescent="0.25">
      <c r="N99" s="2">
        <v>52.041067761806978</v>
      </c>
      <c r="O99" s="2">
        <v>0.79163582239299302</v>
      </c>
    </row>
    <row r="100" spans="14:15" x14ac:dyDescent="0.25">
      <c r="N100" s="2">
        <v>53.256673511293634</v>
      </c>
      <c r="O100" s="2">
        <v>0.79163582239299302</v>
      </c>
    </row>
    <row r="101" spans="14:15" x14ac:dyDescent="0.25">
      <c r="N101" s="2">
        <v>53.256673511293634</v>
      </c>
      <c r="O101" s="2">
        <v>0.78621365922591768</v>
      </c>
    </row>
    <row r="102" spans="14:15" x14ac:dyDescent="0.25">
      <c r="N102" s="2">
        <v>54.767967145790557</v>
      </c>
      <c r="O102" s="2">
        <v>0.78621365922591768</v>
      </c>
    </row>
    <row r="103" spans="14:15" x14ac:dyDescent="0.25">
      <c r="N103" s="2">
        <v>54.767967145790557</v>
      </c>
      <c r="O103" s="2">
        <v>0.78047487339215182</v>
      </c>
    </row>
    <row r="104" spans="14:15" x14ac:dyDescent="0.25">
      <c r="N104" s="2">
        <v>55.523613963039011</v>
      </c>
      <c r="O104" s="2">
        <v>0.78047487339215182</v>
      </c>
    </row>
    <row r="105" spans="14:15" x14ac:dyDescent="0.25">
      <c r="N105" s="2">
        <v>55.523613963039011</v>
      </c>
      <c r="O105" s="2">
        <v>0.774650434038479</v>
      </c>
    </row>
    <row r="106" spans="14:15" x14ac:dyDescent="0.25">
      <c r="N106" s="2">
        <v>56.706365503080079</v>
      </c>
      <c r="O106" s="2">
        <v>0.774650434038479</v>
      </c>
    </row>
    <row r="107" spans="14:15" x14ac:dyDescent="0.25">
      <c r="N107" s="2">
        <v>56.706365503080079</v>
      </c>
      <c r="O107" s="2">
        <v>0.76873707194658225</v>
      </c>
    </row>
    <row r="108" spans="14:15" x14ac:dyDescent="0.25">
      <c r="N108" s="2">
        <v>63.507186858316224</v>
      </c>
      <c r="O108" s="2">
        <v>0.76873707194658225</v>
      </c>
    </row>
    <row r="109" spans="14:15" x14ac:dyDescent="0.25">
      <c r="N109" s="2">
        <v>63.507186858316224</v>
      </c>
      <c r="O109" s="2">
        <v>0.76174855311070422</v>
      </c>
    </row>
    <row r="110" spans="14:15" x14ac:dyDescent="0.25">
      <c r="N110" s="2">
        <v>67.71252566735113</v>
      </c>
      <c r="O110" s="2">
        <v>0.76174855311070422</v>
      </c>
    </row>
    <row r="111" spans="14:15" x14ac:dyDescent="0.25">
      <c r="N111" s="2">
        <v>67.71252566735113</v>
      </c>
      <c r="O111" s="2">
        <v>0.75373014728848631</v>
      </c>
    </row>
    <row r="112" spans="14:15" x14ac:dyDescent="0.25">
      <c r="N112" s="2">
        <v>67.745379876796719</v>
      </c>
      <c r="O112" s="2">
        <v>0.75373014728848631</v>
      </c>
    </row>
    <row r="113" spans="14:15" x14ac:dyDescent="0.25">
      <c r="N113" s="2">
        <v>67.745379876796719</v>
      </c>
      <c r="O113" s="2">
        <v>0.7457117414662684</v>
      </c>
    </row>
    <row r="114" spans="14:15" x14ac:dyDescent="0.25">
      <c r="N114" s="2">
        <v>69.092402464065714</v>
      </c>
      <c r="O114" s="2">
        <v>0.7457117414662684</v>
      </c>
    </row>
    <row r="115" spans="14:15" x14ac:dyDescent="0.25">
      <c r="N115" s="2">
        <v>69.092402464065714</v>
      </c>
      <c r="O115" s="2">
        <v>0.73742605544997653</v>
      </c>
    </row>
    <row r="116" spans="14:15" x14ac:dyDescent="0.25">
      <c r="N116" s="2">
        <v>69.256673511293641</v>
      </c>
      <c r="O116" s="2">
        <v>0.73742605544997653</v>
      </c>
    </row>
    <row r="117" spans="14:15" x14ac:dyDescent="0.25">
      <c r="N117" s="2">
        <v>69.256673511293641</v>
      </c>
      <c r="O117" s="2">
        <v>0.72904621391077229</v>
      </c>
    </row>
    <row r="118" spans="14:15" x14ac:dyDescent="0.25">
      <c r="N118" s="2">
        <v>74.119096509240251</v>
      </c>
      <c r="O118" s="2">
        <v>0.72904621391077229</v>
      </c>
    </row>
    <row r="119" spans="14:15" x14ac:dyDescent="0.25">
      <c r="N119" s="2">
        <v>74.119096509240251</v>
      </c>
      <c r="O119" s="2">
        <v>0.71993313623688771</v>
      </c>
    </row>
    <row r="120" spans="14:15" x14ac:dyDescent="0.25">
      <c r="N120" s="2">
        <v>78.455852156057489</v>
      </c>
      <c r="O120" s="2">
        <v>0.71993313623688771</v>
      </c>
    </row>
    <row r="121" spans="14:15" x14ac:dyDescent="0.25">
      <c r="N121" s="2">
        <v>78.455852156057489</v>
      </c>
      <c r="O121" s="2">
        <v>0.71033402775372922</v>
      </c>
    </row>
    <row r="122" spans="14:15" x14ac:dyDescent="0.25">
      <c r="N122" s="2">
        <v>81.051334702258728</v>
      </c>
      <c r="O122" s="2">
        <v>0.71033402775372922</v>
      </c>
    </row>
    <row r="123" spans="14:15" x14ac:dyDescent="0.25">
      <c r="N123" s="2">
        <v>81.051334702258728</v>
      </c>
      <c r="O123" s="2">
        <v>0.70003933169932742</v>
      </c>
    </row>
    <row r="124" spans="14:15" x14ac:dyDescent="0.25">
      <c r="N124" s="2">
        <v>84.271047227926076</v>
      </c>
      <c r="O124" s="2">
        <v>0.70003933169932742</v>
      </c>
    </row>
    <row r="125" spans="14:15" x14ac:dyDescent="0.25">
      <c r="N125" s="2">
        <v>84.271047227926076</v>
      </c>
      <c r="O125" s="2">
        <v>0.68892759627552858</v>
      </c>
    </row>
    <row r="126" spans="14:15" x14ac:dyDescent="0.25">
      <c r="N126" s="2">
        <v>91.400410677618069</v>
      </c>
      <c r="O126" s="2">
        <v>0.68892759627552858</v>
      </c>
    </row>
    <row r="127" spans="14:15" x14ac:dyDescent="0.25">
      <c r="N127" s="2">
        <v>91.400410677618069</v>
      </c>
      <c r="O127" s="2">
        <v>0.6768411472180631</v>
      </c>
    </row>
    <row r="128" spans="14:15" x14ac:dyDescent="0.25">
      <c r="N128" s="2">
        <v>99.94250513347022</v>
      </c>
      <c r="O128" s="2">
        <v>0.6768411472180631</v>
      </c>
    </row>
    <row r="129" spans="14:15" x14ac:dyDescent="0.25">
      <c r="N129" s="2">
        <v>99.94250513347022</v>
      </c>
      <c r="O129" s="2">
        <v>0.66382497131002338</v>
      </c>
    </row>
    <row r="130" spans="14:15" x14ac:dyDescent="0.25">
      <c r="N130" s="2">
        <v>109.66735112936345</v>
      </c>
      <c r="O130" s="2">
        <v>0.66382497131002338</v>
      </c>
    </row>
    <row r="131" spans="14:15" x14ac:dyDescent="0.25">
      <c r="N131" s="2">
        <v>109.66735112936345</v>
      </c>
      <c r="O131" s="2">
        <v>0.64485854355830841</v>
      </c>
    </row>
    <row r="132" spans="14:15" x14ac:dyDescent="0.25">
      <c r="N132" s="2">
        <v>182.83367556468173</v>
      </c>
      <c r="O132" s="2">
        <v>0.64485854355830841</v>
      </c>
    </row>
  </sheetData>
  <mergeCells count="2">
    <mergeCell ref="B14:L14"/>
    <mergeCell ref="B15:L1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4B93-66EA-42EF-8D5E-BEA903B5E041}">
  <sheetPr codeName="Sheet10"/>
  <dimension ref="A1:CT310"/>
  <sheetViews>
    <sheetView zoomScale="118" zoomScaleNormal="118" workbookViewId="0">
      <selection activeCell="M4" sqref="M4:P4"/>
    </sheetView>
  </sheetViews>
  <sheetFormatPr defaultRowHeight="15" x14ac:dyDescent="0.25"/>
  <cols>
    <col min="16" max="16" width="9.5703125" customWidth="1"/>
    <col min="25" max="25" width="9.140625" style="55"/>
    <col min="26" max="32" width="9.140625" style="1"/>
    <col min="49" max="50" width="9.140625" style="1"/>
    <col min="70" max="70" width="9.140625" style="15"/>
    <col min="71" max="71" width="9.140625" style="1"/>
    <col min="73" max="75" width="9.140625" style="1"/>
    <col min="80" max="80" width="9.140625" style="1"/>
    <col min="82" max="84" width="9.140625" style="1"/>
  </cols>
  <sheetData>
    <row r="1" spans="13:98" x14ac:dyDescent="0.25">
      <c r="M1" t="s">
        <v>775</v>
      </c>
      <c r="BR1" s="99" t="s">
        <v>789</v>
      </c>
    </row>
    <row r="2" spans="13:98" x14ac:dyDescent="0.25">
      <c r="M2" t="s">
        <v>776</v>
      </c>
    </row>
    <row r="3" spans="13:98" x14ac:dyDescent="0.25">
      <c r="AH3" s="96"/>
    </row>
    <row r="4" spans="13:98" x14ac:dyDescent="0.25">
      <c r="M4" s="103" t="s">
        <v>778</v>
      </c>
      <c r="N4" s="104"/>
      <c r="O4" s="104"/>
      <c r="P4" s="105"/>
      <c r="Q4" s="95"/>
      <c r="S4" s="103" t="s">
        <v>781</v>
      </c>
      <c r="T4" s="104"/>
      <c r="U4" s="104"/>
      <c r="V4" s="105"/>
      <c r="W4" s="95"/>
      <c r="AQ4" s="103" t="s">
        <v>778</v>
      </c>
      <c r="AR4" s="104"/>
      <c r="AS4" s="104"/>
      <c r="AT4" s="105"/>
      <c r="AW4" s="103" t="s">
        <v>781</v>
      </c>
      <c r="AX4" s="104"/>
      <c r="AY4" s="104"/>
      <c r="AZ4" s="105"/>
      <c r="CJ4" s="103" t="s">
        <v>778</v>
      </c>
      <c r="CK4" s="104"/>
      <c r="CL4" s="104"/>
      <c r="CM4" s="105"/>
      <c r="CP4" s="103" t="s">
        <v>781</v>
      </c>
      <c r="CQ4" s="104"/>
      <c r="CR4" s="104"/>
      <c r="CS4" s="105"/>
    </row>
    <row r="5" spans="13:98" x14ac:dyDescent="0.25">
      <c r="M5" s="103" t="s">
        <v>780</v>
      </c>
      <c r="N5" s="105"/>
      <c r="O5" s="103" t="s">
        <v>779</v>
      </c>
      <c r="P5" s="105"/>
      <c r="Q5" s="5"/>
      <c r="S5" s="103" t="s">
        <v>780</v>
      </c>
      <c r="T5" s="105"/>
      <c r="U5" s="103" t="s">
        <v>779</v>
      </c>
      <c r="V5" s="105"/>
      <c r="W5" s="5"/>
      <c r="Y5" s="103" t="s">
        <v>778</v>
      </c>
      <c r="Z5" s="104"/>
      <c r="AA5" s="104"/>
      <c r="AB5" s="104"/>
      <c r="AC5" s="104"/>
      <c r="AD5" s="104"/>
      <c r="AE5" s="104"/>
      <c r="AF5" s="105"/>
      <c r="AH5" s="103" t="s">
        <v>781</v>
      </c>
      <c r="AI5" s="104"/>
      <c r="AJ5" s="104"/>
      <c r="AK5" s="104"/>
      <c r="AL5" s="104"/>
      <c r="AM5" s="104"/>
      <c r="AN5" s="104"/>
      <c r="AO5" s="105"/>
      <c r="AQ5" s="109" t="s">
        <v>720</v>
      </c>
      <c r="AR5" s="110"/>
      <c r="AS5" s="109" t="s">
        <v>782</v>
      </c>
      <c r="AT5" s="110"/>
      <c r="AW5" s="109" t="s">
        <v>720</v>
      </c>
      <c r="AX5" s="110"/>
      <c r="AY5" s="109" t="s">
        <v>782</v>
      </c>
      <c r="AZ5" s="110"/>
      <c r="BR5" s="109" t="s">
        <v>778</v>
      </c>
      <c r="BS5" s="111"/>
      <c r="BT5" s="111"/>
      <c r="BU5" s="111"/>
      <c r="BV5" s="111"/>
      <c r="BW5" s="111"/>
      <c r="BX5" s="111"/>
      <c r="BY5" s="110"/>
      <c r="CA5" s="103" t="s">
        <v>781</v>
      </c>
      <c r="CB5" s="104"/>
      <c r="CC5" s="104"/>
      <c r="CD5" s="104"/>
      <c r="CE5" s="104"/>
      <c r="CF5" s="104"/>
      <c r="CG5" s="104"/>
      <c r="CH5" s="105"/>
      <c r="CJ5" s="109" t="s">
        <v>720</v>
      </c>
      <c r="CK5" s="110"/>
      <c r="CL5" s="109" t="s">
        <v>782</v>
      </c>
      <c r="CM5" s="110"/>
      <c r="CP5" s="109" t="s">
        <v>720</v>
      </c>
      <c r="CQ5" s="110"/>
      <c r="CR5" s="109" t="s">
        <v>782</v>
      </c>
      <c r="CS5" s="110"/>
    </row>
    <row r="6" spans="13:98" x14ac:dyDescent="0.25">
      <c r="M6" s="20" t="s">
        <v>714</v>
      </c>
      <c r="N6" s="65" t="s">
        <v>785</v>
      </c>
      <c r="O6" s="20" t="s">
        <v>714</v>
      </c>
      <c r="P6" s="65" t="s">
        <v>786</v>
      </c>
      <c r="Q6" s="6" t="s">
        <v>787</v>
      </c>
      <c r="S6" s="20" t="s">
        <v>714</v>
      </c>
      <c r="T6" s="65" t="s">
        <v>785</v>
      </c>
      <c r="U6" s="20" t="s">
        <v>714</v>
      </c>
      <c r="V6" s="65" t="s">
        <v>786</v>
      </c>
      <c r="W6" s="6" t="s">
        <v>787</v>
      </c>
      <c r="Y6" s="97" t="s">
        <v>714</v>
      </c>
      <c r="Z6" s="64" t="s">
        <v>777</v>
      </c>
      <c r="AA6" s="64" t="str" cm="1">
        <f t="array" ref="AA6:AF87">KMTableFast(Y7:Y160,Z7:Z160)</f>
        <v>time</v>
      </c>
      <c r="AB6" s="64" t="str">
        <v>n_risk</v>
      </c>
      <c r="AC6" s="64" t="str">
        <v>n_event</v>
      </c>
      <c r="AD6" s="64" t="str">
        <v>n_censor</v>
      </c>
      <c r="AE6" s="64" t="str">
        <v>step_surv</v>
      </c>
      <c r="AF6" s="65" t="str">
        <v>km_surv</v>
      </c>
      <c r="AH6" s="97" t="s">
        <v>714</v>
      </c>
      <c r="AI6" s="64" t="s">
        <v>777</v>
      </c>
      <c r="AJ6" s="64" t="str" cm="1">
        <f t="array" ref="AJ6:AO81">KMTableFast(AH7:AH157,AI7:AI157)</f>
        <v>time</v>
      </c>
      <c r="AK6" s="64" t="str">
        <v>n_risk</v>
      </c>
      <c r="AL6" s="64" t="str">
        <v>n_event</v>
      </c>
      <c r="AM6" s="64" t="str">
        <v>n_censor</v>
      </c>
      <c r="AN6" s="64" t="str">
        <v>step_surv</v>
      </c>
      <c r="AO6" s="65" t="str">
        <v>km_surv</v>
      </c>
      <c r="AQ6" s="67" t="str" cm="1">
        <f t="array" ref="AQ6:AR146">KMStepPlotTrim(AA7:AA87,AF7:AF87)</f>
        <v>plot_time</v>
      </c>
      <c r="AR6" s="67" t="str">
        <v>plot_surv</v>
      </c>
      <c r="AS6" s="67" t="str" cm="1">
        <f t="array" ref="AS6:AT19">O6:P19</f>
        <v>time</v>
      </c>
      <c r="AT6" s="67" t="str">
        <v>n.atrisk</v>
      </c>
      <c r="AU6" s="1" t="s">
        <v>783</v>
      </c>
      <c r="AW6" s="67" t="str" cm="1">
        <f t="array" ref="AW6:AX145">KMStepPlotTrim(AJ7:AJ81,AO7:AO81)</f>
        <v>plot_time</v>
      </c>
      <c r="AX6" s="67" t="str">
        <v>plot_surv</v>
      </c>
      <c r="AY6" s="67" t="str" cm="1">
        <f t="array" ref="AY6:AZ19">U6:V19</f>
        <v>time</v>
      </c>
      <c r="AZ6" s="67" t="str">
        <v>n.atrisk</v>
      </c>
      <c r="BA6" s="1" t="s">
        <v>783</v>
      </c>
      <c r="BR6" s="102" t="s">
        <v>714</v>
      </c>
      <c r="BS6" s="100" t="s">
        <v>713</v>
      </c>
      <c r="BT6" s="100" t="str" cm="1">
        <f t="array" ref="BT6:BY84">KMTableFast(BR7:BR160,BS7:BS160)</f>
        <v>time</v>
      </c>
      <c r="BU6" s="64" t="str">
        <v>n_risk</v>
      </c>
      <c r="BV6" s="64" t="str">
        <v>n_event</v>
      </c>
      <c r="BW6" s="64" t="str">
        <v>n_censor</v>
      </c>
      <c r="BX6" s="100" t="str">
        <v>step_surv</v>
      </c>
      <c r="BY6" s="101" t="str">
        <v>km_surv</v>
      </c>
      <c r="CA6" s="64" t="s">
        <v>714</v>
      </c>
      <c r="CB6" s="64" t="s">
        <v>713</v>
      </c>
      <c r="CC6" s="64" t="str" cm="1">
        <f t="array" ref="CC6:CH93">KMTableFast(CA7:CA157,CB7:CB157)</f>
        <v>time</v>
      </c>
      <c r="CD6" s="64" t="str">
        <v>n_risk</v>
      </c>
      <c r="CE6" s="64" t="str">
        <v>n_event</v>
      </c>
      <c r="CF6" s="64" t="str">
        <v>n_censor</v>
      </c>
      <c r="CG6" s="100" t="str">
        <v>step_surv</v>
      </c>
      <c r="CH6" s="101" t="str">
        <v>km_surv</v>
      </c>
      <c r="CJ6" s="67" t="str" cm="1">
        <f t="array" ref="CJ6:CK138">KMStepPlotTrim(BT7:BT84,BY7:BY84)</f>
        <v>plot_time</v>
      </c>
      <c r="CK6" s="67" t="str">
        <v>plot_surv</v>
      </c>
      <c r="CL6" s="67" t="str" cm="1">
        <f t="array" ref="CL6:CM19">O6:P19</f>
        <v>time</v>
      </c>
      <c r="CM6" s="67" t="str">
        <v>n.atrisk</v>
      </c>
      <c r="CN6" s="1" t="s">
        <v>783</v>
      </c>
      <c r="CP6" s="67" t="str" cm="1">
        <f t="array" ref="CP6:CQ132">KMStepPlotTrim(CC7:CC93,CH7:CH93)</f>
        <v>plot_time</v>
      </c>
      <c r="CQ6" s="67" t="str">
        <v>plot_surv</v>
      </c>
      <c r="CR6" s="67" t="str" cm="1">
        <f t="array" ref="CR6:CS19">_xlfn.ANCHORARRAY(AS6)</f>
        <v>time</v>
      </c>
      <c r="CS6" s="67" t="str">
        <v>n.atrisk</v>
      </c>
      <c r="CT6" t="s">
        <v>783</v>
      </c>
    </row>
    <row r="7" spans="13:98" x14ac:dyDescent="0.25">
      <c r="M7" s="15">
        <v>0</v>
      </c>
      <c r="N7" s="15">
        <v>1</v>
      </c>
      <c r="O7" s="1">
        <v>0</v>
      </c>
      <c r="P7" s="1">
        <v>154</v>
      </c>
      <c r="Q7" s="1">
        <v>103</v>
      </c>
      <c r="S7" s="98">
        <v>0</v>
      </c>
      <c r="T7" s="98">
        <v>1</v>
      </c>
      <c r="U7" s="1">
        <v>0</v>
      </c>
      <c r="V7" s="1">
        <v>151</v>
      </c>
      <c r="W7" s="1">
        <v>123</v>
      </c>
      <c r="Y7" s="55" cm="1">
        <f t="array" ref="Y7:Z160">GuyotReconstructIPD(M7:M119,N7:N119,O7:O18,P7:P18,154,Q7)</f>
        <v>0.01</v>
      </c>
      <c r="Z7" s="1">
        <v>1</v>
      </c>
      <c r="AA7" s="15">
        <v>0.01</v>
      </c>
      <c r="AB7" s="1">
        <v>154</v>
      </c>
      <c r="AC7" s="1">
        <v>2</v>
      </c>
      <c r="AD7" s="1">
        <v>0</v>
      </c>
      <c r="AE7" s="15">
        <v>0.98701298701298701</v>
      </c>
      <c r="AF7" s="15">
        <v>0.98701298701298701</v>
      </c>
      <c r="AH7" s="55" cm="1">
        <f t="array" ref="AH7:AI157">GuyotReconstructIPD(S7:S125,T7:T125,U7:U19,V7:V19,151,W7)</f>
        <v>0.56825547582372105</v>
      </c>
      <c r="AI7" s="1">
        <v>0</v>
      </c>
      <c r="AJ7" s="15">
        <v>0.56825547582372105</v>
      </c>
      <c r="AK7" s="1">
        <v>151</v>
      </c>
      <c r="AL7" s="1">
        <v>0</v>
      </c>
      <c r="AM7" s="1">
        <v>1</v>
      </c>
      <c r="AN7" s="15">
        <v>1</v>
      </c>
      <c r="AO7" s="15">
        <v>1</v>
      </c>
      <c r="AQ7" s="1">
        <v>0</v>
      </c>
      <c r="AR7" s="1">
        <v>1</v>
      </c>
      <c r="AS7" s="1">
        <v>0</v>
      </c>
      <c r="AT7" s="1">
        <v>154</v>
      </c>
      <c r="AU7" s="1">
        <v>0.02</v>
      </c>
      <c r="AW7" s="55">
        <v>0</v>
      </c>
      <c r="AX7" s="1">
        <v>1</v>
      </c>
      <c r="AY7" s="1">
        <v>0</v>
      </c>
      <c r="AZ7" s="1">
        <v>151</v>
      </c>
      <c r="BA7" s="1">
        <v>-0.02</v>
      </c>
      <c r="BR7" s="94">
        <v>0.01</v>
      </c>
      <c r="BS7" s="1">
        <v>1</v>
      </c>
      <c r="BT7" s="15">
        <v>0.01</v>
      </c>
      <c r="BU7" s="1">
        <v>154</v>
      </c>
      <c r="BV7" s="1">
        <v>2</v>
      </c>
      <c r="BW7" s="1">
        <v>0</v>
      </c>
      <c r="BX7" s="15">
        <v>0.98701298701298701</v>
      </c>
      <c r="BY7" s="15">
        <v>0.98701298701298701</v>
      </c>
      <c r="CA7" s="15">
        <v>0.91600000000000004</v>
      </c>
      <c r="CB7" s="1">
        <v>1</v>
      </c>
      <c r="CC7" s="15">
        <v>0.91600000000000004</v>
      </c>
      <c r="CD7" s="1">
        <v>151</v>
      </c>
      <c r="CE7" s="1">
        <v>7</v>
      </c>
      <c r="CF7" s="1">
        <v>0</v>
      </c>
      <c r="CG7" s="15">
        <v>0.95364238410596025</v>
      </c>
      <c r="CH7" s="15">
        <v>0.95364238410596025</v>
      </c>
      <c r="CJ7" s="15">
        <v>0</v>
      </c>
      <c r="CK7" s="15">
        <v>1</v>
      </c>
      <c r="CL7" s="1">
        <v>0</v>
      </c>
      <c r="CM7" s="1">
        <v>154</v>
      </c>
      <c r="CP7" s="94">
        <v>0</v>
      </c>
      <c r="CQ7" s="94">
        <v>1</v>
      </c>
      <c r="CR7">
        <v>0</v>
      </c>
      <c r="CS7">
        <v>154</v>
      </c>
    </row>
    <row r="8" spans="13:98" x14ac:dyDescent="0.25">
      <c r="M8" s="15">
        <v>0</v>
      </c>
      <c r="N8" s="15">
        <v>0.99683470105509897</v>
      </c>
      <c r="O8" s="1">
        <v>6</v>
      </c>
      <c r="P8" s="1">
        <v>121</v>
      </c>
      <c r="S8" s="98">
        <v>5.7806664913400099E-2</v>
      </c>
      <c r="T8" s="98">
        <v>0.99933035404433901</v>
      </c>
      <c r="U8" s="1">
        <v>6</v>
      </c>
      <c r="V8" s="1">
        <v>108</v>
      </c>
      <c r="Y8" s="55">
        <v>0.01</v>
      </c>
      <c r="Z8" s="1">
        <v>1</v>
      </c>
      <c r="AA8" s="15">
        <v>0.16125097553783599</v>
      </c>
      <c r="AB8" s="1">
        <v>152</v>
      </c>
      <c r="AC8" s="1">
        <v>3</v>
      </c>
      <c r="AD8" s="1">
        <v>0</v>
      </c>
      <c r="AE8" s="15">
        <v>0.98026315789473684</v>
      </c>
      <c r="AF8" s="15">
        <v>0.96753246753246758</v>
      </c>
      <c r="AH8" s="55">
        <v>0.74238689559304105</v>
      </c>
      <c r="AI8" s="1">
        <v>1</v>
      </c>
      <c r="AJ8" s="15">
        <v>0.74238689559304105</v>
      </c>
      <c r="AK8" s="1">
        <v>150</v>
      </c>
      <c r="AL8" s="1">
        <v>4</v>
      </c>
      <c r="AM8" s="1">
        <v>0</v>
      </c>
      <c r="AN8" s="15">
        <v>0.97333333333333338</v>
      </c>
      <c r="AO8" s="15">
        <v>0.97333333333333338</v>
      </c>
      <c r="AQ8" s="55">
        <v>0.01</v>
      </c>
      <c r="AR8" s="2">
        <v>1</v>
      </c>
      <c r="AS8" s="1">
        <v>6</v>
      </c>
      <c r="AT8" s="1">
        <v>121</v>
      </c>
      <c r="AU8" s="1">
        <v>0.02</v>
      </c>
      <c r="AW8" s="55">
        <v>0.74238689559304105</v>
      </c>
      <c r="AX8" s="2">
        <v>1</v>
      </c>
      <c r="AY8" s="1">
        <v>6</v>
      </c>
      <c r="AZ8" s="1">
        <v>108</v>
      </c>
      <c r="BA8" s="1">
        <v>-0.02</v>
      </c>
      <c r="BR8" s="94">
        <v>0.01</v>
      </c>
      <c r="BS8" s="1">
        <v>1</v>
      </c>
      <c r="BT8" s="15">
        <v>0.1613</v>
      </c>
      <c r="BU8" s="1">
        <v>152</v>
      </c>
      <c r="BV8" s="1">
        <v>3</v>
      </c>
      <c r="BW8" s="1">
        <v>0</v>
      </c>
      <c r="BX8" s="15">
        <v>0.98026315789473684</v>
      </c>
      <c r="BY8" s="15">
        <v>0.96753246753246758</v>
      </c>
      <c r="CA8" s="15">
        <v>0.91600000000000004</v>
      </c>
      <c r="CB8" s="1">
        <v>1</v>
      </c>
      <c r="CC8" s="15">
        <v>1.1167</v>
      </c>
      <c r="CD8" s="1">
        <v>144</v>
      </c>
      <c r="CE8" s="1">
        <v>4</v>
      </c>
      <c r="CF8" s="1">
        <v>0</v>
      </c>
      <c r="CG8" s="15">
        <v>0.97222222222222221</v>
      </c>
      <c r="CH8" s="15">
        <v>0.92715231788079466</v>
      </c>
      <c r="CJ8" s="15">
        <v>0.01</v>
      </c>
      <c r="CK8" s="15">
        <v>1</v>
      </c>
      <c r="CL8" s="1">
        <v>6</v>
      </c>
      <c r="CM8" s="1">
        <v>121</v>
      </c>
      <c r="CP8" s="94">
        <v>0.91600000000000004</v>
      </c>
      <c r="CQ8" s="94">
        <v>1</v>
      </c>
      <c r="CR8">
        <v>6</v>
      </c>
      <c r="CS8">
        <v>121</v>
      </c>
    </row>
    <row r="9" spans="13:98" x14ac:dyDescent="0.25">
      <c r="M9" s="15">
        <v>0.01</v>
      </c>
      <c r="N9" s="15">
        <v>0.98715565855121401</v>
      </c>
      <c r="O9" s="1">
        <v>12</v>
      </c>
      <c r="P9" s="1">
        <v>106</v>
      </c>
      <c r="S9" s="98">
        <v>0.39412405605440098</v>
      </c>
      <c r="T9" s="98">
        <v>1.0000215121151199</v>
      </c>
      <c r="U9" s="1">
        <v>12</v>
      </c>
      <c r="V9" s="1">
        <v>80</v>
      </c>
      <c r="Y9" s="55">
        <v>0.16125097553783599</v>
      </c>
      <c r="Z9" s="1">
        <v>1</v>
      </c>
      <c r="AA9" s="15">
        <v>0.417267185204099</v>
      </c>
      <c r="AB9" s="1">
        <v>149</v>
      </c>
      <c r="AC9" s="1">
        <v>2</v>
      </c>
      <c r="AD9" s="1">
        <v>0</v>
      </c>
      <c r="AE9" s="15">
        <v>0.98657718120805371</v>
      </c>
      <c r="AF9" s="15">
        <v>0.95454545454545459</v>
      </c>
      <c r="AH9" s="55">
        <v>0.74238689559304105</v>
      </c>
      <c r="AI9" s="1">
        <v>1</v>
      </c>
      <c r="AJ9" s="15">
        <v>0.91598001277379004</v>
      </c>
      <c r="AK9" s="1">
        <v>146</v>
      </c>
      <c r="AL9" s="1">
        <v>3</v>
      </c>
      <c r="AM9" s="1">
        <v>0</v>
      </c>
      <c r="AN9" s="15">
        <v>0.97945205479452058</v>
      </c>
      <c r="AO9" s="15">
        <v>0.95333333333333337</v>
      </c>
      <c r="AQ9" s="55">
        <v>0.01</v>
      </c>
      <c r="AR9" s="2">
        <v>0.98701298701298701</v>
      </c>
      <c r="AS9" s="1">
        <v>12</v>
      </c>
      <c r="AT9" s="1">
        <v>106</v>
      </c>
      <c r="AU9" s="1">
        <v>0.02</v>
      </c>
      <c r="AW9" s="55">
        <v>0.74238689559304105</v>
      </c>
      <c r="AX9" s="2">
        <v>0.97333333333333338</v>
      </c>
      <c r="AY9" s="1">
        <v>12</v>
      </c>
      <c r="AZ9" s="1">
        <v>80</v>
      </c>
      <c r="BA9" s="1">
        <v>-0.02</v>
      </c>
      <c r="BR9" s="94">
        <v>0.1613</v>
      </c>
      <c r="BS9" s="1">
        <v>1</v>
      </c>
      <c r="BT9" s="15">
        <v>0.4173</v>
      </c>
      <c r="BU9" s="1">
        <v>149</v>
      </c>
      <c r="BV9" s="1">
        <v>1</v>
      </c>
      <c r="BW9" s="1">
        <v>0</v>
      </c>
      <c r="BX9" s="15">
        <v>0.99328859060402686</v>
      </c>
      <c r="BY9" s="15">
        <v>0.96103896103896114</v>
      </c>
      <c r="CA9" s="15">
        <v>0.91600000000000004</v>
      </c>
      <c r="CB9" s="1">
        <v>1</v>
      </c>
      <c r="CC9" s="15">
        <v>1.585</v>
      </c>
      <c r="CD9" s="1">
        <v>140</v>
      </c>
      <c r="CE9" s="1">
        <v>3</v>
      </c>
      <c r="CF9" s="1">
        <v>0</v>
      </c>
      <c r="CG9" s="15">
        <v>0.97857142857142854</v>
      </c>
      <c r="CH9" s="15">
        <v>0.9072847682119205</v>
      </c>
      <c r="CJ9" s="15">
        <v>0.01</v>
      </c>
      <c r="CK9" s="15">
        <v>0.98701298701298701</v>
      </c>
      <c r="CL9" s="1">
        <v>12</v>
      </c>
      <c r="CM9" s="1">
        <v>106</v>
      </c>
      <c r="CP9" s="94">
        <v>0.91600000000000004</v>
      </c>
      <c r="CQ9" s="94">
        <v>0.95364238410596025</v>
      </c>
      <c r="CR9">
        <v>12</v>
      </c>
      <c r="CS9">
        <v>106</v>
      </c>
    </row>
    <row r="10" spans="13:98" x14ac:dyDescent="0.25">
      <c r="M10" s="15">
        <v>0.16125097553783599</v>
      </c>
      <c r="N10" s="15">
        <v>0.968492641566018</v>
      </c>
      <c r="O10" s="1">
        <v>18</v>
      </c>
      <c r="P10" s="1">
        <v>89</v>
      </c>
      <c r="S10" s="98">
        <v>0.74238689559304105</v>
      </c>
      <c r="T10" s="98">
        <v>0.97498088868383403</v>
      </c>
      <c r="U10" s="1">
        <v>18</v>
      </c>
      <c r="V10" s="1">
        <v>61</v>
      </c>
      <c r="Y10" s="55">
        <v>0.16125097553783599</v>
      </c>
      <c r="Z10" s="1">
        <v>1</v>
      </c>
      <c r="AA10" s="15">
        <v>0.675227923549229</v>
      </c>
      <c r="AB10" s="1">
        <v>147</v>
      </c>
      <c r="AC10" s="1">
        <v>2</v>
      </c>
      <c r="AD10" s="1">
        <v>0</v>
      </c>
      <c r="AE10" s="15">
        <v>0.98639455782312924</v>
      </c>
      <c r="AF10" s="15">
        <v>0.94155844155844159</v>
      </c>
      <c r="AH10" s="55">
        <v>0.74238689559304105</v>
      </c>
      <c r="AI10" s="1">
        <v>1</v>
      </c>
      <c r="AJ10" s="15">
        <v>1.11669384228124</v>
      </c>
      <c r="AK10" s="1">
        <v>143</v>
      </c>
      <c r="AL10" s="1">
        <v>4</v>
      </c>
      <c r="AM10" s="1">
        <v>0</v>
      </c>
      <c r="AN10" s="15">
        <v>0.97202797202797198</v>
      </c>
      <c r="AO10" s="15">
        <v>0.92666666666666664</v>
      </c>
      <c r="AQ10" s="55">
        <v>0.16125097553783599</v>
      </c>
      <c r="AR10" s="2">
        <v>0.98701298701298701</v>
      </c>
      <c r="AS10" s="1">
        <v>18</v>
      </c>
      <c r="AT10" s="1">
        <v>89</v>
      </c>
      <c r="AU10" s="1">
        <v>0.02</v>
      </c>
      <c r="AW10" s="55">
        <v>0.91598001277379004</v>
      </c>
      <c r="AX10" s="2">
        <v>0.97333333333333338</v>
      </c>
      <c r="AY10" s="1">
        <v>18</v>
      </c>
      <c r="AZ10" s="1">
        <v>61</v>
      </c>
      <c r="BA10" s="1">
        <v>-0.02</v>
      </c>
      <c r="BR10" s="94">
        <v>0.1613</v>
      </c>
      <c r="BS10" s="1">
        <v>1</v>
      </c>
      <c r="BT10" s="15">
        <v>0.67520000000000002</v>
      </c>
      <c r="BU10" s="1">
        <v>148</v>
      </c>
      <c r="BV10" s="1">
        <v>3</v>
      </c>
      <c r="BW10" s="1">
        <v>0</v>
      </c>
      <c r="BX10" s="15">
        <v>0.97972972972972971</v>
      </c>
      <c r="BY10" s="15">
        <v>0.94155844155844159</v>
      </c>
      <c r="CA10" s="15">
        <v>0.91600000000000004</v>
      </c>
      <c r="CB10" s="1">
        <v>1</v>
      </c>
      <c r="CC10" s="15">
        <v>1.8080499999999999</v>
      </c>
      <c r="CD10" s="1">
        <v>137</v>
      </c>
      <c r="CE10" s="1">
        <v>0</v>
      </c>
      <c r="CF10" s="1">
        <v>1</v>
      </c>
      <c r="CG10" s="15">
        <v>1</v>
      </c>
      <c r="CH10" s="15">
        <v>0.9072847682119205</v>
      </c>
      <c r="CJ10" s="15">
        <v>0.1613</v>
      </c>
      <c r="CK10" s="15">
        <v>0.98701298701298701</v>
      </c>
      <c r="CL10" s="1">
        <v>18</v>
      </c>
      <c r="CM10" s="1">
        <v>89</v>
      </c>
      <c r="CP10" s="94">
        <v>1.1167</v>
      </c>
      <c r="CQ10" s="94">
        <v>0.95364238410596025</v>
      </c>
      <c r="CR10">
        <v>18</v>
      </c>
      <c r="CS10">
        <v>89</v>
      </c>
    </row>
    <row r="11" spans="13:98" x14ac:dyDescent="0.25">
      <c r="M11" s="15">
        <v>0.417267185204099</v>
      </c>
      <c r="N11" s="15">
        <v>0.95853241613535201</v>
      </c>
      <c r="O11" s="1">
        <v>24</v>
      </c>
      <c r="P11" s="1">
        <v>78</v>
      </c>
      <c r="S11" s="98">
        <v>0.91598001277379004</v>
      </c>
      <c r="T11" s="98">
        <v>0.95509207450863598</v>
      </c>
      <c r="U11" s="1">
        <v>24</v>
      </c>
      <c r="V11" s="1">
        <v>48</v>
      </c>
      <c r="Y11" s="55">
        <v>0.16125097553783599</v>
      </c>
      <c r="Z11" s="1">
        <v>1</v>
      </c>
      <c r="AA11" s="15">
        <v>1.0624467126625801</v>
      </c>
      <c r="AB11" s="1">
        <v>145</v>
      </c>
      <c r="AC11" s="1">
        <v>2</v>
      </c>
      <c r="AD11" s="1">
        <v>0</v>
      </c>
      <c r="AE11" s="15">
        <v>0.98620689655172411</v>
      </c>
      <c r="AF11" s="15">
        <v>0.9285714285714286</v>
      </c>
      <c r="AH11" s="55">
        <v>0.74238689559304105</v>
      </c>
      <c r="AI11" s="1">
        <v>1</v>
      </c>
      <c r="AJ11" s="15">
        <v>1.5850261111319801</v>
      </c>
      <c r="AK11" s="1">
        <v>139</v>
      </c>
      <c r="AL11" s="1">
        <v>3</v>
      </c>
      <c r="AM11" s="1">
        <v>0</v>
      </c>
      <c r="AN11" s="15">
        <v>0.97841726618705038</v>
      </c>
      <c r="AO11" s="15">
        <v>0.90666666666666662</v>
      </c>
      <c r="AQ11" s="55">
        <v>0.16125097553783599</v>
      </c>
      <c r="AR11" s="2">
        <v>0.96753246753246758</v>
      </c>
      <c r="AS11" s="1">
        <v>24</v>
      </c>
      <c r="AT11" s="1">
        <v>78</v>
      </c>
      <c r="AU11" s="1">
        <v>0.02</v>
      </c>
      <c r="AW11" s="55">
        <v>0.91598001277379004</v>
      </c>
      <c r="AX11" s="2">
        <v>0.95333333333333337</v>
      </c>
      <c r="AY11" s="1">
        <v>24</v>
      </c>
      <c r="AZ11" s="1">
        <v>48</v>
      </c>
      <c r="BA11" s="1">
        <v>-0.02</v>
      </c>
      <c r="BR11" s="94">
        <v>0.1613</v>
      </c>
      <c r="BS11" s="1">
        <v>1</v>
      </c>
      <c r="BT11" s="15">
        <v>1.0624</v>
      </c>
      <c r="BU11" s="1">
        <v>145</v>
      </c>
      <c r="BV11" s="1">
        <v>2</v>
      </c>
      <c r="BW11" s="1">
        <v>0</v>
      </c>
      <c r="BX11" s="15">
        <v>0.98620689655172411</v>
      </c>
      <c r="BY11" s="15">
        <v>0.9285714285714286</v>
      </c>
      <c r="CA11" s="15">
        <v>0.91600000000000004</v>
      </c>
      <c r="CB11" s="1">
        <v>1</v>
      </c>
      <c r="CC11" s="15">
        <v>2.0310999999999999</v>
      </c>
      <c r="CD11" s="1">
        <v>136</v>
      </c>
      <c r="CE11" s="1">
        <v>3</v>
      </c>
      <c r="CF11" s="1">
        <v>0</v>
      </c>
      <c r="CG11" s="15">
        <v>0.9779411764705882</v>
      </c>
      <c r="CH11" s="15">
        <v>0.88727113361901044</v>
      </c>
      <c r="CJ11" s="15">
        <v>0.1613</v>
      </c>
      <c r="CK11" s="15">
        <v>0.96753246753246758</v>
      </c>
      <c r="CL11" s="1">
        <v>24</v>
      </c>
      <c r="CM11" s="1">
        <v>78</v>
      </c>
      <c r="CP11" s="94">
        <v>1.1167</v>
      </c>
      <c r="CQ11" s="94">
        <v>0.92715231788079466</v>
      </c>
      <c r="CR11">
        <v>24</v>
      </c>
      <c r="CS11">
        <v>78</v>
      </c>
    </row>
    <row r="12" spans="13:98" x14ac:dyDescent="0.25">
      <c r="M12" s="15">
        <v>0.675227923549229</v>
      </c>
      <c r="N12" s="15">
        <v>0.94244283026877995</v>
      </c>
      <c r="O12" s="1">
        <v>30</v>
      </c>
      <c r="P12" s="1">
        <v>73</v>
      </c>
      <c r="S12" s="98">
        <v>1.11669384228124</v>
      </c>
      <c r="T12" s="98">
        <v>0.92976521674570001</v>
      </c>
      <c r="U12" s="1">
        <v>30</v>
      </c>
      <c r="V12" s="1">
        <v>44</v>
      </c>
      <c r="Y12" s="55">
        <v>0.417267185204099</v>
      </c>
      <c r="Z12" s="1">
        <v>1</v>
      </c>
      <c r="AA12" s="15">
        <v>1.6738141413929699</v>
      </c>
      <c r="AB12" s="1">
        <v>143</v>
      </c>
      <c r="AC12" s="1">
        <v>1</v>
      </c>
      <c r="AD12" s="1">
        <v>0</v>
      </c>
      <c r="AE12" s="15">
        <v>0.99300699300699302</v>
      </c>
      <c r="AF12" s="15">
        <v>0.92207792207792216</v>
      </c>
      <c r="AH12" s="55">
        <v>0.91598001277379004</v>
      </c>
      <c r="AI12" s="1">
        <v>1</v>
      </c>
      <c r="AJ12" s="15">
        <v>1.8080414772513751</v>
      </c>
      <c r="AK12" s="1">
        <v>136</v>
      </c>
      <c r="AL12" s="1">
        <v>0</v>
      </c>
      <c r="AM12" s="1">
        <v>1</v>
      </c>
      <c r="AN12" s="15">
        <v>1</v>
      </c>
      <c r="AO12" s="15">
        <v>0.90666666666666662</v>
      </c>
      <c r="AQ12" s="55">
        <v>0.417267185204099</v>
      </c>
      <c r="AR12" s="2">
        <v>0.96753246753246758</v>
      </c>
      <c r="AS12" s="1">
        <v>30</v>
      </c>
      <c r="AT12" s="1">
        <v>73</v>
      </c>
      <c r="AU12" s="1">
        <v>0.02</v>
      </c>
      <c r="AW12" s="55">
        <v>1.11669384228124</v>
      </c>
      <c r="AX12" s="2">
        <v>0.95333333333333337</v>
      </c>
      <c r="AY12" s="1">
        <v>30</v>
      </c>
      <c r="AZ12" s="1">
        <v>44</v>
      </c>
      <c r="BA12" s="1">
        <v>-0.02</v>
      </c>
      <c r="BR12" s="94">
        <v>0.4173</v>
      </c>
      <c r="BS12" s="1">
        <v>1</v>
      </c>
      <c r="BT12" s="15">
        <v>1.6738</v>
      </c>
      <c r="BU12" s="1">
        <v>143</v>
      </c>
      <c r="BV12" s="1">
        <v>1</v>
      </c>
      <c r="BW12" s="1">
        <v>0</v>
      </c>
      <c r="BX12" s="15">
        <v>0.99300699300699302</v>
      </c>
      <c r="BY12" s="15">
        <v>0.92207792207792216</v>
      </c>
      <c r="CA12" s="15">
        <v>0.91600000000000004</v>
      </c>
      <c r="CB12" s="1">
        <v>1</v>
      </c>
      <c r="CC12" s="15">
        <v>2.4213</v>
      </c>
      <c r="CD12" s="1">
        <v>133</v>
      </c>
      <c r="CE12" s="1">
        <v>4</v>
      </c>
      <c r="CF12" s="1">
        <v>0</v>
      </c>
      <c r="CG12" s="15">
        <v>0.96992481203007519</v>
      </c>
      <c r="CH12" s="15">
        <v>0.86058628749513044</v>
      </c>
      <c r="CJ12" s="15">
        <v>0.4173</v>
      </c>
      <c r="CK12" s="15">
        <v>0.96753246753246758</v>
      </c>
      <c r="CL12" s="1">
        <v>30</v>
      </c>
      <c r="CM12" s="1">
        <v>73</v>
      </c>
      <c r="CP12" s="94">
        <v>1.585</v>
      </c>
      <c r="CQ12" s="94">
        <v>0.92715231788079466</v>
      </c>
      <c r="CR12">
        <v>30</v>
      </c>
      <c r="CS12">
        <v>73</v>
      </c>
    </row>
    <row r="13" spans="13:98" x14ac:dyDescent="0.25">
      <c r="M13" s="15">
        <v>1.0624467126625801</v>
      </c>
      <c r="N13" s="15">
        <v>0.93170685133182396</v>
      </c>
      <c r="O13" s="1">
        <v>36</v>
      </c>
      <c r="P13" s="1">
        <v>66</v>
      </c>
      <c r="S13" s="98">
        <v>1.5850261111319801</v>
      </c>
      <c r="T13" s="98">
        <v>0.90762025437530602</v>
      </c>
      <c r="U13" s="1">
        <v>36</v>
      </c>
      <c r="V13" s="1">
        <v>35</v>
      </c>
      <c r="Y13" s="55">
        <v>0.417267185204099</v>
      </c>
      <c r="Z13" s="1">
        <v>1</v>
      </c>
      <c r="AA13" s="15">
        <v>1.8372254813189399</v>
      </c>
      <c r="AB13" s="1">
        <v>142</v>
      </c>
      <c r="AC13" s="1">
        <v>3</v>
      </c>
      <c r="AD13" s="1">
        <v>0</v>
      </c>
      <c r="AE13" s="15">
        <v>0.97887323943661975</v>
      </c>
      <c r="AF13" s="15">
        <v>0.90259740259740273</v>
      </c>
      <c r="AH13" s="55">
        <v>0.91598001277379004</v>
      </c>
      <c r="AI13" s="1">
        <v>1</v>
      </c>
      <c r="AJ13" s="15">
        <v>2.0310568433707701</v>
      </c>
      <c r="AK13" s="1">
        <v>135</v>
      </c>
      <c r="AL13" s="1">
        <v>3</v>
      </c>
      <c r="AM13" s="1">
        <v>0</v>
      </c>
      <c r="AN13" s="15">
        <v>0.97777777777777775</v>
      </c>
      <c r="AO13" s="15">
        <v>0.88651851851851848</v>
      </c>
      <c r="AQ13" s="55">
        <v>0.417267185204099</v>
      </c>
      <c r="AR13" s="2">
        <v>0.95454545454545459</v>
      </c>
      <c r="AS13" s="1">
        <v>36</v>
      </c>
      <c r="AT13" s="1">
        <v>66</v>
      </c>
      <c r="AU13" s="1">
        <v>0.02</v>
      </c>
      <c r="AW13" s="55">
        <v>1.11669384228124</v>
      </c>
      <c r="AX13" s="2">
        <v>0.92666666666666664</v>
      </c>
      <c r="AY13" s="1">
        <v>36</v>
      </c>
      <c r="AZ13" s="1">
        <v>35</v>
      </c>
      <c r="BA13" s="1">
        <v>-0.02</v>
      </c>
      <c r="BR13" s="94">
        <v>0.67520000000000002</v>
      </c>
      <c r="BS13" s="1">
        <v>1</v>
      </c>
      <c r="BT13" s="15">
        <v>1.8371999999999999</v>
      </c>
      <c r="BU13" s="1">
        <v>142</v>
      </c>
      <c r="BV13" s="1">
        <v>3</v>
      </c>
      <c r="BW13" s="1">
        <v>0</v>
      </c>
      <c r="BX13" s="15">
        <v>0.97887323943661975</v>
      </c>
      <c r="BY13" s="15">
        <v>0.90259740259740273</v>
      </c>
      <c r="CA13" s="15">
        <v>0.91600000000000004</v>
      </c>
      <c r="CB13" s="1">
        <v>1</v>
      </c>
      <c r="CC13" s="15">
        <v>2.8027000000000002</v>
      </c>
      <c r="CD13" s="1">
        <v>129</v>
      </c>
      <c r="CE13" s="1">
        <v>4</v>
      </c>
      <c r="CF13" s="1">
        <v>0</v>
      </c>
      <c r="CG13" s="15">
        <v>0.96899224806201545</v>
      </c>
      <c r="CH13" s="15">
        <v>0.83390144137125033</v>
      </c>
      <c r="CJ13" s="15">
        <v>0.4173</v>
      </c>
      <c r="CK13" s="15">
        <v>0.96103896103896114</v>
      </c>
      <c r="CL13" s="1">
        <v>36</v>
      </c>
      <c r="CM13" s="1">
        <v>66</v>
      </c>
      <c r="CP13" s="94">
        <v>1.585</v>
      </c>
      <c r="CQ13" s="94">
        <v>0.9072847682119205</v>
      </c>
      <c r="CR13">
        <v>36</v>
      </c>
      <c r="CS13">
        <v>66</v>
      </c>
    </row>
    <row r="14" spans="13:98" x14ac:dyDescent="0.25">
      <c r="M14" s="15">
        <v>1.6738141413929699</v>
      </c>
      <c r="N14" s="15">
        <v>0.92313937074598096</v>
      </c>
      <c r="O14" s="1">
        <v>42</v>
      </c>
      <c r="P14" s="1">
        <v>62</v>
      </c>
      <c r="S14" s="98">
        <v>2.0310568433707701</v>
      </c>
      <c r="T14" s="98">
        <v>0.88436325826545403</v>
      </c>
      <c r="U14" s="1">
        <v>42</v>
      </c>
      <c r="V14" s="1">
        <v>33</v>
      </c>
      <c r="Y14" s="55">
        <v>0.675227923549229</v>
      </c>
      <c r="Z14" s="1">
        <v>1</v>
      </c>
      <c r="AA14" s="15">
        <v>2.0584503606511402</v>
      </c>
      <c r="AB14" s="1">
        <v>139</v>
      </c>
      <c r="AC14" s="1">
        <v>1</v>
      </c>
      <c r="AD14" s="1">
        <v>0</v>
      </c>
      <c r="AE14" s="15">
        <v>0.9928057553956835</v>
      </c>
      <c r="AF14" s="15">
        <v>0.89610389610389629</v>
      </c>
      <c r="AH14" s="55">
        <v>0.91598001277379004</v>
      </c>
      <c r="AI14" s="1">
        <v>1</v>
      </c>
      <c r="AJ14" s="15">
        <v>2.4213337340797199</v>
      </c>
      <c r="AK14" s="1">
        <v>132</v>
      </c>
      <c r="AL14" s="1">
        <v>4</v>
      </c>
      <c r="AM14" s="1">
        <v>0</v>
      </c>
      <c r="AN14" s="15">
        <v>0.96969696969696972</v>
      </c>
      <c r="AO14" s="15">
        <v>0.85965432098765426</v>
      </c>
      <c r="AQ14" s="55">
        <v>0.675227923549229</v>
      </c>
      <c r="AR14" s="2">
        <v>0.95454545454545459</v>
      </c>
      <c r="AS14" s="1">
        <v>42</v>
      </c>
      <c r="AT14" s="1">
        <v>62</v>
      </c>
      <c r="AU14" s="1">
        <v>0.02</v>
      </c>
      <c r="AW14" s="55">
        <v>1.5850261111319801</v>
      </c>
      <c r="AX14" s="2">
        <v>0.92666666666666664</v>
      </c>
      <c r="AY14" s="1">
        <v>42</v>
      </c>
      <c r="AZ14" s="1">
        <v>33</v>
      </c>
      <c r="BA14" s="1">
        <v>-0.02</v>
      </c>
      <c r="BR14" s="94">
        <v>0.67520000000000002</v>
      </c>
      <c r="BS14" s="1">
        <v>1</v>
      </c>
      <c r="BT14" s="15">
        <v>2.0585</v>
      </c>
      <c r="BU14" s="1">
        <v>139</v>
      </c>
      <c r="BV14" s="1">
        <v>1</v>
      </c>
      <c r="BW14" s="1">
        <v>0</v>
      </c>
      <c r="BX14" s="15">
        <v>0.9928057553956835</v>
      </c>
      <c r="BY14" s="15">
        <v>0.89610389610389629</v>
      </c>
      <c r="CA14" s="15">
        <v>1.1167</v>
      </c>
      <c r="CB14" s="1">
        <v>1</v>
      </c>
      <c r="CC14" s="15">
        <v>3.3647</v>
      </c>
      <c r="CD14" s="1">
        <v>125</v>
      </c>
      <c r="CE14" s="1">
        <v>2</v>
      </c>
      <c r="CF14" s="1">
        <v>0</v>
      </c>
      <c r="CG14" s="15">
        <v>0.98399999999999999</v>
      </c>
      <c r="CH14" s="15">
        <v>0.82055901830931033</v>
      </c>
      <c r="CJ14" s="15">
        <v>0.67520000000000002</v>
      </c>
      <c r="CK14" s="15">
        <v>0.96103896103896114</v>
      </c>
      <c r="CL14" s="1">
        <v>42</v>
      </c>
      <c r="CM14" s="1">
        <v>62</v>
      </c>
      <c r="CP14" s="94">
        <v>2.0310999999999999</v>
      </c>
      <c r="CQ14" s="94">
        <v>0.9072847682119205</v>
      </c>
      <c r="CR14">
        <v>42</v>
      </c>
      <c r="CS14">
        <v>62</v>
      </c>
    </row>
    <row r="15" spans="13:98" x14ac:dyDescent="0.25">
      <c r="M15" s="15">
        <v>1.8372254813189399</v>
      </c>
      <c r="N15" s="15">
        <v>0.90519806974017802</v>
      </c>
      <c r="O15" s="1">
        <v>48</v>
      </c>
      <c r="P15" s="1">
        <v>54</v>
      </c>
      <c r="S15" s="98">
        <v>2.4213337340797199</v>
      </c>
      <c r="T15" s="98">
        <v>0.85952879639577295</v>
      </c>
      <c r="U15" s="1">
        <v>48</v>
      </c>
      <c r="V15" s="1">
        <v>28</v>
      </c>
      <c r="Y15" s="55">
        <v>0.675227923549229</v>
      </c>
      <c r="Z15" s="1">
        <v>1</v>
      </c>
      <c r="AA15" s="15">
        <v>2.6943087447523602</v>
      </c>
      <c r="AB15" s="1">
        <v>138</v>
      </c>
      <c r="AC15" s="1">
        <v>1</v>
      </c>
      <c r="AD15" s="1">
        <v>0</v>
      </c>
      <c r="AE15" s="15">
        <v>0.99275362318840576</v>
      </c>
      <c r="AF15" s="15">
        <v>0.88961038961038974</v>
      </c>
      <c r="AH15" s="55">
        <v>1.11669384228124</v>
      </c>
      <c r="AI15" s="1">
        <v>1</v>
      </c>
      <c r="AJ15" s="15">
        <v>2.8026900101438899</v>
      </c>
      <c r="AK15" s="1">
        <v>128</v>
      </c>
      <c r="AL15" s="1">
        <v>3</v>
      </c>
      <c r="AM15" s="1">
        <v>0</v>
      </c>
      <c r="AN15" s="15">
        <v>0.9765625</v>
      </c>
      <c r="AO15" s="15">
        <v>0.83950617283950613</v>
      </c>
      <c r="AQ15" s="55">
        <v>0.675227923549229</v>
      </c>
      <c r="AR15" s="2">
        <v>0.94155844155844159</v>
      </c>
      <c r="AS15" s="1">
        <v>48</v>
      </c>
      <c r="AT15" s="1">
        <v>54</v>
      </c>
      <c r="AU15" s="1">
        <v>0.02</v>
      </c>
      <c r="AW15" s="55">
        <v>1.5850261111319801</v>
      </c>
      <c r="AX15" s="2">
        <v>0.90666666666666662</v>
      </c>
      <c r="AY15" s="1">
        <v>48</v>
      </c>
      <c r="AZ15" s="1">
        <v>28</v>
      </c>
      <c r="BA15" s="1">
        <v>-0.02</v>
      </c>
      <c r="BR15" s="94">
        <v>0.67520000000000002</v>
      </c>
      <c r="BS15" s="1">
        <v>1</v>
      </c>
      <c r="BT15" s="15">
        <v>2.6943000000000001</v>
      </c>
      <c r="BU15" s="1">
        <v>138</v>
      </c>
      <c r="BV15" s="1">
        <v>2</v>
      </c>
      <c r="BW15" s="1">
        <v>0</v>
      </c>
      <c r="BX15" s="15">
        <v>0.98550724637681164</v>
      </c>
      <c r="BY15" s="15">
        <v>0.8831168831168833</v>
      </c>
      <c r="CA15" s="15">
        <v>1.1167</v>
      </c>
      <c r="CB15" s="1">
        <v>1</v>
      </c>
      <c r="CC15" s="15">
        <v>3.6858499999999998</v>
      </c>
      <c r="CD15" s="1">
        <v>123</v>
      </c>
      <c r="CE15" s="1">
        <v>0</v>
      </c>
      <c r="CF15" s="1">
        <v>1</v>
      </c>
      <c r="CG15" s="15">
        <v>1</v>
      </c>
      <c r="CH15" s="15">
        <v>0.82055901830931033</v>
      </c>
      <c r="CJ15" s="15">
        <v>0.67520000000000002</v>
      </c>
      <c r="CK15" s="15">
        <v>0.94155844155844159</v>
      </c>
      <c r="CL15" s="1">
        <v>48</v>
      </c>
      <c r="CM15" s="1">
        <v>54</v>
      </c>
      <c r="CP15" s="94">
        <v>2.0310999999999999</v>
      </c>
      <c r="CQ15" s="94">
        <v>0.88727113361901044</v>
      </c>
      <c r="CR15">
        <v>48</v>
      </c>
      <c r="CS15">
        <v>54</v>
      </c>
    </row>
    <row r="16" spans="13:98" x14ac:dyDescent="0.25">
      <c r="M16" s="15">
        <v>2.0584503606511402</v>
      </c>
      <c r="N16" s="15">
        <v>0.89544020720303097</v>
      </c>
      <c r="O16" s="1">
        <v>54</v>
      </c>
      <c r="P16" s="1">
        <v>51</v>
      </c>
      <c r="S16" s="98">
        <v>2.8026900101438899</v>
      </c>
      <c r="T16" s="98">
        <v>0.83699597581653595</v>
      </c>
      <c r="U16" s="1">
        <v>54</v>
      </c>
      <c r="V16" s="1">
        <v>26</v>
      </c>
      <c r="Y16" s="55">
        <v>1.0624467126625801</v>
      </c>
      <c r="Z16" s="1">
        <v>1</v>
      </c>
      <c r="AA16" s="15">
        <v>3.0548403406679898</v>
      </c>
      <c r="AB16" s="1">
        <v>137</v>
      </c>
      <c r="AC16" s="1">
        <v>3</v>
      </c>
      <c r="AD16" s="1">
        <v>0</v>
      </c>
      <c r="AE16" s="15">
        <v>0.97810218978102192</v>
      </c>
      <c r="AF16" s="15">
        <v>0.87012987012987031</v>
      </c>
      <c r="AH16" s="55">
        <v>1.11669384228124</v>
      </c>
      <c r="AI16" s="1">
        <v>1</v>
      </c>
      <c r="AJ16" s="15">
        <v>3.3646887327647699</v>
      </c>
      <c r="AK16" s="1">
        <v>125</v>
      </c>
      <c r="AL16" s="1">
        <v>2</v>
      </c>
      <c r="AM16" s="1">
        <v>0</v>
      </c>
      <c r="AN16" s="15">
        <v>0.98399999999999999</v>
      </c>
      <c r="AO16" s="15">
        <v>0.82607407407407407</v>
      </c>
      <c r="AQ16" s="55">
        <v>1.0624467126625801</v>
      </c>
      <c r="AR16" s="2">
        <v>0.94155844155844159</v>
      </c>
      <c r="AS16" s="1">
        <v>54</v>
      </c>
      <c r="AT16" s="1">
        <v>51</v>
      </c>
      <c r="AU16" s="1">
        <v>0.02</v>
      </c>
      <c r="AW16" s="55">
        <v>2.0310568433707701</v>
      </c>
      <c r="AX16" s="2">
        <v>0.90666666666666662</v>
      </c>
      <c r="AY16" s="1">
        <v>54</v>
      </c>
      <c r="AZ16" s="1">
        <v>26</v>
      </c>
      <c r="BA16" s="1">
        <v>-0.02</v>
      </c>
      <c r="BR16" s="94">
        <v>1.0624</v>
      </c>
      <c r="BS16" s="1">
        <v>1</v>
      </c>
      <c r="BT16" s="15">
        <v>3.6063999999999998</v>
      </c>
      <c r="BU16" s="1">
        <v>136</v>
      </c>
      <c r="BV16" s="1">
        <v>6</v>
      </c>
      <c r="BW16" s="1">
        <v>0</v>
      </c>
      <c r="BX16" s="15">
        <v>0.95588235294117652</v>
      </c>
      <c r="BY16" s="15">
        <v>0.84415584415584433</v>
      </c>
      <c r="CA16" s="15">
        <v>1.1167</v>
      </c>
      <c r="CB16" s="1">
        <v>1</v>
      </c>
      <c r="CC16" s="15">
        <v>4.0069999999999997</v>
      </c>
      <c r="CD16" s="1">
        <v>122</v>
      </c>
      <c r="CE16" s="1">
        <v>2</v>
      </c>
      <c r="CF16" s="1">
        <v>0</v>
      </c>
      <c r="CG16" s="15">
        <v>0.98360655737704916</v>
      </c>
      <c r="CH16" s="15">
        <v>0.80710723112391181</v>
      </c>
      <c r="CJ16" s="15">
        <v>1.0624</v>
      </c>
      <c r="CK16" s="15">
        <v>0.94155844155844159</v>
      </c>
      <c r="CL16" s="1">
        <v>54</v>
      </c>
      <c r="CM16" s="1">
        <v>51</v>
      </c>
      <c r="CP16" s="94">
        <v>2.4213</v>
      </c>
      <c r="CQ16" s="94">
        <v>0.88727113361901044</v>
      </c>
      <c r="CR16">
        <v>54</v>
      </c>
      <c r="CS16">
        <v>51</v>
      </c>
    </row>
    <row r="17" spans="1:97" x14ac:dyDescent="0.25">
      <c r="M17" s="15">
        <v>2.6943087447523602</v>
      </c>
      <c r="N17" s="15">
        <v>0.88599476539709299</v>
      </c>
      <c r="O17" s="1">
        <v>60</v>
      </c>
      <c r="P17" s="1">
        <v>20</v>
      </c>
      <c r="S17" s="98">
        <v>3.3646887327647699</v>
      </c>
      <c r="T17" s="98">
        <v>0.82150519495511498</v>
      </c>
      <c r="U17" s="1">
        <v>60</v>
      </c>
      <c r="V17" s="1">
        <v>13</v>
      </c>
      <c r="Y17" s="55">
        <v>1.0624467126625801</v>
      </c>
      <c r="Z17" s="1">
        <v>1</v>
      </c>
      <c r="AA17" s="15">
        <v>3.6063689863233002</v>
      </c>
      <c r="AB17" s="1">
        <v>134</v>
      </c>
      <c r="AC17" s="1">
        <v>3</v>
      </c>
      <c r="AD17" s="1">
        <v>0</v>
      </c>
      <c r="AE17" s="15">
        <v>0.97761194029850751</v>
      </c>
      <c r="AF17" s="15">
        <v>0.85064935064935088</v>
      </c>
      <c r="AH17" s="55">
        <v>1.11669384228124</v>
      </c>
      <c r="AI17" s="1">
        <v>1</v>
      </c>
      <c r="AJ17" s="15">
        <v>3.6858308599767051</v>
      </c>
      <c r="AK17" s="1">
        <v>123</v>
      </c>
      <c r="AL17" s="1">
        <v>0</v>
      </c>
      <c r="AM17" s="1">
        <v>1</v>
      </c>
      <c r="AN17" s="15">
        <v>1</v>
      </c>
      <c r="AO17" s="15">
        <v>0.82607407407407407</v>
      </c>
      <c r="AQ17" s="55">
        <v>1.0624467126625801</v>
      </c>
      <c r="AR17" s="2">
        <v>0.9285714285714286</v>
      </c>
      <c r="AS17" s="1">
        <v>60</v>
      </c>
      <c r="AT17" s="1">
        <v>20</v>
      </c>
      <c r="AU17" s="1">
        <v>0.02</v>
      </c>
      <c r="AW17" s="55">
        <v>2.0310568433707701</v>
      </c>
      <c r="AX17" s="2">
        <v>0.88651851851851848</v>
      </c>
      <c r="AY17" s="1">
        <v>60</v>
      </c>
      <c r="AZ17" s="1">
        <v>13</v>
      </c>
      <c r="BA17" s="1">
        <v>-0.02</v>
      </c>
      <c r="BR17" s="94">
        <v>1.0624</v>
      </c>
      <c r="BS17" s="1">
        <v>1</v>
      </c>
      <c r="BT17" s="15">
        <v>4.1348000000000003</v>
      </c>
      <c r="BU17" s="1">
        <v>130</v>
      </c>
      <c r="BV17" s="1">
        <v>2</v>
      </c>
      <c r="BW17" s="1">
        <v>0</v>
      </c>
      <c r="BX17" s="15">
        <v>0.98461538461538467</v>
      </c>
      <c r="BY17" s="15">
        <v>0.83116883116883133</v>
      </c>
      <c r="CA17" s="15">
        <v>1.1167</v>
      </c>
      <c r="CB17" s="1">
        <v>1</v>
      </c>
      <c r="CC17" s="15">
        <v>4.4084000000000003</v>
      </c>
      <c r="CD17" s="1">
        <v>120</v>
      </c>
      <c r="CE17" s="1">
        <v>3</v>
      </c>
      <c r="CF17" s="1">
        <v>0</v>
      </c>
      <c r="CG17" s="15">
        <v>0.97499999999999998</v>
      </c>
      <c r="CH17" s="15">
        <v>0.78692955034581402</v>
      </c>
      <c r="CJ17" s="15">
        <v>1.0624</v>
      </c>
      <c r="CK17" s="15">
        <v>0.9285714285714286</v>
      </c>
      <c r="CL17" s="1">
        <v>60</v>
      </c>
      <c r="CM17" s="1">
        <v>20</v>
      </c>
      <c r="CP17" s="94">
        <v>2.4213</v>
      </c>
      <c r="CQ17" s="94">
        <v>0.86058628749513044</v>
      </c>
      <c r="CR17">
        <v>60</v>
      </c>
      <c r="CS17">
        <v>20</v>
      </c>
    </row>
    <row r="18" spans="1:97" x14ac:dyDescent="0.25">
      <c r="M18" s="15">
        <v>3.0548403406679898</v>
      </c>
      <c r="N18" s="15">
        <v>0.86439972339882298</v>
      </c>
      <c r="O18" s="1">
        <v>66</v>
      </c>
      <c r="P18" s="1">
        <v>0</v>
      </c>
      <c r="S18" s="98">
        <v>4.0069729871886404</v>
      </c>
      <c r="T18" s="98">
        <v>0.80755452197709099</v>
      </c>
      <c r="U18" s="1">
        <v>66</v>
      </c>
      <c r="V18" s="1">
        <v>3</v>
      </c>
      <c r="Y18" s="55">
        <v>1.6738141413929699</v>
      </c>
      <c r="Z18" s="1">
        <v>1</v>
      </c>
      <c r="AA18" s="15">
        <v>4.1348457237041796</v>
      </c>
      <c r="AB18" s="1">
        <v>131</v>
      </c>
      <c r="AC18" s="1">
        <v>2</v>
      </c>
      <c r="AD18" s="1">
        <v>0</v>
      </c>
      <c r="AE18" s="15">
        <v>0.98473282442748089</v>
      </c>
      <c r="AF18" s="15">
        <v>0.83766233766233789</v>
      </c>
      <c r="AH18" s="55">
        <v>1.11669384228124</v>
      </c>
      <c r="AI18" s="1">
        <v>1</v>
      </c>
      <c r="AJ18" s="15">
        <v>4.0069729871886404</v>
      </c>
      <c r="AK18" s="1">
        <v>122</v>
      </c>
      <c r="AL18" s="1">
        <v>2</v>
      </c>
      <c r="AM18" s="1">
        <v>0</v>
      </c>
      <c r="AN18" s="15">
        <v>0.98360655737704916</v>
      </c>
      <c r="AO18" s="15">
        <v>0.81253187613843347</v>
      </c>
      <c r="AQ18" s="55">
        <v>1.6738141413929699</v>
      </c>
      <c r="AR18" s="2">
        <v>0.9285714285714286</v>
      </c>
      <c r="AS18" s="1">
        <v>66</v>
      </c>
      <c r="AT18" s="1">
        <v>0</v>
      </c>
      <c r="AU18" s="1">
        <v>0.02</v>
      </c>
      <c r="AW18" s="55">
        <v>2.4213337340797199</v>
      </c>
      <c r="AX18" s="2">
        <v>0.88651851851851848</v>
      </c>
      <c r="AY18" s="1">
        <v>66</v>
      </c>
      <c r="AZ18" s="1">
        <v>3</v>
      </c>
      <c r="BA18" s="1">
        <v>-0.02</v>
      </c>
      <c r="BR18" s="94">
        <v>1.6738</v>
      </c>
      <c r="BS18" s="1">
        <v>1</v>
      </c>
      <c r="BT18" s="15">
        <v>4.3597000000000001</v>
      </c>
      <c r="BU18" s="1">
        <v>128</v>
      </c>
      <c r="BV18" s="1">
        <v>3</v>
      </c>
      <c r="BW18" s="1">
        <v>0</v>
      </c>
      <c r="BX18" s="15">
        <v>0.9765625</v>
      </c>
      <c r="BY18" s="15">
        <v>0.8116883116883119</v>
      </c>
      <c r="CA18" s="15">
        <v>1.585</v>
      </c>
      <c r="CB18" s="1">
        <v>1</v>
      </c>
      <c r="CC18" s="15">
        <v>4.9703999999999997</v>
      </c>
      <c r="CD18" s="1">
        <v>117</v>
      </c>
      <c r="CE18" s="1">
        <v>2</v>
      </c>
      <c r="CF18" s="1">
        <v>0</v>
      </c>
      <c r="CG18" s="15">
        <v>0.98290598290598286</v>
      </c>
      <c r="CH18" s="15">
        <v>0.7734777631604155</v>
      </c>
      <c r="CJ18" s="15">
        <v>1.6738</v>
      </c>
      <c r="CK18" s="15">
        <v>0.9285714285714286</v>
      </c>
      <c r="CL18" s="1">
        <v>66</v>
      </c>
      <c r="CM18" s="1">
        <v>0</v>
      </c>
      <c r="CP18" s="94">
        <v>2.8027000000000002</v>
      </c>
      <c r="CQ18" s="94">
        <v>0.86058628749513044</v>
      </c>
      <c r="CR18">
        <v>66</v>
      </c>
      <c r="CS18">
        <v>0</v>
      </c>
    </row>
    <row r="19" spans="1:97" x14ac:dyDescent="0.25">
      <c r="M19" s="15">
        <v>3.6063689863233002</v>
      </c>
      <c r="N19" s="15">
        <v>0.84663568176418602</v>
      </c>
      <c r="O19" s="1">
        <v>72</v>
      </c>
      <c r="P19" s="1">
        <v>0</v>
      </c>
      <c r="S19" s="98">
        <v>4.4084006462035497</v>
      </c>
      <c r="T19" s="98">
        <v>0.78396022835550505</v>
      </c>
      <c r="U19" s="1">
        <v>72</v>
      </c>
      <c r="V19" s="1">
        <v>0</v>
      </c>
      <c r="Y19" s="55">
        <v>1.8372254813189399</v>
      </c>
      <c r="Z19" s="1">
        <v>1</v>
      </c>
      <c r="AA19" s="15">
        <v>4.3596664273429502</v>
      </c>
      <c r="AB19" s="1">
        <v>129</v>
      </c>
      <c r="AC19" s="1">
        <v>3</v>
      </c>
      <c r="AD19" s="1">
        <v>0</v>
      </c>
      <c r="AE19" s="15">
        <v>0.97674418604651159</v>
      </c>
      <c r="AF19" s="15">
        <v>0.81818181818181834</v>
      </c>
      <c r="AH19" s="55">
        <v>1.5850261111319801</v>
      </c>
      <c r="AI19" s="1">
        <v>1</v>
      </c>
      <c r="AJ19" s="15">
        <v>4.4084006462035497</v>
      </c>
      <c r="AK19" s="1">
        <v>120</v>
      </c>
      <c r="AL19" s="1">
        <v>4</v>
      </c>
      <c r="AM19" s="1">
        <v>0</v>
      </c>
      <c r="AN19" s="15">
        <v>0.96666666666666667</v>
      </c>
      <c r="AO19" s="15">
        <v>0.78544748026715239</v>
      </c>
      <c r="AQ19" s="55">
        <v>1.6738141413929699</v>
      </c>
      <c r="AR19" s="2">
        <v>0.92207792207792216</v>
      </c>
      <c r="AS19" s="1">
        <v>72</v>
      </c>
      <c r="AT19" s="1">
        <v>0</v>
      </c>
      <c r="AU19" s="1">
        <v>0.02</v>
      </c>
      <c r="AW19" s="55">
        <v>2.4213337340797199</v>
      </c>
      <c r="AX19" s="2">
        <v>0.85965432098765426</v>
      </c>
      <c r="AY19" s="1">
        <v>72</v>
      </c>
      <c r="AZ19" s="1">
        <v>0</v>
      </c>
      <c r="BA19" s="1">
        <v>-0.02</v>
      </c>
      <c r="BR19" s="94">
        <v>1.8371999999999999</v>
      </c>
      <c r="BS19" s="1">
        <v>1</v>
      </c>
      <c r="BT19" s="15">
        <v>4.9801000000000002</v>
      </c>
      <c r="BU19" s="1">
        <v>125</v>
      </c>
      <c r="BV19" s="1">
        <v>1</v>
      </c>
      <c r="BW19" s="1">
        <v>0</v>
      </c>
      <c r="BX19" s="15">
        <v>0.99199999999999999</v>
      </c>
      <c r="BY19" s="15">
        <v>0.80519480519480535</v>
      </c>
      <c r="CA19" s="94">
        <v>1.585</v>
      </c>
      <c r="CB19" s="1">
        <v>1</v>
      </c>
      <c r="CC19" s="15">
        <v>5.5324</v>
      </c>
      <c r="CD19" s="1">
        <v>115</v>
      </c>
      <c r="CE19" s="1">
        <v>7</v>
      </c>
      <c r="CF19" s="1">
        <v>0</v>
      </c>
      <c r="CG19" s="15">
        <v>0.93913043478260871</v>
      </c>
      <c r="CH19" s="15">
        <v>0.72639650801152067</v>
      </c>
      <c r="CJ19" s="15">
        <v>1.6738</v>
      </c>
      <c r="CK19" s="15">
        <v>0.92207792207792216</v>
      </c>
      <c r="CL19" s="1">
        <v>72</v>
      </c>
      <c r="CM19" s="1">
        <v>0</v>
      </c>
      <c r="CP19" s="94">
        <v>2.8027000000000002</v>
      </c>
      <c r="CQ19" s="94">
        <v>0.83390144137125033</v>
      </c>
      <c r="CR19">
        <v>72</v>
      </c>
      <c r="CS19">
        <v>0</v>
      </c>
    </row>
    <row r="20" spans="1:97" x14ac:dyDescent="0.25">
      <c r="M20" s="15">
        <v>4.1348457237041796</v>
      </c>
      <c r="N20" s="15">
        <v>0.83088488936838101</v>
      </c>
      <c r="O20" s="1"/>
      <c r="S20" s="98">
        <v>4.9703993688244301</v>
      </c>
      <c r="T20" s="98">
        <v>0.77316704694502503</v>
      </c>
      <c r="Y20" s="55">
        <v>1.8372254813189399</v>
      </c>
      <c r="Z20" s="1">
        <v>1</v>
      </c>
      <c r="AA20" s="15">
        <v>4.9800933600087198</v>
      </c>
      <c r="AB20" s="1">
        <v>126</v>
      </c>
      <c r="AC20" s="1">
        <v>1</v>
      </c>
      <c r="AD20" s="1">
        <v>0</v>
      </c>
      <c r="AE20" s="15">
        <v>0.99206349206349209</v>
      </c>
      <c r="AF20" s="15">
        <v>0.8116883116883119</v>
      </c>
      <c r="AH20" s="55">
        <v>1.5850261111319801</v>
      </c>
      <c r="AI20" s="1">
        <v>1</v>
      </c>
      <c r="AJ20" s="15">
        <v>4.9703993688244301</v>
      </c>
      <c r="AK20" s="1">
        <v>116</v>
      </c>
      <c r="AL20" s="1">
        <v>2</v>
      </c>
      <c r="AM20" s="1">
        <v>0</v>
      </c>
      <c r="AN20" s="15">
        <v>0.98275862068965514</v>
      </c>
      <c r="AO20" s="15">
        <v>0.77190528233151179</v>
      </c>
      <c r="AQ20" s="55">
        <v>1.8372254813189399</v>
      </c>
      <c r="AR20" s="2">
        <v>0.92207792207792216</v>
      </c>
      <c r="AW20" s="55">
        <v>2.8026900101438899</v>
      </c>
      <c r="AX20" s="2">
        <v>0.85965432098765426</v>
      </c>
      <c r="BR20" s="94">
        <v>1.8371999999999999</v>
      </c>
      <c r="BS20" s="1">
        <v>1</v>
      </c>
      <c r="BT20" s="15">
        <v>5.3025000000000002</v>
      </c>
      <c r="BU20" s="1">
        <v>124</v>
      </c>
      <c r="BV20" s="1">
        <v>1</v>
      </c>
      <c r="BW20" s="1">
        <v>0</v>
      </c>
      <c r="BX20" s="15">
        <v>0.99193548387096775</v>
      </c>
      <c r="BY20" s="15">
        <v>0.79870129870129891</v>
      </c>
      <c r="CA20" s="94">
        <v>1.585</v>
      </c>
      <c r="CB20" s="1">
        <v>1</v>
      </c>
      <c r="CC20" s="15">
        <v>6.0616000000000003</v>
      </c>
      <c r="CD20" s="1">
        <v>108</v>
      </c>
      <c r="CE20" s="1">
        <v>3</v>
      </c>
      <c r="CF20" s="1">
        <v>0</v>
      </c>
      <c r="CG20" s="15">
        <v>0.97222222222222221</v>
      </c>
      <c r="CH20" s="15">
        <v>0.70621882723342289</v>
      </c>
      <c r="CJ20" s="15">
        <v>1.8371999999999999</v>
      </c>
      <c r="CK20" s="15">
        <v>0.92207792207792216</v>
      </c>
      <c r="CP20" s="94">
        <v>3.3647</v>
      </c>
      <c r="CQ20" s="94">
        <v>0.83390144137125033</v>
      </c>
    </row>
    <row r="21" spans="1:97" x14ac:dyDescent="0.25">
      <c r="M21" s="15">
        <v>4.3596664273429502</v>
      </c>
      <c r="N21" s="15">
        <v>0.81333802266510302</v>
      </c>
      <c r="O21" s="1"/>
      <c r="S21" s="98">
        <v>5.1711131983318896</v>
      </c>
      <c r="T21" s="98">
        <v>0.75103202509793598</v>
      </c>
      <c r="Y21" s="55">
        <v>1.8372254813189399</v>
      </c>
      <c r="Z21" s="1">
        <v>1</v>
      </c>
      <c r="AA21" s="15">
        <v>5.3025152748059803</v>
      </c>
      <c r="AB21" s="1">
        <v>125</v>
      </c>
      <c r="AC21" s="1">
        <v>1</v>
      </c>
      <c r="AD21" s="1">
        <v>0</v>
      </c>
      <c r="AE21" s="15">
        <v>0.99199999999999999</v>
      </c>
      <c r="AF21" s="15">
        <v>0.80519480519480535</v>
      </c>
      <c r="AH21" s="55">
        <v>1.5850261111319801</v>
      </c>
      <c r="AI21" s="1">
        <v>1</v>
      </c>
      <c r="AJ21" s="15">
        <v>5.1711131983318896</v>
      </c>
      <c r="AK21" s="1">
        <v>114</v>
      </c>
      <c r="AL21" s="1">
        <v>3</v>
      </c>
      <c r="AM21" s="1">
        <v>0</v>
      </c>
      <c r="AN21" s="15">
        <v>0.97368421052631582</v>
      </c>
      <c r="AO21" s="15">
        <v>0.75159198542805095</v>
      </c>
      <c r="AQ21" s="55">
        <v>1.8372254813189399</v>
      </c>
      <c r="AR21" s="2">
        <v>0.90259740259740273</v>
      </c>
      <c r="AW21" s="55">
        <v>2.8026900101438899</v>
      </c>
      <c r="AX21" s="2">
        <v>0.83950617283950613</v>
      </c>
      <c r="BR21" s="94">
        <v>1.8371999999999999</v>
      </c>
      <c r="BS21" s="1">
        <v>1</v>
      </c>
      <c r="BT21" s="15">
        <v>5.6322999999999999</v>
      </c>
      <c r="BU21" s="1">
        <v>123</v>
      </c>
      <c r="BV21" s="1">
        <v>1</v>
      </c>
      <c r="BW21" s="1">
        <v>0</v>
      </c>
      <c r="BX21" s="15">
        <v>0.99186991869918695</v>
      </c>
      <c r="BY21" s="15">
        <v>0.79220779220779236</v>
      </c>
      <c r="CA21" s="94">
        <v>1.8080499999999999</v>
      </c>
      <c r="CB21" s="1">
        <v>0</v>
      </c>
      <c r="CC21" s="15">
        <v>6.4212999999999996</v>
      </c>
      <c r="CD21" s="1">
        <v>105</v>
      </c>
      <c r="CE21" s="1">
        <v>3</v>
      </c>
      <c r="CF21" s="1">
        <v>0</v>
      </c>
      <c r="CG21" s="15">
        <v>0.97142857142857142</v>
      </c>
      <c r="CH21" s="15">
        <v>0.6860411464553251</v>
      </c>
      <c r="CJ21" s="15">
        <v>1.8371999999999999</v>
      </c>
      <c r="CK21" s="15">
        <v>0.90259740259740273</v>
      </c>
      <c r="CP21" s="94">
        <v>3.3647</v>
      </c>
      <c r="CQ21" s="94">
        <v>0.82055901830931033</v>
      </c>
    </row>
    <row r="22" spans="1:97" x14ac:dyDescent="0.25">
      <c r="M22" s="15">
        <v>4.9800933600087198</v>
      </c>
      <c r="N22" s="15">
        <v>0.80461101058215501</v>
      </c>
      <c r="O22" s="1"/>
      <c r="S22" s="98">
        <v>5.5323980914453097</v>
      </c>
      <c r="T22" s="98">
        <v>0.72935485014505796</v>
      </c>
      <c r="Y22" s="55">
        <v>2.0584503606511402</v>
      </c>
      <c r="Z22" s="1">
        <v>1</v>
      </c>
      <c r="AA22" s="15">
        <v>5.6322558343838303</v>
      </c>
      <c r="AB22" s="1">
        <v>124</v>
      </c>
      <c r="AC22" s="1">
        <v>1</v>
      </c>
      <c r="AD22" s="1">
        <v>0</v>
      </c>
      <c r="AE22" s="15">
        <v>0.99193548387096775</v>
      </c>
      <c r="AF22" s="15">
        <v>0.79870129870129891</v>
      </c>
      <c r="AH22" s="55">
        <v>1.8080414772513751</v>
      </c>
      <c r="AI22" s="1">
        <v>0</v>
      </c>
      <c r="AJ22" s="15">
        <v>5.5323980914453097</v>
      </c>
      <c r="AK22" s="1">
        <v>111</v>
      </c>
      <c r="AL22" s="1">
        <v>3</v>
      </c>
      <c r="AM22" s="1">
        <v>0</v>
      </c>
      <c r="AN22" s="15">
        <v>0.97297297297297303</v>
      </c>
      <c r="AO22" s="15">
        <v>0.7312786885245901</v>
      </c>
      <c r="AQ22" s="55">
        <v>2.0584503606511402</v>
      </c>
      <c r="AR22" s="2">
        <v>0.90259740259740273</v>
      </c>
      <c r="AW22" s="55">
        <v>3.3646887327647699</v>
      </c>
      <c r="AX22" s="2">
        <v>0.83950617283950613</v>
      </c>
      <c r="BR22" s="94">
        <v>2.0585</v>
      </c>
      <c r="BS22" s="1">
        <v>1</v>
      </c>
      <c r="BT22" s="15">
        <v>5.9729000000000001</v>
      </c>
      <c r="BU22" s="1">
        <v>122</v>
      </c>
      <c r="BV22" s="1">
        <v>3</v>
      </c>
      <c r="BW22" s="1">
        <v>0</v>
      </c>
      <c r="BX22" s="15">
        <v>0.97540983606557374</v>
      </c>
      <c r="BY22" s="15">
        <v>0.77272727272727282</v>
      </c>
      <c r="CA22" s="94">
        <v>2.0310999999999999</v>
      </c>
      <c r="CB22" s="1">
        <v>1</v>
      </c>
      <c r="CC22" s="15">
        <v>7.0578000000000003</v>
      </c>
      <c r="CD22" s="1">
        <v>102</v>
      </c>
      <c r="CE22" s="1">
        <v>1</v>
      </c>
      <c r="CF22" s="1">
        <v>0</v>
      </c>
      <c r="CG22" s="15">
        <v>0.99019607843137258</v>
      </c>
      <c r="CH22" s="15">
        <v>0.67931525286262584</v>
      </c>
      <c r="CJ22" s="15">
        <v>2.0585</v>
      </c>
      <c r="CK22" s="15">
        <v>0.90259740259740273</v>
      </c>
      <c r="CP22" s="94">
        <v>4.0069999999999997</v>
      </c>
      <c r="CQ22" s="94">
        <v>0.82055901830931033</v>
      </c>
    </row>
    <row r="23" spans="1:97" x14ac:dyDescent="0.25">
      <c r="M23" s="15">
        <v>5.3025152748059803</v>
      </c>
      <c r="N23" s="15">
        <v>0.80020633059788904</v>
      </c>
      <c r="S23" s="98">
        <v>6.0615527328740697</v>
      </c>
      <c r="T23" s="98">
        <v>0.70594070480674298</v>
      </c>
      <c r="Y23" s="55">
        <v>2.6943087447523602</v>
      </c>
      <c r="Z23" s="1">
        <v>1</v>
      </c>
      <c r="AA23" s="15">
        <v>5.9729215229020998</v>
      </c>
      <c r="AB23" s="1">
        <v>123</v>
      </c>
      <c r="AC23" s="1">
        <v>3</v>
      </c>
      <c r="AD23" s="1">
        <v>0</v>
      </c>
      <c r="AE23" s="15">
        <v>0.97560975609756095</v>
      </c>
      <c r="AF23" s="15">
        <v>0.77922077922077937</v>
      </c>
      <c r="AH23" s="55">
        <v>2.0310568433707701</v>
      </c>
      <c r="AI23" s="1">
        <v>1</v>
      </c>
      <c r="AJ23" s="15">
        <v>6.0615527328740697</v>
      </c>
      <c r="AK23" s="1">
        <v>108</v>
      </c>
      <c r="AL23" s="1">
        <v>3</v>
      </c>
      <c r="AM23" s="1">
        <v>0</v>
      </c>
      <c r="AN23" s="15">
        <v>0.97222222222222221</v>
      </c>
      <c r="AO23" s="15">
        <v>0.71096539162112926</v>
      </c>
      <c r="AQ23" s="55">
        <v>2.0584503606511402</v>
      </c>
      <c r="AR23" s="2">
        <v>0.89610389610389629</v>
      </c>
      <c r="AW23" s="55">
        <v>3.3646887327647699</v>
      </c>
      <c r="AX23" s="2">
        <v>0.82607407407407407</v>
      </c>
      <c r="BR23" s="94">
        <v>2.6943000000000001</v>
      </c>
      <c r="BS23" s="1">
        <v>1</v>
      </c>
      <c r="BT23" s="15">
        <v>6.6115000000000004</v>
      </c>
      <c r="BU23" s="1">
        <v>119</v>
      </c>
      <c r="BV23" s="1">
        <v>1</v>
      </c>
      <c r="BW23" s="1">
        <v>0</v>
      </c>
      <c r="BX23" s="15">
        <v>0.99159663865546221</v>
      </c>
      <c r="BY23" s="15">
        <v>0.76623376623376638</v>
      </c>
      <c r="CA23" s="94">
        <v>2.0310999999999999</v>
      </c>
      <c r="CB23" s="1">
        <v>1</v>
      </c>
      <c r="CC23" s="15">
        <v>7.4547999999999996</v>
      </c>
      <c r="CD23" s="1">
        <v>101</v>
      </c>
      <c r="CE23" s="1">
        <v>3</v>
      </c>
      <c r="CF23" s="1">
        <v>0</v>
      </c>
      <c r="CG23" s="15">
        <v>0.97029702970297027</v>
      </c>
      <c r="CH23" s="15">
        <v>0.65913757208452806</v>
      </c>
      <c r="CJ23" s="15">
        <v>2.0585</v>
      </c>
      <c r="CK23" s="15">
        <v>0.89610389610389629</v>
      </c>
      <c r="CP23" s="94">
        <v>4.0069999999999997</v>
      </c>
      <c r="CQ23" s="94">
        <v>0.80710723112391181</v>
      </c>
    </row>
    <row r="24" spans="1:97" x14ac:dyDescent="0.25">
      <c r="A24" t="s">
        <v>784</v>
      </c>
      <c r="M24" s="15">
        <v>5.6322558343838303</v>
      </c>
      <c r="N24" s="15">
        <v>0.794922947735761</v>
      </c>
      <c r="S24" s="98">
        <v>6.4212736221212001</v>
      </c>
      <c r="T24" s="98">
        <v>0.685014696017757</v>
      </c>
      <c r="Y24" s="55">
        <v>3.0548403406679898</v>
      </c>
      <c r="Z24" s="1">
        <v>1</v>
      </c>
      <c r="AA24" s="15">
        <v>6.6115080339554497</v>
      </c>
      <c r="AB24" s="1">
        <v>120</v>
      </c>
      <c r="AC24" s="1">
        <v>2</v>
      </c>
      <c r="AD24" s="1">
        <v>0</v>
      </c>
      <c r="AE24" s="15">
        <v>0.98333333333333328</v>
      </c>
      <c r="AF24" s="15">
        <v>0.76623376623376638</v>
      </c>
      <c r="AH24" s="55">
        <v>2.0310568433707701</v>
      </c>
      <c r="AI24" s="1">
        <v>1</v>
      </c>
      <c r="AJ24" s="15">
        <v>6.4212736221212001</v>
      </c>
      <c r="AK24" s="1">
        <v>105</v>
      </c>
      <c r="AL24" s="1">
        <v>3</v>
      </c>
      <c r="AM24" s="1">
        <v>0</v>
      </c>
      <c r="AN24" s="15">
        <v>0.97142857142857142</v>
      </c>
      <c r="AO24" s="15">
        <v>0.69065209471766842</v>
      </c>
      <c r="AQ24" s="55">
        <v>2.6943087447523602</v>
      </c>
      <c r="AR24" s="2">
        <v>0.89610389610389629</v>
      </c>
      <c r="AW24" s="55">
        <v>4.0069729871886404</v>
      </c>
      <c r="AX24" s="2">
        <v>0.82607407407407407</v>
      </c>
      <c r="BR24" s="94">
        <v>2.6943000000000001</v>
      </c>
      <c r="BS24" s="1">
        <v>1</v>
      </c>
      <c r="BT24" s="15">
        <v>7.15</v>
      </c>
      <c r="BU24" s="1">
        <v>118</v>
      </c>
      <c r="BV24" s="1">
        <v>2</v>
      </c>
      <c r="BW24" s="1">
        <v>0</v>
      </c>
      <c r="BX24" s="15">
        <v>0.98305084745762716</v>
      </c>
      <c r="BY24" s="15">
        <v>0.75324675324675339</v>
      </c>
      <c r="CA24" s="94">
        <v>2.0310999999999999</v>
      </c>
      <c r="CB24" s="1">
        <v>1</v>
      </c>
      <c r="CC24" s="15">
        <v>8.0614000000000008</v>
      </c>
      <c r="CD24" s="1">
        <v>98</v>
      </c>
      <c r="CE24" s="1">
        <v>2</v>
      </c>
      <c r="CF24" s="1">
        <v>0</v>
      </c>
      <c r="CG24" s="15">
        <v>0.97959183673469385</v>
      </c>
      <c r="CH24" s="15">
        <v>0.64568578489912953</v>
      </c>
      <c r="CJ24" s="15">
        <v>2.6943000000000001</v>
      </c>
      <c r="CK24" s="15">
        <v>0.89610389610389629</v>
      </c>
      <c r="CP24" s="94">
        <v>4.4084000000000003</v>
      </c>
      <c r="CQ24" s="94">
        <v>0.80710723112391181</v>
      </c>
    </row>
    <row r="25" spans="1:97" x14ac:dyDescent="0.25">
      <c r="M25" s="15">
        <v>5.9729215229020998</v>
      </c>
      <c r="N25" s="15">
        <v>0.77514804656615499</v>
      </c>
      <c r="S25" s="98">
        <v>7.0578231957019897</v>
      </c>
      <c r="T25" s="98">
        <v>0.67888311960595205</v>
      </c>
      <c r="Y25" s="55">
        <v>3.0548403406679898</v>
      </c>
      <c r="Z25" s="1">
        <v>1</v>
      </c>
      <c r="AA25" s="15">
        <v>7.1499879615860298</v>
      </c>
      <c r="AB25" s="1">
        <v>118</v>
      </c>
      <c r="AC25" s="1">
        <v>2</v>
      </c>
      <c r="AD25" s="1">
        <v>0</v>
      </c>
      <c r="AE25" s="15">
        <v>0.98305084745762716</v>
      </c>
      <c r="AF25" s="15">
        <v>0.75324675324675339</v>
      </c>
      <c r="AH25" s="55">
        <v>2.0310568433707701</v>
      </c>
      <c r="AI25" s="1">
        <v>1</v>
      </c>
      <c r="AJ25" s="15">
        <v>7.0578231957019897</v>
      </c>
      <c r="AK25" s="1">
        <v>102</v>
      </c>
      <c r="AL25" s="1">
        <v>1</v>
      </c>
      <c r="AM25" s="1">
        <v>0</v>
      </c>
      <c r="AN25" s="15">
        <v>0.99019607843137258</v>
      </c>
      <c r="AO25" s="15">
        <v>0.68388099574984818</v>
      </c>
      <c r="AQ25" s="55">
        <v>2.6943087447523602</v>
      </c>
      <c r="AR25" s="2">
        <v>0.88961038961038974</v>
      </c>
      <c r="AW25" s="55">
        <v>4.0069729871886404</v>
      </c>
      <c r="AX25" s="2">
        <v>0.81253187613843347</v>
      </c>
      <c r="BR25" s="94">
        <v>3.6063999999999998</v>
      </c>
      <c r="BS25" s="1">
        <v>1</v>
      </c>
      <c r="BT25" s="15">
        <v>7.8342999999999998</v>
      </c>
      <c r="BU25" s="1">
        <v>116</v>
      </c>
      <c r="BV25" s="1">
        <v>1</v>
      </c>
      <c r="BW25" s="1">
        <v>0</v>
      </c>
      <c r="BX25" s="15">
        <v>0.99137931034482762</v>
      </c>
      <c r="BY25" s="15">
        <v>0.74675324675324695</v>
      </c>
      <c r="CA25" s="94">
        <v>2.4213</v>
      </c>
      <c r="CB25" s="1">
        <v>1</v>
      </c>
      <c r="CC25" s="15">
        <v>8.4539000000000009</v>
      </c>
      <c r="CD25" s="1">
        <v>96</v>
      </c>
      <c r="CE25" s="1">
        <v>4</v>
      </c>
      <c r="CF25" s="1">
        <v>0</v>
      </c>
      <c r="CG25" s="15">
        <v>0.95833333333333337</v>
      </c>
      <c r="CH25" s="15">
        <v>0.61878221052833249</v>
      </c>
      <c r="CJ25" s="15">
        <v>2.6943000000000001</v>
      </c>
      <c r="CK25" s="15">
        <v>0.8831168831168833</v>
      </c>
      <c r="CP25" s="94">
        <v>4.4084000000000003</v>
      </c>
      <c r="CQ25" s="94">
        <v>0.78692955034581402</v>
      </c>
    </row>
    <row r="26" spans="1:97" x14ac:dyDescent="0.25">
      <c r="M26" s="15">
        <v>6.6115080339554497</v>
      </c>
      <c r="N26" s="15">
        <v>0.76550304923408796</v>
      </c>
      <c r="S26" s="98">
        <v>7.45479054739452</v>
      </c>
      <c r="T26" s="98">
        <v>0.65924191396146103</v>
      </c>
      <c r="Y26" s="55">
        <v>3.0548403406679898</v>
      </c>
      <c r="Z26" s="1">
        <v>1</v>
      </c>
      <c r="AA26" s="15">
        <v>7.8343304893104602</v>
      </c>
      <c r="AB26" s="1">
        <v>116</v>
      </c>
      <c r="AC26" s="1">
        <v>1</v>
      </c>
      <c r="AD26" s="1">
        <v>0</v>
      </c>
      <c r="AE26" s="15">
        <v>0.99137931034482762</v>
      </c>
      <c r="AF26" s="15">
        <v>0.74675324675324695</v>
      </c>
      <c r="AH26" s="55">
        <v>2.4213337340797199</v>
      </c>
      <c r="AI26" s="1">
        <v>1</v>
      </c>
      <c r="AJ26" s="15">
        <v>7.45479054739452</v>
      </c>
      <c r="AK26" s="1">
        <v>101</v>
      </c>
      <c r="AL26" s="1">
        <v>3</v>
      </c>
      <c r="AM26" s="1">
        <v>0</v>
      </c>
      <c r="AN26" s="15">
        <v>0.97029702970297027</v>
      </c>
      <c r="AO26" s="15">
        <v>0.66356769884638733</v>
      </c>
      <c r="AQ26" s="55">
        <v>3.0548403406679898</v>
      </c>
      <c r="AR26" s="2">
        <v>0.88961038961038974</v>
      </c>
      <c r="AW26" s="55">
        <v>4.4084006462035497</v>
      </c>
      <c r="AX26" s="2">
        <v>0.81253187613843347</v>
      </c>
      <c r="BR26" s="94">
        <v>3.6063999999999998</v>
      </c>
      <c r="BS26" s="1">
        <v>1</v>
      </c>
      <c r="BT26" s="15">
        <v>8.4863999999999997</v>
      </c>
      <c r="BU26" s="1">
        <v>115</v>
      </c>
      <c r="BV26" s="1">
        <v>1</v>
      </c>
      <c r="BW26" s="1">
        <v>0</v>
      </c>
      <c r="BX26" s="15">
        <v>0.99130434782608701</v>
      </c>
      <c r="BY26" s="15">
        <v>0.74025974025974051</v>
      </c>
      <c r="CA26" s="94">
        <v>2.4213</v>
      </c>
      <c r="CB26" s="1">
        <v>1</v>
      </c>
      <c r="CC26" s="15">
        <v>8.7078000000000007</v>
      </c>
      <c r="CD26" s="1">
        <v>92</v>
      </c>
      <c r="CE26" s="1">
        <v>1</v>
      </c>
      <c r="CF26" s="1">
        <v>0</v>
      </c>
      <c r="CG26" s="15">
        <v>0.98913043478260865</v>
      </c>
      <c r="CH26" s="15">
        <v>0.61205631693563323</v>
      </c>
      <c r="CJ26" s="15">
        <v>3.6063999999999998</v>
      </c>
      <c r="CK26" s="15">
        <v>0.8831168831168833</v>
      </c>
      <c r="CP26" s="94">
        <v>4.9703999999999997</v>
      </c>
      <c r="CQ26" s="94">
        <v>0.78692955034581402</v>
      </c>
    </row>
    <row r="27" spans="1:97" x14ac:dyDescent="0.25">
      <c r="M27" s="15">
        <v>7.1499879615860298</v>
      </c>
      <c r="N27" s="15">
        <v>0.75092800130865001</v>
      </c>
      <c r="S27" s="98">
        <v>8.0613923432392802</v>
      </c>
      <c r="T27" s="98">
        <v>0.64307311609075002</v>
      </c>
      <c r="Y27" s="55">
        <v>3.6063689863233002</v>
      </c>
      <c r="Z27" s="1">
        <v>1</v>
      </c>
      <c r="AA27" s="15">
        <v>8.4864422721886701</v>
      </c>
      <c r="AB27" s="1">
        <v>115</v>
      </c>
      <c r="AC27" s="1">
        <v>1</v>
      </c>
      <c r="AD27" s="1">
        <v>0</v>
      </c>
      <c r="AE27" s="15">
        <v>0.99130434782608701</v>
      </c>
      <c r="AF27" s="15">
        <v>0.74025974025974051</v>
      </c>
      <c r="AH27" s="55">
        <v>2.4213337340797199</v>
      </c>
      <c r="AI27" s="1">
        <v>1</v>
      </c>
      <c r="AJ27" s="15">
        <v>8.0613923432392802</v>
      </c>
      <c r="AK27" s="1">
        <v>98</v>
      </c>
      <c r="AL27" s="1">
        <v>2</v>
      </c>
      <c r="AM27" s="1">
        <v>0</v>
      </c>
      <c r="AN27" s="15">
        <v>0.97959183673469385</v>
      </c>
      <c r="AO27" s="15">
        <v>0.65002550091074673</v>
      </c>
      <c r="AQ27" s="55">
        <v>3.0548403406679898</v>
      </c>
      <c r="AR27" s="2">
        <v>0.87012987012987031</v>
      </c>
      <c r="AW27" s="55">
        <v>4.4084006462035497</v>
      </c>
      <c r="AX27" s="2">
        <v>0.78544748026715239</v>
      </c>
      <c r="BR27" s="94">
        <v>3.6063999999999998</v>
      </c>
      <c r="BS27" s="1">
        <v>1</v>
      </c>
      <c r="BT27" s="15">
        <v>8.8191500000000005</v>
      </c>
      <c r="BU27" s="1">
        <v>114</v>
      </c>
      <c r="BV27" s="1">
        <v>0</v>
      </c>
      <c r="BW27" s="1">
        <v>1</v>
      </c>
      <c r="BX27" s="15">
        <v>1</v>
      </c>
      <c r="BY27" s="15">
        <v>0.74025974025974051</v>
      </c>
      <c r="CA27" s="94">
        <v>2.4213</v>
      </c>
      <c r="CB27" s="1">
        <v>1</v>
      </c>
      <c r="CC27" s="15">
        <v>8.8933999999999997</v>
      </c>
      <c r="CD27" s="1">
        <v>91</v>
      </c>
      <c r="CE27" s="1">
        <v>2</v>
      </c>
      <c r="CF27" s="1">
        <v>0</v>
      </c>
      <c r="CG27" s="15">
        <v>0.97802197802197799</v>
      </c>
      <c r="CH27" s="15">
        <v>0.5986045297502347</v>
      </c>
      <c r="CJ27" s="15">
        <v>3.6063999999999998</v>
      </c>
      <c r="CK27" s="15">
        <v>0.84415584415584433</v>
      </c>
      <c r="CP27" s="94">
        <v>4.9703999999999997</v>
      </c>
      <c r="CQ27" s="94">
        <v>0.7734777631604155</v>
      </c>
    </row>
    <row r="28" spans="1:97" x14ac:dyDescent="0.25">
      <c r="M28" s="15">
        <v>7.8343304893104602</v>
      </c>
      <c r="N28" s="15">
        <v>0.74707492414888998</v>
      </c>
      <c r="S28" s="98">
        <v>8.4538993876094199</v>
      </c>
      <c r="T28" s="98">
        <v>0.61996868257367699</v>
      </c>
      <c r="Y28" s="55">
        <v>3.6063689863233002</v>
      </c>
      <c r="Z28" s="1">
        <v>1</v>
      </c>
      <c r="AA28" s="15">
        <v>9.1518773817679708</v>
      </c>
      <c r="AB28" s="1">
        <v>114</v>
      </c>
      <c r="AC28" s="1">
        <v>1</v>
      </c>
      <c r="AD28" s="1">
        <v>0</v>
      </c>
      <c r="AE28" s="15">
        <v>0.99122807017543857</v>
      </c>
      <c r="AF28" s="15">
        <v>0.73376623376623396</v>
      </c>
      <c r="AH28" s="55">
        <v>2.4213337340797199</v>
      </c>
      <c r="AI28" s="1">
        <v>1</v>
      </c>
      <c r="AJ28" s="15">
        <v>8.4538993876094199</v>
      </c>
      <c r="AK28" s="1">
        <v>96</v>
      </c>
      <c r="AL28" s="1">
        <v>3</v>
      </c>
      <c r="AM28" s="1">
        <v>0</v>
      </c>
      <c r="AN28" s="15">
        <v>0.96875</v>
      </c>
      <c r="AO28" s="15">
        <v>0.62971220400728589</v>
      </c>
      <c r="AQ28" s="55">
        <v>3.6063689863233002</v>
      </c>
      <c r="AR28" s="2">
        <v>0.87012987012987031</v>
      </c>
      <c r="AW28" s="55">
        <v>4.9703993688244301</v>
      </c>
      <c r="AX28" s="2">
        <v>0.78544748026715239</v>
      </c>
      <c r="BR28" s="94">
        <v>3.6063999999999998</v>
      </c>
      <c r="BS28" s="1">
        <v>1</v>
      </c>
      <c r="BT28" s="15">
        <v>9.1518999999999995</v>
      </c>
      <c r="BU28" s="1">
        <v>113</v>
      </c>
      <c r="BV28" s="1">
        <v>1</v>
      </c>
      <c r="BW28" s="1">
        <v>0</v>
      </c>
      <c r="BX28" s="15">
        <v>0.99115044247787609</v>
      </c>
      <c r="BY28" s="15">
        <v>0.73370876910699945</v>
      </c>
      <c r="CA28" s="94">
        <v>2.4213</v>
      </c>
      <c r="CB28" s="1">
        <v>1</v>
      </c>
      <c r="CC28" s="15">
        <v>9.5466999999999995</v>
      </c>
      <c r="CD28" s="1">
        <v>89</v>
      </c>
      <c r="CE28" s="1">
        <v>3</v>
      </c>
      <c r="CF28" s="1">
        <v>0</v>
      </c>
      <c r="CG28" s="15">
        <v>0.9662921348314607</v>
      </c>
      <c r="CH28" s="15">
        <v>0.57842684897213692</v>
      </c>
      <c r="CJ28" s="15">
        <v>4.1348000000000003</v>
      </c>
      <c r="CK28" s="15">
        <v>0.84415584415584433</v>
      </c>
      <c r="CP28" s="94">
        <v>5.5324</v>
      </c>
      <c r="CQ28" s="94">
        <v>0.7734777631604155</v>
      </c>
    </row>
    <row r="29" spans="1:97" x14ac:dyDescent="0.25">
      <c r="M29" s="15">
        <v>8.4864422721886701</v>
      </c>
      <c r="N29" s="15">
        <v>0.73813519452547705</v>
      </c>
      <c r="S29" s="98">
        <v>8.7077882556261006</v>
      </c>
      <c r="T29" s="98">
        <v>0.61030795165302898</v>
      </c>
      <c r="Y29" s="55">
        <v>3.6063689863233002</v>
      </c>
      <c r="Z29" s="1">
        <v>1</v>
      </c>
      <c r="AA29" s="15">
        <v>9.6117763637243705</v>
      </c>
      <c r="AB29" s="1">
        <v>113</v>
      </c>
      <c r="AC29" s="1">
        <v>3</v>
      </c>
      <c r="AD29" s="1">
        <v>0</v>
      </c>
      <c r="AE29" s="15">
        <v>0.97345132743362828</v>
      </c>
      <c r="AF29" s="15">
        <v>0.71428571428571441</v>
      </c>
      <c r="AH29" s="55">
        <v>2.4213337340797199</v>
      </c>
      <c r="AI29" s="1">
        <v>1</v>
      </c>
      <c r="AJ29" s="15">
        <v>8.7077882556261006</v>
      </c>
      <c r="AK29" s="1">
        <v>93</v>
      </c>
      <c r="AL29" s="1">
        <v>1</v>
      </c>
      <c r="AM29" s="1">
        <v>0</v>
      </c>
      <c r="AN29" s="15">
        <v>0.989247311827957</v>
      </c>
      <c r="AO29" s="15">
        <v>0.62294110503946565</v>
      </c>
      <c r="AQ29" s="55">
        <v>3.6063689863233002</v>
      </c>
      <c r="AR29" s="2">
        <v>0.85064935064935088</v>
      </c>
      <c r="AW29" s="55">
        <v>4.9703993688244301</v>
      </c>
      <c r="AX29" s="2">
        <v>0.77190528233151179</v>
      </c>
      <c r="BR29" s="94">
        <v>3.6063999999999998</v>
      </c>
      <c r="BS29" s="1">
        <v>1</v>
      </c>
      <c r="BT29" s="15">
        <v>9.6118000000000006</v>
      </c>
      <c r="BU29" s="1">
        <v>112</v>
      </c>
      <c r="BV29" s="1">
        <v>3</v>
      </c>
      <c r="BW29" s="1">
        <v>0</v>
      </c>
      <c r="BX29" s="15">
        <v>0.9732142857142857</v>
      </c>
      <c r="BY29" s="15">
        <v>0.71405585564877627</v>
      </c>
      <c r="CA29" s="94">
        <v>2.8027000000000002</v>
      </c>
      <c r="CB29" s="1">
        <v>1</v>
      </c>
      <c r="CC29" s="15">
        <v>10.0571</v>
      </c>
      <c r="CD29" s="1">
        <v>86</v>
      </c>
      <c r="CE29" s="1">
        <v>2</v>
      </c>
      <c r="CF29" s="1">
        <v>0</v>
      </c>
      <c r="CG29" s="15">
        <v>0.97674418604651159</v>
      </c>
      <c r="CH29" s="15">
        <v>0.5649750617867384</v>
      </c>
      <c r="CJ29" s="15">
        <v>4.1348000000000003</v>
      </c>
      <c r="CK29" s="15">
        <v>0.83116883116883133</v>
      </c>
      <c r="CP29" s="94">
        <v>5.5324</v>
      </c>
      <c r="CQ29" s="94">
        <v>0.72639650801152067</v>
      </c>
    </row>
    <row r="30" spans="1:97" x14ac:dyDescent="0.25">
      <c r="M30" s="15">
        <v>9.1518773817679708</v>
      </c>
      <c r="N30" s="15">
        <v>0.73288194750077496</v>
      </c>
      <c r="S30" s="98">
        <v>8.8934424001065597</v>
      </c>
      <c r="T30" s="98">
        <v>0.59803233596611405</v>
      </c>
      <c r="Y30" s="55">
        <v>4.1348457237041796</v>
      </c>
      <c r="Z30" s="1">
        <v>1</v>
      </c>
      <c r="AA30" s="15">
        <v>10.2803541086923</v>
      </c>
      <c r="AB30" s="1">
        <v>110</v>
      </c>
      <c r="AC30" s="1">
        <v>2</v>
      </c>
      <c r="AD30" s="1">
        <v>0</v>
      </c>
      <c r="AE30" s="15">
        <v>0.98181818181818181</v>
      </c>
      <c r="AF30" s="15">
        <v>0.70129870129870142</v>
      </c>
      <c r="AH30" s="55">
        <v>2.8026900101438899</v>
      </c>
      <c r="AI30" s="1">
        <v>1</v>
      </c>
      <c r="AJ30" s="15">
        <v>8.8934424001065597</v>
      </c>
      <c r="AK30" s="1">
        <v>92</v>
      </c>
      <c r="AL30" s="1">
        <v>2</v>
      </c>
      <c r="AM30" s="1">
        <v>0</v>
      </c>
      <c r="AN30" s="15">
        <v>0.97826086956521741</v>
      </c>
      <c r="AO30" s="15">
        <v>0.60939890710382505</v>
      </c>
      <c r="AQ30" s="55">
        <v>4.1348457237041796</v>
      </c>
      <c r="AR30" s="2">
        <v>0.85064935064935088</v>
      </c>
      <c r="AW30" s="55">
        <v>5.1711131983318896</v>
      </c>
      <c r="AX30" s="2">
        <v>0.77190528233151179</v>
      </c>
      <c r="BR30" s="94">
        <v>3.6063999999999998</v>
      </c>
      <c r="BS30" s="1">
        <v>1</v>
      </c>
      <c r="BT30" s="15">
        <v>10.2804</v>
      </c>
      <c r="BU30" s="1">
        <v>109</v>
      </c>
      <c r="BV30" s="1">
        <v>1</v>
      </c>
      <c r="BW30" s="1">
        <v>0</v>
      </c>
      <c r="BX30" s="15">
        <v>0.99082568807339455</v>
      </c>
      <c r="BY30" s="15">
        <v>0.70750488449603521</v>
      </c>
      <c r="CA30" s="94">
        <v>2.8027000000000002</v>
      </c>
      <c r="CB30" s="1">
        <v>1</v>
      </c>
      <c r="CC30" s="15">
        <v>11.317399999999999</v>
      </c>
      <c r="CD30" s="1">
        <v>84</v>
      </c>
      <c r="CE30" s="1">
        <v>2</v>
      </c>
      <c r="CF30" s="1">
        <v>0</v>
      </c>
      <c r="CG30" s="15">
        <v>0.97619047619047616</v>
      </c>
      <c r="CH30" s="15">
        <v>0.55152327460133987</v>
      </c>
      <c r="CJ30" s="15">
        <v>4.3597000000000001</v>
      </c>
      <c r="CK30" s="15">
        <v>0.83116883116883133</v>
      </c>
      <c r="CP30" s="94">
        <v>6.0616000000000003</v>
      </c>
      <c r="CQ30" s="94">
        <v>0.72639650801152067</v>
      </c>
    </row>
    <row r="31" spans="1:97" x14ac:dyDescent="0.25">
      <c r="M31" s="15">
        <v>9.6117763637243705</v>
      </c>
      <c r="N31" s="15">
        <v>0.716199970555358</v>
      </c>
      <c r="S31" s="98">
        <v>9.5466746815944692</v>
      </c>
      <c r="T31" s="98">
        <v>0.580030671683331</v>
      </c>
      <c r="Y31" s="55">
        <v>4.1348457237041796</v>
      </c>
      <c r="Z31" s="1">
        <v>1</v>
      </c>
      <c r="AA31" s="15">
        <v>11.5840162036087</v>
      </c>
      <c r="AB31" s="1">
        <v>108</v>
      </c>
      <c r="AC31" s="1">
        <v>1</v>
      </c>
      <c r="AD31" s="1">
        <v>0</v>
      </c>
      <c r="AE31" s="15">
        <v>0.9907407407407407</v>
      </c>
      <c r="AF31" s="15">
        <v>0.69480519480519487</v>
      </c>
      <c r="AH31" s="55">
        <v>2.8026900101438899</v>
      </c>
      <c r="AI31" s="1">
        <v>1</v>
      </c>
      <c r="AJ31" s="15">
        <v>9.5466746815944692</v>
      </c>
      <c r="AK31" s="1">
        <v>90</v>
      </c>
      <c r="AL31" s="1">
        <v>3</v>
      </c>
      <c r="AM31" s="1">
        <v>0</v>
      </c>
      <c r="AN31" s="15">
        <v>0.96666666666666667</v>
      </c>
      <c r="AO31" s="15">
        <v>0.58908561020036421</v>
      </c>
      <c r="AQ31" s="55">
        <v>4.1348457237041796</v>
      </c>
      <c r="AR31" s="2">
        <v>0.83766233766233789</v>
      </c>
      <c r="AW31" s="55">
        <v>5.1711131983318896</v>
      </c>
      <c r="AX31" s="2">
        <v>0.75159198542805095</v>
      </c>
      <c r="BR31" s="94">
        <v>4.1348000000000003</v>
      </c>
      <c r="BS31" s="1">
        <v>1</v>
      </c>
      <c r="BT31" s="15">
        <v>10.932</v>
      </c>
      <c r="BU31" s="1">
        <v>108</v>
      </c>
      <c r="BV31" s="1">
        <v>1</v>
      </c>
      <c r="BW31" s="1">
        <v>0</v>
      </c>
      <c r="BX31" s="15">
        <v>0.9907407407407407</v>
      </c>
      <c r="BY31" s="15">
        <v>0.70095391334329415</v>
      </c>
      <c r="CA31" s="94">
        <v>2.8027000000000002</v>
      </c>
      <c r="CB31" s="1">
        <v>1</v>
      </c>
      <c r="CC31" s="15">
        <v>11.9552</v>
      </c>
      <c r="CD31" s="1">
        <v>82</v>
      </c>
      <c r="CE31" s="1">
        <v>2</v>
      </c>
      <c r="CF31" s="1">
        <v>0</v>
      </c>
      <c r="CG31" s="15">
        <v>0.97560975609756095</v>
      </c>
      <c r="CH31" s="15">
        <v>0.53807148741594135</v>
      </c>
      <c r="CJ31" s="15">
        <v>4.3597000000000001</v>
      </c>
      <c r="CK31" s="15">
        <v>0.8116883116883119</v>
      </c>
      <c r="CP31" s="94">
        <v>6.0616000000000003</v>
      </c>
      <c r="CQ31" s="94">
        <v>0.70621882723342289</v>
      </c>
    </row>
    <row r="32" spans="1:97" x14ac:dyDescent="0.25">
      <c r="M32" s="15">
        <v>10.2803541086923</v>
      </c>
      <c r="N32" s="15">
        <v>0.70462798720949704</v>
      </c>
      <c r="S32" s="98">
        <v>10.057061276627699</v>
      </c>
      <c r="T32" s="98">
        <v>0.56819484882697102</v>
      </c>
      <c r="Y32" s="55">
        <v>4.3596664273429502</v>
      </c>
      <c r="Z32" s="1">
        <v>1</v>
      </c>
      <c r="AA32" s="15">
        <v>11.9925319303228</v>
      </c>
      <c r="AB32" s="1">
        <v>107</v>
      </c>
      <c r="AC32" s="1">
        <v>3</v>
      </c>
      <c r="AD32" s="1">
        <v>0</v>
      </c>
      <c r="AE32" s="15">
        <v>0.9719626168224299</v>
      </c>
      <c r="AF32" s="15">
        <v>0.67532467532467544</v>
      </c>
      <c r="AH32" s="55">
        <v>2.8026900101438899</v>
      </c>
      <c r="AI32" s="1">
        <v>1</v>
      </c>
      <c r="AJ32" s="15">
        <v>10.057061276627699</v>
      </c>
      <c r="AK32" s="1">
        <v>87</v>
      </c>
      <c r="AL32" s="1">
        <v>2</v>
      </c>
      <c r="AM32" s="1">
        <v>0</v>
      </c>
      <c r="AN32" s="15">
        <v>0.97701149425287359</v>
      </c>
      <c r="AO32" s="15">
        <v>0.57554341226472372</v>
      </c>
      <c r="AQ32" s="55">
        <v>4.3596664273429502</v>
      </c>
      <c r="AR32" s="2">
        <v>0.83766233766233789</v>
      </c>
      <c r="AW32" s="55">
        <v>5.5323980914453097</v>
      </c>
      <c r="AX32" s="2">
        <v>0.75159198542805095</v>
      </c>
      <c r="BR32" s="94">
        <v>4.1348000000000003</v>
      </c>
      <c r="BS32" s="1">
        <v>1</v>
      </c>
      <c r="BT32" s="15">
        <v>11.584</v>
      </c>
      <c r="BU32" s="1">
        <v>107</v>
      </c>
      <c r="BV32" s="1">
        <v>1</v>
      </c>
      <c r="BW32" s="1">
        <v>0</v>
      </c>
      <c r="BX32" s="15">
        <v>0.99065420560747663</v>
      </c>
      <c r="BY32" s="15">
        <v>0.6944029421905531</v>
      </c>
      <c r="CA32" s="94">
        <v>2.8027000000000002</v>
      </c>
      <c r="CB32" s="1">
        <v>1</v>
      </c>
      <c r="CC32" s="15">
        <v>12.5975</v>
      </c>
      <c r="CD32" s="1">
        <v>80</v>
      </c>
      <c r="CE32" s="1">
        <v>2</v>
      </c>
      <c r="CF32" s="1">
        <v>0</v>
      </c>
      <c r="CG32" s="15">
        <v>0.97499999999999998</v>
      </c>
      <c r="CH32" s="15">
        <v>0.52461970023054283</v>
      </c>
      <c r="CJ32" s="15">
        <v>4.9801000000000002</v>
      </c>
      <c r="CK32" s="15">
        <v>0.8116883116883119</v>
      </c>
      <c r="CP32" s="94">
        <v>6.4212999999999996</v>
      </c>
      <c r="CQ32" s="94">
        <v>0.70621882723342289</v>
      </c>
    </row>
    <row r="33" spans="13:95" x14ac:dyDescent="0.25">
      <c r="M33" s="15">
        <v>10.9320323997114</v>
      </c>
      <c r="N33" s="15">
        <v>0.70208768115659703</v>
      </c>
      <c r="S33" s="98">
        <v>10.6706721268362</v>
      </c>
      <c r="T33" s="98">
        <v>0.56459697047840096</v>
      </c>
      <c r="Y33" s="55">
        <v>4.3596664273429502</v>
      </c>
      <c r="Z33" s="1">
        <v>1</v>
      </c>
      <c r="AA33" s="15">
        <v>12.5981415826264</v>
      </c>
      <c r="AB33" s="1">
        <v>104</v>
      </c>
      <c r="AC33" s="1">
        <v>3</v>
      </c>
      <c r="AD33" s="1">
        <v>0</v>
      </c>
      <c r="AE33" s="15">
        <v>0.97115384615384615</v>
      </c>
      <c r="AF33" s="15">
        <v>0.6558441558441559</v>
      </c>
      <c r="AH33" s="55">
        <v>3.3646887327647699</v>
      </c>
      <c r="AI33" s="1">
        <v>1</v>
      </c>
      <c r="AJ33" s="15">
        <v>10.6706721268362</v>
      </c>
      <c r="AK33" s="1">
        <v>85</v>
      </c>
      <c r="AL33" s="1">
        <v>1</v>
      </c>
      <c r="AM33" s="1">
        <v>0</v>
      </c>
      <c r="AN33" s="15">
        <v>0.9882352941176471</v>
      </c>
      <c r="AO33" s="15">
        <v>0.56877231329690348</v>
      </c>
      <c r="AQ33" s="55">
        <v>4.3596664273429502</v>
      </c>
      <c r="AR33" s="2">
        <v>0.81818181818181834</v>
      </c>
      <c r="AW33" s="55">
        <v>5.5323980914453097</v>
      </c>
      <c r="AX33" s="2">
        <v>0.7312786885245901</v>
      </c>
      <c r="BR33" s="94">
        <v>4.3597000000000001</v>
      </c>
      <c r="BS33" s="1">
        <v>1</v>
      </c>
      <c r="BT33" s="15">
        <v>12.598100000000001</v>
      </c>
      <c r="BU33" s="1">
        <v>106</v>
      </c>
      <c r="BV33" s="1">
        <v>5</v>
      </c>
      <c r="BW33" s="1">
        <v>0</v>
      </c>
      <c r="BX33" s="15">
        <v>0.95283018867924529</v>
      </c>
      <c r="BY33" s="15">
        <v>0.6616480864268478</v>
      </c>
      <c r="CA33" s="94">
        <v>3.3647</v>
      </c>
      <c r="CB33" s="1">
        <v>1</v>
      </c>
      <c r="CC33" s="15">
        <v>12.9856</v>
      </c>
      <c r="CD33" s="1">
        <v>78</v>
      </c>
      <c r="CE33" s="1">
        <v>2</v>
      </c>
      <c r="CF33" s="1">
        <v>0</v>
      </c>
      <c r="CG33" s="15">
        <v>0.97435897435897434</v>
      </c>
      <c r="CH33" s="15">
        <v>0.51116791304514431</v>
      </c>
      <c r="CJ33" s="15">
        <v>4.9801000000000002</v>
      </c>
      <c r="CK33" s="15">
        <v>0.80519480519480535</v>
      </c>
      <c r="CP33" s="94">
        <v>6.4212999999999996</v>
      </c>
      <c r="CQ33" s="94">
        <v>0.6860411464553251</v>
      </c>
    </row>
    <row r="34" spans="13:95" x14ac:dyDescent="0.25">
      <c r="M34" s="15">
        <v>11.5840162036087</v>
      </c>
      <c r="N34" s="15">
        <v>0.69503724123963495</v>
      </c>
      <c r="S34" s="98">
        <v>11.3174166885824</v>
      </c>
      <c r="T34" s="98">
        <v>0.55122143132901702</v>
      </c>
      <c r="Y34" s="55">
        <v>4.3596664273429502</v>
      </c>
      <c r="Z34" s="1">
        <v>1</v>
      </c>
      <c r="AA34" s="15">
        <v>12.947593226069301</v>
      </c>
      <c r="AB34" s="1">
        <v>101</v>
      </c>
      <c r="AC34" s="1">
        <v>0</v>
      </c>
      <c r="AD34" s="1">
        <v>1</v>
      </c>
      <c r="AE34" s="15">
        <v>1</v>
      </c>
      <c r="AF34" s="15">
        <v>0.6558441558441559</v>
      </c>
      <c r="AH34" s="55">
        <v>3.3646887327647699</v>
      </c>
      <c r="AI34" s="1">
        <v>1</v>
      </c>
      <c r="AJ34" s="15">
        <v>11.3174166885824</v>
      </c>
      <c r="AK34" s="1">
        <v>84</v>
      </c>
      <c r="AL34" s="1">
        <v>2</v>
      </c>
      <c r="AM34" s="1">
        <v>0</v>
      </c>
      <c r="AN34" s="15">
        <v>0.97619047619047616</v>
      </c>
      <c r="AO34" s="15">
        <v>0.55523011536126288</v>
      </c>
      <c r="AQ34" s="55">
        <v>4.9800933600087198</v>
      </c>
      <c r="AR34" s="2">
        <v>0.81818181818181834</v>
      </c>
      <c r="AW34" s="55">
        <v>6.0615527328740697</v>
      </c>
      <c r="AX34" s="2">
        <v>0.7312786885245901</v>
      </c>
      <c r="BR34" s="94">
        <v>4.3597000000000001</v>
      </c>
      <c r="BS34" s="1">
        <v>1</v>
      </c>
      <c r="BT34" s="15">
        <v>13.297000000000001</v>
      </c>
      <c r="BU34" s="1">
        <v>101</v>
      </c>
      <c r="BV34" s="1">
        <v>1</v>
      </c>
      <c r="BW34" s="1">
        <v>0</v>
      </c>
      <c r="BX34" s="15">
        <v>0.99009900990099009</v>
      </c>
      <c r="BY34" s="15">
        <v>0.65509711527410674</v>
      </c>
      <c r="CA34" s="94">
        <v>3.3647</v>
      </c>
      <c r="CB34" s="1">
        <v>1</v>
      </c>
      <c r="CC34" s="15">
        <v>13.5922</v>
      </c>
      <c r="CD34" s="1">
        <v>76</v>
      </c>
      <c r="CE34" s="1">
        <v>1</v>
      </c>
      <c r="CF34" s="1">
        <v>0</v>
      </c>
      <c r="CG34" s="15">
        <v>0.98684210526315785</v>
      </c>
      <c r="CH34" s="15">
        <v>0.50444201945244505</v>
      </c>
      <c r="CJ34" s="15">
        <v>5.3025000000000002</v>
      </c>
      <c r="CK34" s="15">
        <v>0.80519480519480535</v>
      </c>
      <c r="CP34" s="94">
        <v>7.0578000000000003</v>
      </c>
      <c r="CQ34" s="94">
        <v>0.6860411464553251</v>
      </c>
    </row>
    <row r="35" spans="13:95" x14ac:dyDescent="0.25">
      <c r="M35" s="15">
        <v>11.9925319303228</v>
      </c>
      <c r="N35" s="15">
        <v>0.67548661631996498</v>
      </c>
      <c r="S35" s="98">
        <v>11.9552406356839</v>
      </c>
      <c r="T35" s="98">
        <v>0.53889828006705598</v>
      </c>
      <c r="Y35" s="55">
        <v>4.9800933600087198</v>
      </c>
      <c r="Z35" s="1">
        <v>1</v>
      </c>
      <c r="AA35" s="15">
        <v>13.297044869512201</v>
      </c>
      <c r="AB35" s="1">
        <v>100</v>
      </c>
      <c r="AC35" s="1">
        <v>1</v>
      </c>
      <c r="AD35" s="1">
        <v>0</v>
      </c>
      <c r="AE35" s="15">
        <v>0.99</v>
      </c>
      <c r="AF35" s="15">
        <v>0.64928571428571435</v>
      </c>
      <c r="AH35" s="55">
        <v>3.6858308599767051</v>
      </c>
      <c r="AI35" s="1">
        <v>0</v>
      </c>
      <c r="AJ35" s="15">
        <v>11.9552406356839</v>
      </c>
      <c r="AK35" s="1">
        <v>82</v>
      </c>
      <c r="AL35" s="1">
        <v>2</v>
      </c>
      <c r="AM35" s="1">
        <v>0</v>
      </c>
      <c r="AN35" s="15">
        <v>0.97560975609756095</v>
      </c>
      <c r="AO35" s="15">
        <v>0.54168791742562228</v>
      </c>
      <c r="AQ35" s="55">
        <v>4.9800933600087198</v>
      </c>
      <c r="AR35" s="2">
        <v>0.8116883116883119</v>
      </c>
      <c r="AW35" s="55">
        <v>6.0615527328740697</v>
      </c>
      <c r="AX35" s="2">
        <v>0.71096539162112926</v>
      </c>
      <c r="BR35" s="94">
        <v>4.3597000000000001</v>
      </c>
      <c r="BS35" s="1">
        <v>1</v>
      </c>
      <c r="BT35" s="15">
        <v>13.625299999999999</v>
      </c>
      <c r="BU35" s="1">
        <v>100</v>
      </c>
      <c r="BV35" s="1">
        <v>0</v>
      </c>
      <c r="BW35" s="1">
        <v>1</v>
      </c>
      <c r="BX35" s="15">
        <v>1</v>
      </c>
      <c r="BY35" s="15">
        <v>0.65509711527410674</v>
      </c>
      <c r="CA35" s="94">
        <v>3.6858499999999998</v>
      </c>
      <c r="CB35" s="1">
        <v>0</v>
      </c>
      <c r="CC35" s="15">
        <v>13.8375</v>
      </c>
      <c r="CD35" s="1">
        <v>75</v>
      </c>
      <c r="CE35" s="1">
        <v>0</v>
      </c>
      <c r="CF35" s="1">
        <v>1</v>
      </c>
      <c r="CG35" s="15">
        <v>1</v>
      </c>
      <c r="CH35" s="15">
        <v>0.50444201945244505</v>
      </c>
      <c r="CJ35" s="15">
        <v>5.3025000000000002</v>
      </c>
      <c r="CK35" s="15">
        <v>0.79870129870129891</v>
      </c>
      <c r="CP35" s="94">
        <v>7.0578000000000003</v>
      </c>
      <c r="CQ35" s="94">
        <v>0.67931525286262584</v>
      </c>
    </row>
    <row r="36" spans="13:95" x14ac:dyDescent="0.25">
      <c r="M36" s="15">
        <v>12.5981415826264</v>
      </c>
      <c r="N36" s="15">
        <v>0.65943888268551398</v>
      </c>
      <c r="S36" s="98">
        <v>12.597524890107801</v>
      </c>
      <c r="T36" s="98">
        <v>0.52287170496934698</v>
      </c>
      <c r="Y36" s="55">
        <v>5.3025152748059803</v>
      </c>
      <c r="Z36" s="1">
        <v>1</v>
      </c>
      <c r="AA36" s="15">
        <v>13.953635007459599</v>
      </c>
      <c r="AB36" s="1">
        <v>99</v>
      </c>
      <c r="AC36" s="1">
        <v>1</v>
      </c>
      <c r="AD36" s="1">
        <v>0</v>
      </c>
      <c r="AE36" s="15">
        <v>0.98989898989898994</v>
      </c>
      <c r="AF36" s="15">
        <v>0.64272727272727281</v>
      </c>
      <c r="AH36" s="55">
        <v>4.0069729871886404</v>
      </c>
      <c r="AI36" s="1">
        <v>1</v>
      </c>
      <c r="AJ36" s="15">
        <v>12.597524890107801</v>
      </c>
      <c r="AK36" s="1">
        <v>80</v>
      </c>
      <c r="AL36" s="1">
        <v>2</v>
      </c>
      <c r="AM36" s="1">
        <v>0</v>
      </c>
      <c r="AN36" s="15">
        <v>0.97499999999999998</v>
      </c>
      <c r="AO36" s="15">
        <v>0.52814571948998168</v>
      </c>
      <c r="AQ36" s="55">
        <v>5.3025152748059803</v>
      </c>
      <c r="AR36" s="2">
        <v>0.8116883116883119</v>
      </c>
      <c r="AW36" s="55">
        <v>6.4212736221212001</v>
      </c>
      <c r="AX36" s="2">
        <v>0.71096539162112926</v>
      </c>
      <c r="BR36" s="94">
        <v>4.9801000000000002</v>
      </c>
      <c r="BS36" s="1">
        <v>1</v>
      </c>
      <c r="BT36" s="15">
        <v>13.9536</v>
      </c>
      <c r="BU36" s="1">
        <v>99</v>
      </c>
      <c r="BV36" s="1">
        <v>2</v>
      </c>
      <c r="BW36" s="1">
        <v>0</v>
      </c>
      <c r="BX36" s="15">
        <v>0.97979797979797978</v>
      </c>
      <c r="BY36" s="15">
        <v>0.64186283011705403</v>
      </c>
      <c r="CA36" s="94">
        <v>4.0069999999999997</v>
      </c>
      <c r="CB36" s="1">
        <v>1</v>
      </c>
      <c r="CC36" s="15">
        <v>14.082800000000001</v>
      </c>
      <c r="CD36" s="1">
        <v>74</v>
      </c>
      <c r="CE36" s="1">
        <v>1</v>
      </c>
      <c r="CF36" s="1">
        <v>0</v>
      </c>
      <c r="CG36" s="15">
        <v>0.98648648648648651</v>
      </c>
      <c r="CH36" s="15">
        <v>0.4976252354057904</v>
      </c>
      <c r="CJ36" s="15">
        <v>5.6322999999999999</v>
      </c>
      <c r="CK36" s="15">
        <v>0.79870129870129891</v>
      </c>
      <c r="CP36" s="94">
        <v>7.4547999999999996</v>
      </c>
      <c r="CQ36" s="94">
        <v>0.67931525286262584</v>
      </c>
    </row>
    <row r="37" spans="13:95" x14ac:dyDescent="0.25">
      <c r="M37" s="15">
        <v>13.297044869512201</v>
      </c>
      <c r="N37" s="15">
        <v>0.65333528176885902</v>
      </c>
      <c r="S37" s="98">
        <v>12.985571627155499</v>
      </c>
      <c r="T37" s="98">
        <v>0.50938496818087498</v>
      </c>
      <c r="Y37" s="55">
        <v>5.6322558343838303</v>
      </c>
      <c r="Z37" s="1">
        <v>1</v>
      </c>
      <c r="AA37" s="15">
        <v>14.3531206766976</v>
      </c>
      <c r="AB37" s="1">
        <v>98</v>
      </c>
      <c r="AC37" s="1">
        <v>3</v>
      </c>
      <c r="AD37" s="1">
        <v>0</v>
      </c>
      <c r="AE37" s="15">
        <v>0.96938775510204078</v>
      </c>
      <c r="AF37" s="15">
        <v>0.62305194805194808</v>
      </c>
      <c r="AH37" s="55">
        <v>4.0069729871886404</v>
      </c>
      <c r="AI37" s="1">
        <v>1</v>
      </c>
      <c r="AJ37" s="15">
        <v>12.79154825863165</v>
      </c>
      <c r="AK37" s="1">
        <v>78</v>
      </c>
      <c r="AL37" s="1">
        <v>0</v>
      </c>
      <c r="AM37" s="1">
        <v>1</v>
      </c>
      <c r="AN37" s="15">
        <v>1</v>
      </c>
      <c r="AO37" s="15">
        <v>0.52814571948998168</v>
      </c>
      <c r="AQ37" s="55">
        <v>5.3025152748059803</v>
      </c>
      <c r="AR37" s="2">
        <v>0.80519480519480535</v>
      </c>
      <c r="AW37" s="55">
        <v>6.4212736221212001</v>
      </c>
      <c r="AX37" s="2">
        <v>0.69065209471766842</v>
      </c>
      <c r="BR37" s="94">
        <v>5.3025000000000002</v>
      </c>
      <c r="BS37" s="1">
        <v>1</v>
      </c>
      <c r="BT37" s="15">
        <v>14.3531</v>
      </c>
      <c r="BU37" s="1">
        <v>97</v>
      </c>
      <c r="BV37" s="1">
        <v>3</v>
      </c>
      <c r="BW37" s="1">
        <v>0</v>
      </c>
      <c r="BX37" s="15">
        <v>0.96907216494845361</v>
      </c>
      <c r="BY37" s="15">
        <v>0.62201140238147501</v>
      </c>
      <c r="CA37" s="94">
        <v>4.0069999999999997</v>
      </c>
      <c r="CB37" s="1">
        <v>1</v>
      </c>
      <c r="CC37" s="15">
        <v>14.7004</v>
      </c>
      <c r="CD37" s="1">
        <v>73</v>
      </c>
      <c r="CE37" s="1">
        <v>2</v>
      </c>
      <c r="CF37" s="1">
        <v>0</v>
      </c>
      <c r="CG37" s="15">
        <v>0.9726027397260274</v>
      </c>
      <c r="CH37" s="15">
        <v>0.48399166731248106</v>
      </c>
      <c r="CJ37" s="15">
        <v>5.6322999999999999</v>
      </c>
      <c r="CK37" s="15">
        <v>0.79220779220779236</v>
      </c>
      <c r="CP37" s="94">
        <v>7.4547999999999996</v>
      </c>
      <c r="CQ37" s="94">
        <v>0.65913757208452806</v>
      </c>
    </row>
    <row r="38" spans="13:95" x14ac:dyDescent="0.25">
      <c r="M38" s="15">
        <v>13.953635007459599</v>
      </c>
      <c r="N38" s="15">
        <v>0.64507453311158902</v>
      </c>
      <c r="S38" s="98">
        <v>13.5921734230003</v>
      </c>
      <c r="T38" s="98">
        <v>0.50183815554540701</v>
      </c>
      <c r="Y38" s="55">
        <v>5.9729215229020998</v>
      </c>
      <c r="Z38" s="1">
        <v>1</v>
      </c>
      <c r="AA38" s="15">
        <v>14.6813689374916</v>
      </c>
      <c r="AB38" s="1">
        <v>95</v>
      </c>
      <c r="AC38" s="1">
        <v>0</v>
      </c>
      <c r="AD38" s="1">
        <v>1</v>
      </c>
      <c r="AE38" s="15">
        <v>1</v>
      </c>
      <c r="AF38" s="15">
        <v>0.62305194805194808</v>
      </c>
      <c r="AH38" s="55">
        <v>4.4084006462035497</v>
      </c>
      <c r="AI38" s="1">
        <v>1</v>
      </c>
      <c r="AJ38" s="15">
        <v>12.985571627155499</v>
      </c>
      <c r="AK38" s="1">
        <v>77</v>
      </c>
      <c r="AL38" s="1">
        <v>2</v>
      </c>
      <c r="AM38" s="1">
        <v>0</v>
      </c>
      <c r="AN38" s="15">
        <v>0.97402597402597402</v>
      </c>
      <c r="AO38" s="15">
        <v>0.51442764885387826</v>
      </c>
      <c r="AQ38" s="55">
        <v>5.6322558343838303</v>
      </c>
      <c r="AR38" s="2">
        <v>0.80519480519480535</v>
      </c>
      <c r="AW38" s="55">
        <v>7.0578231957019897</v>
      </c>
      <c r="AX38" s="2">
        <v>0.69065209471766842</v>
      </c>
      <c r="BR38" s="94">
        <v>5.6322999999999999</v>
      </c>
      <c r="BS38" s="1">
        <v>1</v>
      </c>
      <c r="BT38" s="15">
        <v>15.009600000000001</v>
      </c>
      <c r="BU38" s="1">
        <v>94</v>
      </c>
      <c r="BV38" s="1">
        <v>1</v>
      </c>
      <c r="BW38" s="1">
        <v>0</v>
      </c>
      <c r="BX38" s="15">
        <v>0.98936170212765961</v>
      </c>
      <c r="BY38" s="15">
        <v>0.61539425980294871</v>
      </c>
      <c r="CA38" s="94">
        <v>4.4084000000000003</v>
      </c>
      <c r="CB38" s="1">
        <v>1</v>
      </c>
      <c r="CC38" s="15">
        <v>14.973649999999999</v>
      </c>
      <c r="CD38" s="1">
        <v>71</v>
      </c>
      <c r="CE38" s="1">
        <v>0</v>
      </c>
      <c r="CF38" s="1">
        <v>1</v>
      </c>
      <c r="CG38" s="15">
        <v>1</v>
      </c>
      <c r="CH38" s="15">
        <v>0.48399166731248106</v>
      </c>
      <c r="CJ38" s="15">
        <v>5.9729000000000001</v>
      </c>
      <c r="CK38" s="15">
        <v>0.79220779220779236</v>
      </c>
      <c r="CP38" s="94">
        <v>8.0614000000000008</v>
      </c>
      <c r="CQ38" s="94">
        <v>0.65913757208452806</v>
      </c>
    </row>
    <row r="39" spans="13:95" x14ac:dyDescent="0.25">
      <c r="M39" s="15">
        <v>14.3531206766976</v>
      </c>
      <c r="N39" s="15">
        <v>0.62524873633414202</v>
      </c>
      <c r="S39" s="98">
        <v>14.082807228463</v>
      </c>
      <c r="T39" s="98">
        <v>0.499235305489732</v>
      </c>
      <c r="Y39" s="55">
        <v>5.9729215229020998</v>
      </c>
      <c r="Z39" s="1">
        <v>1</v>
      </c>
      <c r="AA39" s="15">
        <v>15.0096171982856</v>
      </c>
      <c r="AB39" s="1">
        <v>94</v>
      </c>
      <c r="AC39" s="1">
        <v>1</v>
      </c>
      <c r="AD39" s="1">
        <v>0</v>
      </c>
      <c r="AE39" s="15">
        <v>0.98936170212765961</v>
      </c>
      <c r="AF39" s="15">
        <v>0.61642373583862953</v>
      </c>
      <c r="AH39" s="55">
        <v>4.4084006462035497</v>
      </c>
      <c r="AI39" s="1">
        <v>1</v>
      </c>
      <c r="AJ39" s="15">
        <v>13.5921734230003</v>
      </c>
      <c r="AK39" s="1">
        <v>75</v>
      </c>
      <c r="AL39" s="1">
        <v>1</v>
      </c>
      <c r="AM39" s="1">
        <v>0</v>
      </c>
      <c r="AN39" s="15">
        <v>0.98666666666666669</v>
      </c>
      <c r="AO39" s="15">
        <v>0.50756861353582661</v>
      </c>
      <c r="AQ39" s="55">
        <v>5.6322558343838303</v>
      </c>
      <c r="AR39" s="2">
        <v>0.79870129870129891</v>
      </c>
      <c r="AW39" s="55">
        <v>7.0578231957019897</v>
      </c>
      <c r="AX39" s="2">
        <v>0.68388099574984818</v>
      </c>
      <c r="BR39" s="94">
        <v>5.9729000000000001</v>
      </c>
      <c r="BS39" s="1">
        <v>1</v>
      </c>
      <c r="BT39" s="15">
        <v>15.30805</v>
      </c>
      <c r="BU39" s="1">
        <v>93</v>
      </c>
      <c r="BV39" s="1">
        <v>0</v>
      </c>
      <c r="BW39" s="1">
        <v>1</v>
      </c>
      <c r="BX39" s="15">
        <v>1</v>
      </c>
      <c r="BY39" s="15">
        <v>0.61539425980294871</v>
      </c>
      <c r="CA39" s="94">
        <v>4.4084000000000003</v>
      </c>
      <c r="CB39" s="1">
        <v>1</v>
      </c>
      <c r="CC39" s="15">
        <v>15.2469</v>
      </c>
      <c r="CD39" s="1">
        <v>70</v>
      </c>
      <c r="CE39" s="1">
        <v>2</v>
      </c>
      <c r="CF39" s="1">
        <v>0</v>
      </c>
      <c r="CG39" s="15">
        <v>0.97142857142857142</v>
      </c>
      <c r="CH39" s="15">
        <v>0.47016333396069587</v>
      </c>
      <c r="CJ39" s="15">
        <v>5.9729000000000001</v>
      </c>
      <c r="CK39" s="15">
        <v>0.77272727272727282</v>
      </c>
      <c r="CP39" s="94">
        <v>8.0614000000000008</v>
      </c>
      <c r="CQ39" s="94">
        <v>0.64568578489912953</v>
      </c>
    </row>
    <row r="40" spans="13:95" x14ac:dyDescent="0.25">
      <c r="M40" s="15">
        <v>15.0096171982856</v>
      </c>
      <c r="N40" s="15">
        <v>0.61836999918209301</v>
      </c>
      <c r="S40" s="98">
        <v>14.7003882423321</v>
      </c>
      <c r="T40" s="98">
        <v>0.485173708334663</v>
      </c>
      <c r="Y40" s="55">
        <v>5.9729215229020998</v>
      </c>
      <c r="Z40" s="1">
        <v>1</v>
      </c>
      <c r="AA40" s="15">
        <v>15.606510018578501</v>
      </c>
      <c r="AB40" s="1">
        <v>93</v>
      </c>
      <c r="AC40" s="1">
        <v>2</v>
      </c>
      <c r="AD40" s="1">
        <v>0</v>
      </c>
      <c r="AE40" s="15">
        <v>0.978494623655914</v>
      </c>
      <c r="AF40" s="15">
        <v>0.60316731141199231</v>
      </c>
      <c r="AH40" s="55">
        <v>4.4084006462035497</v>
      </c>
      <c r="AI40" s="1">
        <v>1</v>
      </c>
      <c r="AJ40" s="15">
        <v>13.83749032573165</v>
      </c>
      <c r="AK40" s="1">
        <v>74</v>
      </c>
      <c r="AL40" s="1">
        <v>0</v>
      </c>
      <c r="AM40" s="1">
        <v>1</v>
      </c>
      <c r="AN40" s="15">
        <v>1</v>
      </c>
      <c r="AO40" s="15">
        <v>0.50756861353582661</v>
      </c>
      <c r="AQ40" s="55">
        <v>5.9729215229020998</v>
      </c>
      <c r="AR40" s="2">
        <v>0.79870129870129891</v>
      </c>
      <c r="AW40" s="55">
        <v>7.45479054739452</v>
      </c>
      <c r="AX40" s="2">
        <v>0.68388099574984818</v>
      </c>
      <c r="BR40" s="94">
        <v>5.9729000000000001</v>
      </c>
      <c r="BS40" s="1">
        <v>1</v>
      </c>
      <c r="BT40" s="15">
        <v>15.6065</v>
      </c>
      <c r="BU40" s="1">
        <v>92</v>
      </c>
      <c r="BV40" s="1">
        <v>2</v>
      </c>
      <c r="BW40" s="1">
        <v>0</v>
      </c>
      <c r="BX40" s="15">
        <v>0.97826086956521741</v>
      </c>
      <c r="BY40" s="15">
        <v>0.60201612372027591</v>
      </c>
      <c r="CA40" s="94">
        <v>4.4084000000000003</v>
      </c>
      <c r="CB40" s="1">
        <v>1</v>
      </c>
      <c r="CC40" s="15">
        <v>15.889200000000001</v>
      </c>
      <c r="CD40" s="1">
        <v>68</v>
      </c>
      <c r="CE40" s="1">
        <v>1</v>
      </c>
      <c r="CF40" s="1">
        <v>0</v>
      </c>
      <c r="CG40" s="15">
        <v>0.98529411764705888</v>
      </c>
      <c r="CH40" s="15">
        <v>0.46324916728480331</v>
      </c>
      <c r="CJ40" s="15">
        <v>6.6115000000000004</v>
      </c>
      <c r="CK40" s="15">
        <v>0.77272727272727282</v>
      </c>
      <c r="CP40" s="94">
        <v>8.4539000000000009</v>
      </c>
      <c r="CQ40" s="94">
        <v>0.64568578489912953</v>
      </c>
    </row>
    <row r="41" spans="13:95" x14ac:dyDescent="0.25">
      <c r="M41" s="15">
        <v>15.606510018578501</v>
      </c>
      <c r="N41" s="15">
        <v>0.60489618781120702</v>
      </c>
      <c r="S41" s="98">
        <v>15.246947439606201</v>
      </c>
      <c r="T41" s="98">
        <v>0.46811385921374998</v>
      </c>
      <c r="Y41" s="55">
        <v>6.6115080339554497</v>
      </c>
      <c r="Z41" s="1">
        <v>1</v>
      </c>
      <c r="AA41" s="15">
        <v>15.988355549746201</v>
      </c>
      <c r="AB41" s="1">
        <v>91</v>
      </c>
      <c r="AC41" s="1">
        <v>1</v>
      </c>
      <c r="AD41" s="1">
        <v>0</v>
      </c>
      <c r="AE41" s="15">
        <v>0.98901098901098905</v>
      </c>
      <c r="AF41" s="15">
        <v>0.59653909919867376</v>
      </c>
      <c r="AH41" s="55">
        <v>4.4084006462035497</v>
      </c>
      <c r="AI41" s="1">
        <v>1</v>
      </c>
      <c r="AJ41" s="15">
        <v>14.7003882423321</v>
      </c>
      <c r="AK41" s="1">
        <v>73</v>
      </c>
      <c r="AL41" s="1">
        <v>2</v>
      </c>
      <c r="AM41" s="1">
        <v>0</v>
      </c>
      <c r="AN41" s="15">
        <v>0.9726027397260274</v>
      </c>
      <c r="AO41" s="15">
        <v>0.49366262412388617</v>
      </c>
      <c r="AQ41" s="55">
        <v>5.9729215229020998</v>
      </c>
      <c r="AR41" s="2">
        <v>0.77922077922077937</v>
      </c>
      <c r="AW41" s="55">
        <v>7.45479054739452</v>
      </c>
      <c r="AX41" s="2">
        <v>0.66356769884638733</v>
      </c>
      <c r="BR41" s="94">
        <v>5.9729000000000001</v>
      </c>
      <c r="BS41" s="1">
        <v>1</v>
      </c>
      <c r="BT41" s="15">
        <v>15.9884</v>
      </c>
      <c r="BU41" s="1">
        <v>90</v>
      </c>
      <c r="BV41" s="1">
        <v>1</v>
      </c>
      <c r="BW41" s="1">
        <v>0</v>
      </c>
      <c r="BX41" s="15">
        <v>0.98888888888888893</v>
      </c>
      <c r="BY41" s="15">
        <v>0.59532705567893951</v>
      </c>
      <c r="CA41" s="94">
        <v>4.9703999999999997</v>
      </c>
      <c r="CB41" s="1">
        <v>1</v>
      </c>
      <c r="CC41" s="15">
        <v>16.226400000000002</v>
      </c>
      <c r="CD41" s="1">
        <v>67</v>
      </c>
      <c r="CE41" s="1">
        <v>0</v>
      </c>
      <c r="CF41" s="1">
        <v>1</v>
      </c>
      <c r="CG41" s="15">
        <v>1</v>
      </c>
      <c r="CH41" s="15">
        <v>0.46324916728480331</v>
      </c>
      <c r="CJ41" s="15">
        <v>6.6115000000000004</v>
      </c>
      <c r="CK41" s="15">
        <v>0.76623376623376638</v>
      </c>
      <c r="CP41" s="94">
        <v>8.4539000000000009</v>
      </c>
      <c r="CQ41" s="94">
        <v>0.61878221052833249</v>
      </c>
    </row>
    <row r="42" spans="13:95" x14ac:dyDescent="0.25">
      <c r="M42" s="15">
        <v>15.988355549746201</v>
      </c>
      <c r="N42" s="15">
        <v>0.59653578341830404</v>
      </c>
      <c r="S42" s="98">
        <v>15.8892316940301</v>
      </c>
      <c r="T42" s="98">
        <v>0.461233676957158</v>
      </c>
      <c r="Y42" s="55">
        <v>6.6115080339554497</v>
      </c>
      <c r="Z42" s="1">
        <v>1</v>
      </c>
      <c r="AA42" s="15">
        <v>16.273467089435652</v>
      </c>
      <c r="AB42" s="1">
        <v>90</v>
      </c>
      <c r="AC42" s="1">
        <v>0</v>
      </c>
      <c r="AD42" s="1">
        <v>1</v>
      </c>
      <c r="AE42" s="15">
        <v>1</v>
      </c>
      <c r="AF42" s="15">
        <v>0.59653909919867376</v>
      </c>
      <c r="AH42" s="55">
        <v>4.9703993688244301</v>
      </c>
      <c r="AI42" s="1">
        <v>1</v>
      </c>
      <c r="AJ42" s="15">
        <v>14.973667840969149</v>
      </c>
      <c r="AK42" s="1">
        <v>71</v>
      </c>
      <c r="AL42" s="1">
        <v>0</v>
      </c>
      <c r="AM42" s="1">
        <v>1</v>
      </c>
      <c r="AN42" s="15">
        <v>1</v>
      </c>
      <c r="AO42" s="15">
        <v>0.49366262412388617</v>
      </c>
      <c r="AQ42" s="55">
        <v>6.6115080339554497</v>
      </c>
      <c r="AR42" s="2">
        <v>0.77922077922077937</v>
      </c>
      <c r="AW42" s="55">
        <v>8.0613923432392802</v>
      </c>
      <c r="AX42" s="2">
        <v>0.66356769884638733</v>
      </c>
      <c r="BR42" s="94">
        <v>6.6115000000000004</v>
      </c>
      <c r="BS42" s="1">
        <v>1</v>
      </c>
      <c r="BT42" s="15">
        <v>16.273499999999999</v>
      </c>
      <c r="BU42" s="1">
        <v>89</v>
      </c>
      <c r="BV42" s="1">
        <v>0</v>
      </c>
      <c r="BW42" s="1">
        <v>1</v>
      </c>
      <c r="BX42" s="15">
        <v>1</v>
      </c>
      <c r="BY42" s="15">
        <v>0.59532705567893951</v>
      </c>
      <c r="CA42" s="94">
        <v>4.9703999999999997</v>
      </c>
      <c r="CB42" s="1">
        <v>1</v>
      </c>
      <c r="CC42" s="15">
        <v>16.563600000000001</v>
      </c>
      <c r="CD42" s="1">
        <v>66</v>
      </c>
      <c r="CE42" s="1">
        <v>2</v>
      </c>
      <c r="CF42" s="1">
        <v>0</v>
      </c>
      <c r="CG42" s="15">
        <v>0.96969696969696972</v>
      </c>
      <c r="CH42" s="15">
        <v>0.44921131373071838</v>
      </c>
      <c r="CJ42" s="15">
        <v>7.15</v>
      </c>
      <c r="CK42" s="15">
        <v>0.76623376623376638</v>
      </c>
      <c r="CP42" s="94">
        <v>8.7078000000000007</v>
      </c>
      <c r="CQ42" s="94">
        <v>0.61878221052833249</v>
      </c>
    </row>
    <row r="43" spans="13:95" x14ac:dyDescent="0.25">
      <c r="M43" s="15">
        <v>16.558578629125101</v>
      </c>
      <c r="N43" s="15">
        <v>0.59424548106545905</v>
      </c>
      <c r="S43" s="98">
        <v>16.563630161175102</v>
      </c>
      <c r="T43" s="98">
        <v>0.45156180140221702</v>
      </c>
      <c r="Y43" s="55">
        <v>7.1499879615860298</v>
      </c>
      <c r="Z43" s="1">
        <v>1</v>
      </c>
      <c r="AA43" s="15">
        <v>17.266169382910601</v>
      </c>
      <c r="AB43" s="1">
        <v>89</v>
      </c>
      <c r="AC43" s="1">
        <v>1</v>
      </c>
      <c r="AD43" s="1">
        <v>0</v>
      </c>
      <c r="AE43" s="15">
        <v>0.9887640449438202</v>
      </c>
      <c r="AF43" s="15">
        <v>0.58983641269082343</v>
      </c>
      <c r="AH43" s="55">
        <v>4.9703993688244301</v>
      </c>
      <c r="AI43" s="1">
        <v>1</v>
      </c>
      <c r="AJ43" s="15">
        <v>15.246947439606201</v>
      </c>
      <c r="AK43" s="1">
        <v>70</v>
      </c>
      <c r="AL43" s="1">
        <v>2</v>
      </c>
      <c r="AM43" s="1">
        <v>0</v>
      </c>
      <c r="AN43" s="15">
        <v>0.97142857142857142</v>
      </c>
      <c r="AO43" s="15">
        <v>0.47955797772034658</v>
      </c>
      <c r="AQ43" s="55">
        <v>6.6115080339554497</v>
      </c>
      <c r="AR43" s="2">
        <v>0.76623376623376638</v>
      </c>
      <c r="AW43" s="55">
        <v>8.0613923432392802</v>
      </c>
      <c r="AX43" s="2">
        <v>0.65002550091074673</v>
      </c>
      <c r="BR43" s="94">
        <v>7.15</v>
      </c>
      <c r="BS43" s="1">
        <v>1</v>
      </c>
      <c r="BT43" s="15">
        <v>17.266200000000001</v>
      </c>
      <c r="BU43" s="1">
        <v>88</v>
      </c>
      <c r="BV43" s="1">
        <v>1</v>
      </c>
      <c r="BW43" s="1">
        <v>0</v>
      </c>
      <c r="BX43" s="15">
        <v>0.98863636363636365</v>
      </c>
      <c r="BY43" s="15">
        <v>0.58856197550076972</v>
      </c>
      <c r="CA43" s="94">
        <v>5.5324</v>
      </c>
      <c r="CB43" s="1">
        <v>1</v>
      </c>
      <c r="CC43" s="15">
        <v>17.1738</v>
      </c>
      <c r="CD43" s="1">
        <v>64</v>
      </c>
      <c r="CE43" s="1">
        <v>1</v>
      </c>
      <c r="CF43" s="1">
        <v>0</v>
      </c>
      <c r="CG43" s="15">
        <v>0.984375</v>
      </c>
      <c r="CH43" s="15">
        <v>0.44219238695367591</v>
      </c>
      <c r="CJ43" s="15">
        <v>7.15</v>
      </c>
      <c r="CK43" s="15">
        <v>0.75324675324675339</v>
      </c>
      <c r="CP43" s="94">
        <v>8.7078000000000007</v>
      </c>
      <c r="CQ43" s="94">
        <v>0.61205631693563323</v>
      </c>
    </row>
    <row r="44" spans="13:95" x14ac:dyDescent="0.25">
      <c r="M44" s="15">
        <v>17.266169382910601</v>
      </c>
      <c r="N44" s="15">
        <v>0.58600146033524203</v>
      </c>
      <c r="S44" s="98">
        <v>17.1738002028778</v>
      </c>
      <c r="T44" s="98">
        <v>0.43874159637080001</v>
      </c>
      <c r="Y44" s="55">
        <v>7.1499879615860298</v>
      </c>
      <c r="Z44" s="1">
        <v>1</v>
      </c>
      <c r="AA44" s="15">
        <v>17.8626436418811</v>
      </c>
      <c r="AB44" s="1">
        <v>88</v>
      </c>
      <c r="AC44" s="1">
        <v>1</v>
      </c>
      <c r="AD44" s="1">
        <v>0</v>
      </c>
      <c r="AE44" s="15">
        <v>0.98863636363636365</v>
      </c>
      <c r="AF44" s="15">
        <v>0.58313372618297321</v>
      </c>
      <c r="AH44" s="55">
        <v>5.1711131983318896</v>
      </c>
      <c r="AI44" s="1">
        <v>1</v>
      </c>
      <c r="AJ44" s="15">
        <v>15.8892316940301</v>
      </c>
      <c r="AK44" s="1">
        <v>68</v>
      </c>
      <c r="AL44" s="1">
        <v>1</v>
      </c>
      <c r="AM44" s="1">
        <v>0</v>
      </c>
      <c r="AN44" s="15">
        <v>0.98529411764705888</v>
      </c>
      <c r="AO44" s="15">
        <v>0.47250565451857679</v>
      </c>
      <c r="AQ44" s="55">
        <v>7.1499879615860298</v>
      </c>
      <c r="AR44" s="2">
        <v>0.76623376623376638</v>
      </c>
      <c r="AW44" s="55">
        <v>8.4538993876094199</v>
      </c>
      <c r="AX44" s="2">
        <v>0.65002550091074673</v>
      </c>
      <c r="BR44" s="94">
        <v>7.15</v>
      </c>
      <c r="BS44" s="1">
        <v>1</v>
      </c>
      <c r="BT44" s="15">
        <v>17.8626</v>
      </c>
      <c r="BU44" s="1">
        <v>87</v>
      </c>
      <c r="BV44" s="1">
        <v>1</v>
      </c>
      <c r="BW44" s="1">
        <v>0</v>
      </c>
      <c r="BX44" s="15">
        <v>0.9885057471264368</v>
      </c>
      <c r="BY44" s="15">
        <v>0.58179689532259993</v>
      </c>
      <c r="CA44" s="94">
        <v>5.5324</v>
      </c>
      <c r="CB44" s="1">
        <v>1</v>
      </c>
      <c r="CC44" s="15">
        <v>17.816099999999999</v>
      </c>
      <c r="CD44" s="1">
        <v>63</v>
      </c>
      <c r="CE44" s="1">
        <v>2</v>
      </c>
      <c r="CF44" s="1">
        <v>0</v>
      </c>
      <c r="CG44" s="15">
        <v>0.96825396825396826</v>
      </c>
      <c r="CH44" s="15">
        <v>0.42815453339959098</v>
      </c>
      <c r="CJ44" s="15">
        <v>7.8342999999999998</v>
      </c>
      <c r="CK44" s="15">
        <v>0.75324675324675339</v>
      </c>
      <c r="CP44" s="94">
        <v>8.8933999999999997</v>
      </c>
      <c r="CQ44" s="94">
        <v>0.61205631693563323</v>
      </c>
    </row>
    <row r="45" spans="13:95" x14ac:dyDescent="0.25">
      <c r="M45" s="15">
        <v>17.8626436418811</v>
      </c>
      <c r="N45" s="15">
        <v>0.57870666048692698</v>
      </c>
      <c r="S45" s="98">
        <v>17.816084457301699</v>
      </c>
      <c r="T45" s="98">
        <v>0.42570170131427099</v>
      </c>
      <c r="Y45" s="55">
        <v>7.8343304893104602</v>
      </c>
      <c r="Z45" s="1">
        <v>1</v>
      </c>
      <c r="AA45" s="15">
        <v>18.570107604929099</v>
      </c>
      <c r="AB45" s="1">
        <v>87</v>
      </c>
      <c r="AC45" s="1">
        <v>1</v>
      </c>
      <c r="AD45" s="1">
        <v>0</v>
      </c>
      <c r="AE45" s="15">
        <v>0.9885057471264368</v>
      </c>
      <c r="AF45" s="15">
        <v>0.57643103967512299</v>
      </c>
      <c r="AH45" s="55">
        <v>5.1711131983318896</v>
      </c>
      <c r="AI45" s="1">
        <v>1</v>
      </c>
      <c r="AJ45" s="15">
        <v>16.563630161175102</v>
      </c>
      <c r="AK45" s="1">
        <v>67</v>
      </c>
      <c r="AL45" s="1">
        <v>1</v>
      </c>
      <c r="AM45" s="1">
        <v>0</v>
      </c>
      <c r="AN45" s="15">
        <v>0.9850746268656716</v>
      </c>
      <c r="AO45" s="15">
        <v>0.46545333131680694</v>
      </c>
      <c r="AQ45" s="55">
        <v>7.1499879615860298</v>
      </c>
      <c r="AR45" s="2">
        <v>0.75324675324675339</v>
      </c>
      <c r="AW45" s="55">
        <v>8.4538993876094199</v>
      </c>
      <c r="AX45" s="2">
        <v>0.62971220400728589</v>
      </c>
      <c r="BR45" s="94">
        <v>7.8342999999999998</v>
      </c>
      <c r="BS45" s="1">
        <v>1</v>
      </c>
      <c r="BT45" s="15">
        <v>18.5701</v>
      </c>
      <c r="BU45" s="1">
        <v>86</v>
      </c>
      <c r="BV45" s="1">
        <v>1</v>
      </c>
      <c r="BW45" s="1">
        <v>0</v>
      </c>
      <c r="BX45" s="15">
        <v>0.98837209302325579</v>
      </c>
      <c r="BY45" s="15">
        <v>0.57503181514443014</v>
      </c>
      <c r="CA45" s="94">
        <v>5.5324</v>
      </c>
      <c r="CB45" s="1">
        <v>1</v>
      </c>
      <c r="CC45" s="15">
        <v>18.458400000000001</v>
      </c>
      <c r="CD45" s="1">
        <v>61</v>
      </c>
      <c r="CE45" s="1">
        <v>2</v>
      </c>
      <c r="CF45" s="1">
        <v>0</v>
      </c>
      <c r="CG45" s="15">
        <v>0.96721311475409832</v>
      </c>
      <c r="CH45" s="15">
        <v>0.41411667984550599</v>
      </c>
      <c r="CJ45" s="15">
        <v>7.8342999999999998</v>
      </c>
      <c r="CK45" s="15">
        <v>0.74675324675324695</v>
      </c>
      <c r="CP45" s="94">
        <v>8.8933999999999997</v>
      </c>
      <c r="CQ45" s="94">
        <v>0.5986045297502347</v>
      </c>
    </row>
    <row r="46" spans="13:95" x14ac:dyDescent="0.25">
      <c r="M46" s="15">
        <v>18.570107604929099</v>
      </c>
      <c r="N46" s="15">
        <v>0.572334388019897</v>
      </c>
      <c r="S46" s="98">
        <v>18.458368711725502</v>
      </c>
      <c r="T46" s="98">
        <v>0.41710740982662398</v>
      </c>
      <c r="Y46" s="55">
        <v>8.4864422721886701</v>
      </c>
      <c r="Z46" s="1">
        <v>1</v>
      </c>
      <c r="AA46" s="15">
        <v>19.134960155908399</v>
      </c>
      <c r="AB46" s="1">
        <v>86</v>
      </c>
      <c r="AC46" s="1">
        <v>1</v>
      </c>
      <c r="AD46" s="1">
        <v>0</v>
      </c>
      <c r="AE46" s="15">
        <v>0.98837209302325579</v>
      </c>
      <c r="AF46" s="15">
        <v>0.56972835316727266</v>
      </c>
      <c r="AH46" s="55">
        <v>5.1711131983318896</v>
      </c>
      <c r="AI46" s="1">
        <v>1</v>
      </c>
      <c r="AJ46" s="15">
        <v>17.1738002028778</v>
      </c>
      <c r="AK46" s="1">
        <v>66</v>
      </c>
      <c r="AL46" s="1">
        <v>2</v>
      </c>
      <c r="AM46" s="1">
        <v>0</v>
      </c>
      <c r="AN46" s="15">
        <v>0.96969696969696972</v>
      </c>
      <c r="AO46" s="15">
        <v>0.45134868491326735</v>
      </c>
      <c r="AQ46" s="55">
        <v>7.8343304893104602</v>
      </c>
      <c r="AR46" s="2">
        <v>0.75324675324675339</v>
      </c>
      <c r="AW46" s="55">
        <v>8.7077882556261006</v>
      </c>
      <c r="AX46" s="2">
        <v>0.62971220400728589</v>
      </c>
      <c r="BR46" s="94">
        <v>8.4863999999999997</v>
      </c>
      <c r="BS46" s="1">
        <v>1</v>
      </c>
      <c r="BT46" s="15">
        <v>19.135000000000002</v>
      </c>
      <c r="BU46" s="1">
        <v>85</v>
      </c>
      <c r="BV46" s="1">
        <v>2</v>
      </c>
      <c r="BW46" s="1">
        <v>0</v>
      </c>
      <c r="BX46" s="15">
        <v>0.97647058823529409</v>
      </c>
      <c r="BY46" s="15">
        <v>0.56150165478809055</v>
      </c>
      <c r="CA46" s="94">
        <v>5.5324</v>
      </c>
      <c r="CB46" s="1">
        <v>1</v>
      </c>
      <c r="CC46" s="15">
        <v>19.742899999999999</v>
      </c>
      <c r="CD46" s="1">
        <v>59</v>
      </c>
      <c r="CE46" s="1">
        <v>2</v>
      </c>
      <c r="CF46" s="1">
        <v>0</v>
      </c>
      <c r="CG46" s="15">
        <v>0.96610169491525422</v>
      </c>
      <c r="CH46" s="15">
        <v>0.40007882629142105</v>
      </c>
      <c r="CJ46" s="15">
        <v>8.4863999999999997</v>
      </c>
      <c r="CK46" s="15">
        <v>0.74675324675324695</v>
      </c>
      <c r="CP46" s="94">
        <v>9.5466999999999995</v>
      </c>
      <c r="CQ46" s="94">
        <v>0.5986045297502347</v>
      </c>
    </row>
    <row r="47" spans="13:95" x14ac:dyDescent="0.25">
      <c r="M47" s="15">
        <v>19.134960155908399</v>
      </c>
      <c r="N47" s="15">
        <v>0.56432016867053802</v>
      </c>
      <c r="S47" s="98">
        <v>19.100652966149401</v>
      </c>
      <c r="T47" s="98">
        <v>0.41157870448579897</v>
      </c>
      <c r="Y47" s="55">
        <v>9.1518773817679708</v>
      </c>
      <c r="Z47" s="1">
        <v>1</v>
      </c>
      <c r="AA47" s="15">
        <v>20.470143547081999</v>
      </c>
      <c r="AB47" s="1">
        <v>85</v>
      </c>
      <c r="AC47" s="1">
        <v>1</v>
      </c>
      <c r="AD47" s="1">
        <v>0</v>
      </c>
      <c r="AE47" s="15">
        <v>0.9882352941176471</v>
      </c>
      <c r="AF47" s="15">
        <v>0.56302566665942244</v>
      </c>
      <c r="AH47" s="55">
        <v>5.5323980914453097</v>
      </c>
      <c r="AI47" s="1">
        <v>1</v>
      </c>
      <c r="AJ47" s="15">
        <v>17.816084457301699</v>
      </c>
      <c r="AK47" s="1">
        <v>64</v>
      </c>
      <c r="AL47" s="1">
        <v>2</v>
      </c>
      <c r="AM47" s="1">
        <v>0</v>
      </c>
      <c r="AN47" s="15">
        <v>0.96875</v>
      </c>
      <c r="AO47" s="15">
        <v>0.43724403850972776</v>
      </c>
      <c r="AQ47" s="55">
        <v>7.8343304893104602</v>
      </c>
      <c r="AR47" s="2">
        <v>0.74675324675324695</v>
      </c>
      <c r="AW47" s="55">
        <v>8.7077882556261006</v>
      </c>
      <c r="AX47" s="2">
        <v>0.62294110503946565</v>
      </c>
      <c r="BR47" s="94">
        <v>8.8191500000000005</v>
      </c>
      <c r="BS47" s="1">
        <v>0</v>
      </c>
      <c r="BT47" s="15">
        <v>20.470099999999999</v>
      </c>
      <c r="BU47" s="1">
        <v>83</v>
      </c>
      <c r="BV47" s="1">
        <v>1</v>
      </c>
      <c r="BW47" s="1">
        <v>0</v>
      </c>
      <c r="BX47" s="15">
        <v>0.98795180722891562</v>
      </c>
      <c r="BY47" s="15">
        <v>0.55473657460992076</v>
      </c>
      <c r="CA47" s="94">
        <v>5.5324</v>
      </c>
      <c r="CB47" s="1">
        <v>1</v>
      </c>
      <c r="CC47" s="15">
        <v>20.385200000000001</v>
      </c>
      <c r="CD47" s="1">
        <v>57</v>
      </c>
      <c r="CE47" s="1">
        <v>1</v>
      </c>
      <c r="CF47" s="1">
        <v>0</v>
      </c>
      <c r="CG47" s="15">
        <v>0.98245614035087714</v>
      </c>
      <c r="CH47" s="15">
        <v>0.39305989951437853</v>
      </c>
      <c r="CJ47" s="15">
        <v>8.4863999999999997</v>
      </c>
      <c r="CK47" s="15">
        <v>0.74025974025974051</v>
      </c>
      <c r="CP47" s="94">
        <v>9.5466999999999995</v>
      </c>
      <c r="CQ47" s="94">
        <v>0.57842684897213692</v>
      </c>
    </row>
    <row r="48" spans="13:95" x14ac:dyDescent="0.25">
      <c r="M48" s="15">
        <v>19.818174291417002</v>
      </c>
      <c r="N48" s="15">
        <v>0.56376684206221495</v>
      </c>
      <c r="S48" s="98">
        <v>19.7429372205733</v>
      </c>
      <c r="T48" s="98">
        <v>0.40295923019848001</v>
      </c>
      <c r="Y48" s="55">
        <v>9.6117763637243705</v>
      </c>
      <c r="Z48" s="1">
        <v>1</v>
      </c>
      <c r="AA48" s="15">
        <v>20.744283983178999</v>
      </c>
      <c r="AB48" s="1">
        <v>84</v>
      </c>
      <c r="AC48" s="1">
        <v>0</v>
      </c>
      <c r="AD48" s="1">
        <v>1</v>
      </c>
      <c r="AE48" s="15">
        <v>1</v>
      </c>
      <c r="AF48" s="15">
        <v>0.56302566665942244</v>
      </c>
      <c r="AH48" s="55">
        <v>5.5323980914453097</v>
      </c>
      <c r="AI48" s="1">
        <v>1</v>
      </c>
      <c r="AJ48" s="15">
        <v>18.458368711725502</v>
      </c>
      <c r="AK48" s="1">
        <v>62</v>
      </c>
      <c r="AL48" s="1">
        <v>1</v>
      </c>
      <c r="AM48" s="1">
        <v>0</v>
      </c>
      <c r="AN48" s="15">
        <v>0.9838709677419355</v>
      </c>
      <c r="AO48" s="15">
        <v>0.43019171530795797</v>
      </c>
      <c r="AQ48" s="55">
        <v>8.4864422721886701</v>
      </c>
      <c r="AR48" s="2">
        <v>0.74675324675324695</v>
      </c>
      <c r="AW48" s="55">
        <v>8.8934424001065597</v>
      </c>
      <c r="AX48" s="2">
        <v>0.62294110503946565</v>
      </c>
      <c r="BR48" s="94">
        <v>9.1518999999999995</v>
      </c>
      <c r="BS48" s="1">
        <v>1</v>
      </c>
      <c r="BT48" s="15">
        <v>21.0184</v>
      </c>
      <c r="BU48" s="1">
        <v>82</v>
      </c>
      <c r="BV48" s="1">
        <v>1</v>
      </c>
      <c r="BW48" s="1">
        <v>0</v>
      </c>
      <c r="BX48" s="15">
        <v>0.98780487804878048</v>
      </c>
      <c r="BY48" s="15">
        <v>0.54797149443175097</v>
      </c>
      <c r="CA48" s="94">
        <v>5.5324</v>
      </c>
      <c r="CB48" s="1">
        <v>1</v>
      </c>
      <c r="CC48" s="15">
        <v>21.0275</v>
      </c>
      <c r="CD48" s="1">
        <v>56</v>
      </c>
      <c r="CE48" s="1">
        <v>1</v>
      </c>
      <c r="CF48" s="1">
        <v>0</v>
      </c>
      <c r="CG48" s="15">
        <v>0.9821428571428571</v>
      </c>
      <c r="CH48" s="15">
        <v>0.38604097273733606</v>
      </c>
      <c r="CJ48" s="15">
        <v>9.1518999999999995</v>
      </c>
      <c r="CK48" s="15">
        <v>0.74025974025974051</v>
      </c>
      <c r="CP48" s="94">
        <v>10.0571</v>
      </c>
      <c r="CQ48" s="94">
        <v>0.57842684897213692</v>
      </c>
    </row>
    <row r="49" spans="13:95" x14ac:dyDescent="0.25">
      <c r="M49" s="15">
        <v>20.470143547081999</v>
      </c>
      <c r="N49" s="15">
        <v>0.55693117042449303</v>
      </c>
      <c r="S49" s="98">
        <v>20.385221474997099</v>
      </c>
      <c r="T49" s="98">
        <v>0.39630233543231902</v>
      </c>
      <c r="Y49" s="55">
        <v>9.6117763637243705</v>
      </c>
      <c r="Z49" s="1">
        <v>1</v>
      </c>
      <c r="AA49" s="15">
        <v>21.018424419275998</v>
      </c>
      <c r="AB49" s="1">
        <v>83</v>
      </c>
      <c r="AC49" s="1">
        <v>2</v>
      </c>
      <c r="AD49" s="1">
        <v>0</v>
      </c>
      <c r="AE49" s="15">
        <v>0.97590361445783136</v>
      </c>
      <c r="AF49" s="15">
        <v>0.54945878312546048</v>
      </c>
      <c r="AH49" s="55">
        <v>5.5323980914453097</v>
      </c>
      <c r="AI49" s="1">
        <v>1</v>
      </c>
      <c r="AJ49" s="15">
        <v>19.100652966149401</v>
      </c>
      <c r="AK49" s="1">
        <v>61</v>
      </c>
      <c r="AL49" s="1">
        <v>1</v>
      </c>
      <c r="AM49" s="1">
        <v>0</v>
      </c>
      <c r="AN49" s="15">
        <v>0.98360655737704916</v>
      </c>
      <c r="AO49" s="15">
        <v>0.42313939210618817</v>
      </c>
      <c r="AQ49" s="55">
        <v>8.4864422721886701</v>
      </c>
      <c r="AR49" s="2">
        <v>0.74025974025974051</v>
      </c>
      <c r="AW49" s="55">
        <v>8.8934424001065597</v>
      </c>
      <c r="AX49" s="2">
        <v>0.60939890710382505</v>
      </c>
      <c r="BR49" s="94">
        <v>9.6118000000000006</v>
      </c>
      <c r="BS49" s="1">
        <v>1</v>
      </c>
      <c r="BT49" s="15">
        <v>21.692599999999999</v>
      </c>
      <c r="BU49" s="1">
        <v>81</v>
      </c>
      <c r="BV49" s="1">
        <v>1</v>
      </c>
      <c r="BW49" s="1">
        <v>0</v>
      </c>
      <c r="BX49" s="15">
        <v>0.98765432098765427</v>
      </c>
      <c r="BY49" s="15">
        <v>0.54120641425358118</v>
      </c>
      <c r="CA49" s="94">
        <v>5.5324</v>
      </c>
      <c r="CB49" s="1">
        <v>1</v>
      </c>
      <c r="CC49" s="15">
        <v>21.348649999999999</v>
      </c>
      <c r="CD49" s="1">
        <v>55</v>
      </c>
      <c r="CE49" s="1">
        <v>0</v>
      </c>
      <c r="CF49" s="1">
        <v>1</v>
      </c>
      <c r="CG49" s="15">
        <v>1</v>
      </c>
      <c r="CH49" s="15">
        <v>0.38604097273733606</v>
      </c>
      <c r="CJ49" s="15">
        <v>9.1518999999999995</v>
      </c>
      <c r="CK49" s="15">
        <v>0.73370876910699945</v>
      </c>
      <c r="CP49" s="94">
        <v>10.0571</v>
      </c>
      <c r="CQ49" s="94">
        <v>0.5649750617867384</v>
      </c>
    </row>
    <row r="50" spans="13:95" x14ac:dyDescent="0.25">
      <c r="M50" s="15">
        <v>21.018424419275998</v>
      </c>
      <c r="N50" s="15">
        <v>0.54460921326462897</v>
      </c>
      <c r="S50" s="98">
        <v>21.027505729421001</v>
      </c>
      <c r="T50" s="98">
        <v>0.38591502860797799</v>
      </c>
      <c r="Y50" s="55">
        <v>9.6117763637243705</v>
      </c>
      <c r="Z50" s="1">
        <v>1</v>
      </c>
      <c r="AA50" s="15">
        <v>22.313221134623401</v>
      </c>
      <c r="AB50" s="1">
        <v>81</v>
      </c>
      <c r="AC50" s="1">
        <v>2</v>
      </c>
      <c r="AD50" s="1">
        <v>0</v>
      </c>
      <c r="AE50" s="15">
        <v>0.97530864197530864</v>
      </c>
      <c r="AF50" s="15">
        <v>0.53589189959149852</v>
      </c>
      <c r="AH50" s="55">
        <v>6.0615527328740697</v>
      </c>
      <c r="AI50" s="1">
        <v>1</v>
      </c>
      <c r="AJ50" s="15">
        <v>19.7429372205733</v>
      </c>
      <c r="AK50" s="1">
        <v>60</v>
      </c>
      <c r="AL50" s="1">
        <v>1</v>
      </c>
      <c r="AM50" s="1">
        <v>0</v>
      </c>
      <c r="AN50" s="15">
        <v>0.98333333333333328</v>
      </c>
      <c r="AO50" s="15">
        <v>0.41608706890441832</v>
      </c>
      <c r="AQ50" s="55">
        <v>9.1518773817679708</v>
      </c>
      <c r="AR50" s="2">
        <v>0.74025974025974051</v>
      </c>
      <c r="AW50" s="55">
        <v>9.5466746815944692</v>
      </c>
      <c r="AX50" s="2">
        <v>0.60939890710382505</v>
      </c>
      <c r="BR50" s="94">
        <v>9.6118000000000006</v>
      </c>
      <c r="BS50" s="1">
        <v>1</v>
      </c>
      <c r="BT50" s="15">
        <v>22.313199999999998</v>
      </c>
      <c r="BU50" s="1">
        <v>80</v>
      </c>
      <c r="BV50" s="1">
        <v>1</v>
      </c>
      <c r="BW50" s="1">
        <v>0</v>
      </c>
      <c r="BX50" s="15">
        <v>0.98750000000000004</v>
      </c>
      <c r="BY50" s="15">
        <v>0.53444133407541139</v>
      </c>
      <c r="CA50" s="94">
        <v>6.0616000000000003</v>
      </c>
      <c r="CB50" s="1">
        <v>1</v>
      </c>
      <c r="CC50" s="15">
        <v>21.669799999999999</v>
      </c>
      <c r="CD50" s="1">
        <v>54</v>
      </c>
      <c r="CE50" s="1">
        <v>2</v>
      </c>
      <c r="CF50" s="1">
        <v>0</v>
      </c>
      <c r="CG50" s="15">
        <v>0.96296296296296291</v>
      </c>
      <c r="CH50" s="15">
        <v>0.37174315893224952</v>
      </c>
      <c r="CJ50" s="15">
        <v>9.6118000000000006</v>
      </c>
      <c r="CK50" s="15">
        <v>0.73370876910699945</v>
      </c>
      <c r="CP50" s="94">
        <v>11.317399999999999</v>
      </c>
      <c r="CQ50" s="94">
        <v>0.5649750617867384</v>
      </c>
    </row>
    <row r="51" spans="13:95" x14ac:dyDescent="0.25">
      <c r="M51" s="15">
        <v>21.692614344384499</v>
      </c>
      <c r="N51" s="15">
        <v>0.54369439733907599</v>
      </c>
      <c r="S51" s="98">
        <v>21.6697899838449</v>
      </c>
      <c r="T51" s="98">
        <v>0.36876697949817999</v>
      </c>
      <c r="Y51" s="55">
        <v>10.2803541086923</v>
      </c>
      <c r="Z51" s="1">
        <v>1</v>
      </c>
      <c r="AA51" s="15">
        <v>23.013254067266701</v>
      </c>
      <c r="AB51" s="1">
        <v>79</v>
      </c>
      <c r="AC51" s="1">
        <v>1</v>
      </c>
      <c r="AD51" s="1">
        <v>0</v>
      </c>
      <c r="AE51" s="15">
        <v>0.98734177215189878</v>
      </c>
      <c r="AF51" s="15">
        <v>0.52910845782451754</v>
      </c>
      <c r="AH51" s="55">
        <v>6.0615527328740697</v>
      </c>
      <c r="AI51" s="1">
        <v>1</v>
      </c>
      <c r="AJ51" s="15">
        <v>20.385221474997099</v>
      </c>
      <c r="AK51" s="1">
        <v>59</v>
      </c>
      <c r="AL51" s="1">
        <v>1</v>
      </c>
      <c r="AM51" s="1">
        <v>0</v>
      </c>
      <c r="AN51" s="15">
        <v>0.98305084745762716</v>
      </c>
      <c r="AO51" s="15">
        <v>0.40903474570264853</v>
      </c>
      <c r="AQ51" s="55">
        <v>9.1518773817679708</v>
      </c>
      <c r="AR51" s="2">
        <v>0.73376623376623396</v>
      </c>
      <c r="AW51" s="55">
        <v>9.5466746815944692</v>
      </c>
      <c r="AX51" s="2">
        <v>0.58908561020036421</v>
      </c>
      <c r="BR51" s="94">
        <v>9.6118000000000006</v>
      </c>
      <c r="BS51" s="1">
        <v>1</v>
      </c>
      <c r="BT51" s="15">
        <v>23.013300000000001</v>
      </c>
      <c r="BU51" s="1">
        <v>79</v>
      </c>
      <c r="BV51" s="1">
        <v>2</v>
      </c>
      <c r="BW51" s="1">
        <v>0</v>
      </c>
      <c r="BX51" s="15">
        <v>0.97468354430379744</v>
      </c>
      <c r="BY51" s="15">
        <v>0.52091117371907181</v>
      </c>
      <c r="CA51" s="94">
        <v>6.0616000000000003</v>
      </c>
      <c r="CB51" s="1">
        <v>1</v>
      </c>
      <c r="CC51" s="15">
        <v>22.344899999999999</v>
      </c>
      <c r="CD51" s="1">
        <v>52</v>
      </c>
      <c r="CE51" s="1">
        <v>1</v>
      </c>
      <c r="CF51" s="1">
        <v>0</v>
      </c>
      <c r="CG51" s="15">
        <v>0.98076923076923073</v>
      </c>
      <c r="CH51" s="15">
        <v>0.36459425202970625</v>
      </c>
      <c r="CJ51" s="15">
        <v>9.6118000000000006</v>
      </c>
      <c r="CK51" s="15">
        <v>0.71405585564877627</v>
      </c>
      <c r="CP51" s="94">
        <v>11.317399999999999</v>
      </c>
      <c r="CQ51" s="94">
        <v>0.55152327460133987</v>
      </c>
    </row>
    <row r="52" spans="13:95" x14ac:dyDescent="0.25">
      <c r="M52" s="15">
        <v>22.313221134623401</v>
      </c>
      <c r="N52" s="15">
        <v>0.53231223783169002</v>
      </c>
      <c r="S52" s="98">
        <v>22.344918319460898</v>
      </c>
      <c r="T52" s="98">
        <v>0.36364319932470002</v>
      </c>
      <c r="Y52" s="55">
        <v>10.2803541086923</v>
      </c>
      <c r="Z52" s="1">
        <v>1</v>
      </c>
      <c r="AA52" s="15">
        <v>23.594006547559399</v>
      </c>
      <c r="AB52" s="1">
        <v>78</v>
      </c>
      <c r="AC52" s="1">
        <v>2</v>
      </c>
      <c r="AD52" s="1">
        <v>0</v>
      </c>
      <c r="AE52" s="15">
        <v>0.97435897435897434</v>
      </c>
      <c r="AF52" s="15">
        <v>0.51554157429055558</v>
      </c>
      <c r="AH52" s="55">
        <v>6.0615527328740697</v>
      </c>
      <c r="AI52" s="1">
        <v>1</v>
      </c>
      <c r="AJ52" s="15">
        <v>21.027505729421001</v>
      </c>
      <c r="AK52" s="1">
        <v>58</v>
      </c>
      <c r="AL52" s="1">
        <v>1</v>
      </c>
      <c r="AM52" s="1">
        <v>0</v>
      </c>
      <c r="AN52" s="15">
        <v>0.98275862068965514</v>
      </c>
      <c r="AO52" s="15">
        <v>0.40198242250087873</v>
      </c>
      <c r="AQ52" s="55">
        <v>9.6117763637243705</v>
      </c>
      <c r="AR52" s="2">
        <v>0.73376623376623396</v>
      </c>
      <c r="AW52" s="55">
        <v>10.057061276627699</v>
      </c>
      <c r="AX52" s="2">
        <v>0.58908561020036421</v>
      </c>
      <c r="BR52" s="94">
        <v>10.2804</v>
      </c>
      <c r="BS52" s="1">
        <v>1</v>
      </c>
      <c r="BT52" s="15">
        <v>23.594000000000001</v>
      </c>
      <c r="BU52" s="1">
        <v>77</v>
      </c>
      <c r="BV52" s="1">
        <v>2</v>
      </c>
      <c r="BW52" s="1">
        <v>0</v>
      </c>
      <c r="BX52" s="15">
        <v>0.97402597402597402</v>
      </c>
      <c r="BY52" s="15">
        <v>0.50738101336273222</v>
      </c>
      <c r="CA52" s="94">
        <v>6.0616000000000003</v>
      </c>
      <c r="CB52" s="1">
        <v>1</v>
      </c>
      <c r="CC52" s="15">
        <v>22.9544</v>
      </c>
      <c r="CD52" s="1">
        <v>51</v>
      </c>
      <c r="CE52" s="1">
        <v>2</v>
      </c>
      <c r="CF52" s="1">
        <v>0</v>
      </c>
      <c r="CG52" s="15">
        <v>0.96078431372549022</v>
      </c>
      <c r="CH52" s="15">
        <v>0.35029643822461975</v>
      </c>
      <c r="CJ52" s="15">
        <v>10.2804</v>
      </c>
      <c r="CK52" s="15">
        <v>0.71405585564877627</v>
      </c>
      <c r="CP52" s="94">
        <v>11.9552</v>
      </c>
      <c r="CQ52" s="94">
        <v>0.55152327460133987</v>
      </c>
    </row>
    <row r="53" spans="13:95" x14ac:dyDescent="0.25">
      <c r="M53" s="15">
        <v>23.013254067266701</v>
      </c>
      <c r="N53" s="15">
        <v>0.52391793015076704</v>
      </c>
      <c r="S53" s="98">
        <v>22.954358492692599</v>
      </c>
      <c r="T53" s="98">
        <v>0.35172361733433299</v>
      </c>
      <c r="Y53" s="55">
        <v>11.5840162036087</v>
      </c>
      <c r="Z53" s="1">
        <v>1</v>
      </c>
      <c r="AA53" s="15">
        <v>24.1717770287358</v>
      </c>
      <c r="AB53" s="1">
        <v>76</v>
      </c>
      <c r="AC53" s="1">
        <v>1</v>
      </c>
      <c r="AD53" s="1">
        <v>0</v>
      </c>
      <c r="AE53" s="15">
        <v>0.98684210526315785</v>
      </c>
      <c r="AF53" s="15">
        <v>0.5087581325235746</v>
      </c>
      <c r="AH53" s="55">
        <v>6.4212736221212001</v>
      </c>
      <c r="AI53" s="1">
        <v>1</v>
      </c>
      <c r="AJ53" s="15">
        <v>21.6697899838449</v>
      </c>
      <c r="AK53" s="1">
        <v>57</v>
      </c>
      <c r="AL53" s="1">
        <v>2</v>
      </c>
      <c r="AM53" s="1">
        <v>0</v>
      </c>
      <c r="AN53" s="15">
        <v>0.96491228070175439</v>
      </c>
      <c r="AO53" s="15">
        <v>0.38787777609733914</v>
      </c>
      <c r="AQ53" s="55">
        <v>9.6117763637243705</v>
      </c>
      <c r="AR53" s="2">
        <v>0.71428571428571441</v>
      </c>
      <c r="AW53" s="55">
        <v>10.057061276627699</v>
      </c>
      <c r="AX53" s="2">
        <v>0.57554341226472372</v>
      </c>
      <c r="BR53" s="94">
        <v>10.932</v>
      </c>
      <c r="BS53" s="1">
        <v>1</v>
      </c>
      <c r="BT53" s="15">
        <v>24.171800000000001</v>
      </c>
      <c r="BU53" s="1">
        <v>75</v>
      </c>
      <c r="BV53" s="1">
        <v>1</v>
      </c>
      <c r="BW53" s="1">
        <v>0</v>
      </c>
      <c r="BX53" s="15">
        <v>0.98666666666666669</v>
      </c>
      <c r="BY53" s="15">
        <v>0.50061593318456243</v>
      </c>
      <c r="CA53" s="94">
        <v>6.4212999999999996</v>
      </c>
      <c r="CB53" s="1">
        <v>1</v>
      </c>
      <c r="CC53" s="15">
        <v>23.596599999999999</v>
      </c>
      <c r="CD53" s="1">
        <v>49</v>
      </c>
      <c r="CE53" s="1">
        <v>1</v>
      </c>
      <c r="CF53" s="1">
        <v>0</v>
      </c>
      <c r="CG53" s="15">
        <v>0.97959183673469385</v>
      </c>
      <c r="CH53" s="15">
        <v>0.34314753132207648</v>
      </c>
      <c r="CJ53" s="15">
        <v>10.2804</v>
      </c>
      <c r="CK53" s="15">
        <v>0.70750488449603521</v>
      </c>
      <c r="CP53" s="94">
        <v>11.9552</v>
      </c>
      <c r="CQ53" s="94">
        <v>0.53807148741594135</v>
      </c>
    </row>
    <row r="54" spans="13:95" x14ac:dyDescent="0.25">
      <c r="M54" s="15">
        <v>23.594006547559399</v>
      </c>
      <c r="N54" s="15">
        <v>0.50826937640456005</v>
      </c>
      <c r="S54" s="98">
        <v>23.596642747116501</v>
      </c>
      <c r="T54" s="98">
        <v>0.34347433020220303</v>
      </c>
      <c r="Y54" s="55">
        <v>11.9925319303228</v>
      </c>
      <c r="Z54" s="1">
        <v>1</v>
      </c>
      <c r="AA54" s="15">
        <v>25.497355787621899</v>
      </c>
      <c r="AB54" s="1">
        <v>75</v>
      </c>
      <c r="AC54" s="1">
        <v>1</v>
      </c>
      <c r="AD54" s="1">
        <v>0</v>
      </c>
      <c r="AE54" s="15">
        <v>0.98666666666666669</v>
      </c>
      <c r="AF54" s="15">
        <v>0.50197469075659362</v>
      </c>
      <c r="AH54" s="55">
        <v>6.4212736221212001</v>
      </c>
      <c r="AI54" s="1">
        <v>1</v>
      </c>
      <c r="AJ54" s="15">
        <v>22.344918319460898</v>
      </c>
      <c r="AK54" s="1">
        <v>55</v>
      </c>
      <c r="AL54" s="1">
        <v>1</v>
      </c>
      <c r="AM54" s="1">
        <v>0</v>
      </c>
      <c r="AN54" s="15">
        <v>0.98181818181818181</v>
      </c>
      <c r="AO54" s="15">
        <v>0.38082545289556935</v>
      </c>
      <c r="AQ54" s="55">
        <v>10.2803541086923</v>
      </c>
      <c r="AR54" s="2">
        <v>0.71428571428571441</v>
      </c>
      <c r="AW54" s="55">
        <v>10.6706721268362</v>
      </c>
      <c r="AX54" s="2">
        <v>0.57554341226472372</v>
      </c>
      <c r="BR54" s="94">
        <v>11.584</v>
      </c>
      <c r="BS54" s="1">
        <v>1</v>
      </c>
      <c r="BT54" s="15">
        <v>26.070699999999999</v>
      </c>
      <c r="BU54" s="1">
        <v>74</v>
      </c>
      <c r="BV54" s="1">
        <v>2</v>
      </c>
      <c r="BW54" s="1">
        <v>0</v>
      </c>
      <c r="BX54" s="15">
        <v>0.97297297297297303</v>
      </c>
      <c r="BY54" s="15">
        <v>0.48708577282822296</v>
      </c>
      <c r="CA54" s="94">
        <v>6.4212999999999996</v>
      </c>
      <c r="CB54" s="1">
        <v>1</v>
      </c>
      <c r="CC54" s="15">
        <v>24.8812</v>
      </c>
      <c r="CD54" s="1">
        <v>48</v>
      </c>
      <c r="CE54" s="1">
        <v>1</v>
      </c>
      <c r="CF54" s="1">
        <v>0</v>
      </c>
      <c r="CG54" s="15">
        <v>0.97916666666666663</v>
      </c>
      <c r="CH54" s="15">
        <v>0.33599862441953321</v>
      </c>
      <c r="CJ54" s="15">
        <v>10.932</v>
      </c>
      <c r="CK54" s="15">
        <v>0.70750488449603521</v>
      </c>
      <c r="CP54" s="94">
        <v>12.5975</v>
      </c>
      <c r="CQ54" s="94">
        <v>0.53807148741594135</v>
      </c>
    </row>
    <row r="55" spans="13:95" x14ac:dyDescent="0.25">
      <c r="M55" s="15">
        <v>24.1717770287358</v>
      </c>
      <c r="N55" s="15">
        <v>0.50385442393697699</v>
      </c>
      <c r="S55" s="98">
        <v>24.238927001540301</v>
      </c>
      <c r="T55" s="98">
        <v>0.339649660972562</v>
      </c>
      <c r="Y55" s="55">
        <v>11.9925319303228</v>
      </c>
      <c r="Z55" s="1">
        <v>1</v>
      </c>
      <c r="AA55" s="15">
        <v>26.0707099297023</v>
      </c>
      <c r="AB55" s="1">
        <v>74</v>
      </c>
      <c r="AC55" s="1">
        <v>1</v>
      </c>
      <c r="AD55" s="1">
        <v>0</v>
      </c>
      <c r="AE55" s="15">
        <v>0.98648648648648651</v>
      </c>
      <c r="AF55" s="15">
        <v>0.49519124898961264</v>
      </c>
      <c r="AH55" s="55">
        <v>6.4212736221212001</v>
      </c>
      <c r="AI55" s="1">
        <v>1</v>
      </c>
      <c r="AJ55" s="15">
        <v>22.954358492692599</v>
      </c>
      <c r="AK55" s="1">
        <v>54</v>
      </c>
      <c r="AL55" s="1">
        <v>2</v>
      </c>
      <c r="AM55" s="1">
        <v>0</v>
      </c>
      <c r="AN55" s="15">
        <v>0.96296296296296291</v>
      </c>
      <c r="AO55" s="15">
        <v>0.36672080649202971</v>
      </c>
      <c r="AQ55" s="55">
        <v>10.2803541086923</v>
      </c>
      <c r="AR55" s="2">
        <v>0.70129870129870142</v>
      </c>
      <c r="AW55" s="55">
        <v>10.6706721268362</v>
      </c>
      <c r="AX55" s="2">
        <v>0.56877231329690348</v>
      </c>
      <c r="BR55" s="94">
        <v>12.598100000000001</v>
      </c>
      <c r="BS55" s="1">
        <v>1</v>
      </c>
      <c r="BT55" s="15">
        <v>29.591999999999999</v>
      </c>
      <c r="BU55" s="1">
        <v>72</v>
      </c>
      <c r="BV55" s="1">
        <v>1</v>
      </c>
      <c r="BW55" s="1">
        <v>0</v>
      </c>
      <c r="BX55" s="15">
        <v>0.98611111111111116</v>
      </c>
      <c r="BY55" s="15">
        <v>0.48032069265005323</v>
      </c>
      <c r="CA55" s="94">
        <v>6.4212999999999996</v>
      </c>
      <c r="CB55" s="1">
        <v>1</v>
      </c>
      <c r="CC55" s="15">
        <v>25.523499999999999</v>
      </c>
      <c r="CD55" s="1">
        <v>47</v>
      </c>
      <c r="CE55" s="1">
        <v>1</v>
      </c>
      <c r="CF55" s="1">
        <v>0</v>
      </c>
      <c r="CG55" s="15">
        <v>0.97872340425531912</v>
      </c>
      <c r="CH55" s="15">
        <v>0.32884971751698994</v>
      </c>
      <c r="CJ55" s="15">
        <v>10.932</v>
      </c>
      <c r="CK55" s="15">
        <v>0.70095391334329415</v>
      </c>
      <c r="CP55" s="94">
        <v>12.5975</v>
      </c>
      <c r="CQ55" s="94">
        <v>0.52461970023054283</v>
      </c>
    </row>
    <row r="56" spans="13:95" x14ac:dyDescent="0.25">
      <c r="M56" s="15">
        <v>24.758235849250202</v>
      </c>
      <c r="N56" s="15">
        <v>0.50475925734071203</v>
      </c>
      <c r="S56" s="98">
        <v>24.8812112559642</v>
      </c>
      <c r="T56" s="98">
        <v>0.33670638973146499</v>
      </c>
      <c r="Y56" s="55">
        <v>11.9925319303228</v>
      </c>
      <c r="Z56" s="1">
        <v>1</v>
      </c>
      <c r="AA56" s="15">
        <v>26.318576619456302</v>
      </c>
      <c r="AB56" s="1">
        <v>73</v>
      </c>
      <c r="AC56" s="1">
        <v>0</v>
      </c>
      <c r="AD56" s="1">
        <v>1</v>
      </c>
      <c r="AE56" s="15">
        <v>1</v>
      </c>
      <c r="AF56" s="15">
        <v>0.49519124898961264</v>
      </c>
      <c r="AH56" s="55">
        <v>7.0578231957019897</v>
      </c>
      <c r="AI56" s="1">
        <v>1</v>
      </c>
      <c r="AJ56" s="15">
        <v>23.596642747116501</v>
      </c>
      <c r="AK56" s="1">
        <v>52</v>
      </c>
      <c r="AL56" s="1">
        <v>1</v>
      </c>
      <c r="AM56" s="1">
        <v>0</v>
      </c>
      <c r="AN56" s="15">
        <v>0.98076923076923073</v>
      </c>
      <c r="AO56" s="15">
        <v>0.35966848329025991</v>
      </c>
      <c r="AQ56" s="55">
        <v>11.5840162036087</v>
      </c>
      <c r="AR56" s="2">
        <v>0.70129870129870142</v>
      </c>
      <c r="AW56" s="55">
        <v>11.3174166885824</v>
      </c>
      <c r="AX56" s="2">
        <v>0.56877231329690348</v>
      </c>
      <c r="BR56" s="94">
        <v>12.598100000000001</v>
      </c>
      <c r="BS56" s="1">
        <v>1</v>
      </c>
      <c r="BT56" s="15">
        <v>30.411300000000001</v>
      </c>
      <c r="BU56" s="1">
        <v>71</v>
      </c>
      <c r="BV56" s="1">
        <v>1</v>
      </c>
      <c r="BW56" s="1">
        <v>0</v>
      </c>
      <c r="BX56" s="15">
        <v>0.9859154929577465</v>
      </c>
      <c r="BY56" s="15">
        <v>0.47355561247188349</v>
      </c>
      <c r="CA56" s="94">
        <v>7.0578000000000003</v>
      </c>
      <c r="CB56" s="1">
        <v>1</v>
      </c>
      <c r="CC56" s="15">
        <v>26.8081</v>
      </c>
      <c r="CD56" s="1">
        <v>46</v>
      </c>
      <c r="CE56" s="1">
        <v>1</v>
      </c>
      <c r="CF56" s="1">
        <v>0</v>
      </c>
      <c r="CG56" s="15">
        <v>0.97826086956521741</v>
      </c>
      <c r="CH56" s="15">
        <v>0.32170081061444666</v>
      </c>
      <c r="CJ56" s="15">
        <v>11.584</v>
      </c>
      <c r="CK56" s="15">
        <v>0.70095391334329415</v>
      </c>
      <c r="CP56" s="94">
        <v>12.9856</v>
      </c>
      <c r="CQ56" s="94">
        <v>0.52461970023054283</v>
      </c>
    </row>
    <row r="57" spans="13:95" x14ac:dyDescent="0.25">
      <c r="M57" s="15">
        <v>25.497355787621899</v>
      </c>
      <c r="N57" s="15">
        <v>0.49860053287861</v>
      </c>
      <c r="S57" s="98">
        <v>25.523495510388098</v>
      </c>
      <c r="T57" s="98">
        <v>0.330566581785249</v>
      </c>
      <c r="Y57" s="55">
        <v>12.5981415826264</v>
      </c>
      <c r="Z57" s="1">
        <v>1</v>
      </c>
      <c r="AA57" s="15">
        <v>29.591995898415998</v>
      </c>
      <c r="AB57" s="1">
        <v>72</v>
      </c>
      <c r="AC57" s="1">
        <v>1</v>
      </c>
      <c r="AD57" s="1">
        <v>0</v>
      </c>
      <c r="AE57" s="15">
        <v>0.98611111111111116</v>
      </c>
      <c r="AF57" s="15">
        <v>0.48831359275364583</v>
      </c>
      <c r="AH57" s="55">
        <v>7.45479054739452</v>
      </c>
      <c r="AI57" s="1">
        <v>1</v>
      </c>
      <c r="AJ57" s="15">
        <v>24.238927001540301</v>
      </c>
      <c r="AK57" s="1">
        <v>51</v>
      </c>
      <c r="AL57" s="1">
        <v>1</v>
      </c>
      <c r="AM57" s="1">
        <v>0</v>
      </c>
      <c r="AN57" s="15">
        <v>0.98039215686274506</v>
      </c>
      <c r="AO57" s="15">
        <v>0.35261616008849012</v>
      </c>
      <c r="AQ57" s="55">
        <v>11.5840162036087</v>
      </c>
      <c r="AR57" s="2">
        <v>0.69480519480519487</v>
      </c>
      <c r="AW57" s="55">
        <v>11.3174166885824</v>
      </c>
      <c r="AX57" s="2">
        <v>0.55523011536126288</v>
      </c>
      <c r="BR57" s="94">
        <v>12.598100000000001</v>
      </c>
      <c r="BS57" s="1">
        <v>1</v>
      </c>
      <c r="BT57" s="15">
        <v>32.366599999999998</v>
      </c>
      <c r="BU57" s="1">
        <v>70</v>
      </c>
      <c r="BV57" s="1">
        <v>2</v>
      </c>
      <c r="BW57" s="1">
        <v>0</v>
      </c>
      <c r="BX57" s="15">
        <v>0.97142857142857142</v>
      </c>
      <c r="BY57" s="15">
        <v>0.46002545211554396</v>
      </c>
      <c r="CA57" s="94">
        <v>7.4547999999999996</v>
      </c>
      <c r="CB57" s="1">
        <v>1</v>
      </c>
      <c r="CC57" s="15">
        <v>29.377199999999998</v>
      </c>
      <c r="CD57" s="1">
        <v>45</v>
      </c>
      <c r="CE57" s="1">
        <v>1</v>
      </c>
      <c r="CF57" s="1">
        <v>0</v>
      </c>
      <c r="CG57" s="15">
        <v>0.97777777777777775</v>
      </c>
      <c r="CH57" s="15">
        <v>0.31455190371190339</v>
      </c>
      <c r="CJ57" s="15">
        <v>11.584</v>
      </c>
      <c r="CK57" s="15">
        <v>0.6944029421905531</v>
      </c>
      <c r="CP57" s="94">
        <v>12.9856</v>
      </c>
      <c r="CQ57" s="94">
        <v>0.51116791304514431</v>
      </c>
    </row>
    <row r="58" spans="13:95" x14ac:dyDescent="0.25">
      <c r="M58" s="15">
        <v>26.0707099297023</v>
      </c>
      <c r="N58" s="15">
        <v>0.48912144200846702</v>
      </c>
      <c r="S58" s="98">
        <v>26.165779764811901</v>
      </c>
      <c r="T58" s="98">
        <v>0.325601971157091</v>
      </c>
      <c r="Y58" s="55">
        <v>12.5981415826264</v>
      </c>
      <c r="Z58" s="1">
        <v>1</v>
      </c>
      <c r="AA58" s="15">
        <v>30.411300683627299</v>
      </c>
      <c r="AB58" s="1">
        <v>71</v>
      </c>
      <c r="AC58" s="1">
        <v>1</v>
      </c>
      <c r="AD58" s="1">
        <v>0</v>
      </c>
      <c r="AE58" s="15">
        <v>0.9859154929577465</v>
      </c>
      <c r="AF58" s="15">
        <v>0.48143593651767902</v>
      </c>
      <c r="AH58" s="55">
        <v>7.45479054739452</v>
      </c>
      <c r="AI58" s="1">
        <v>1</v>
      </c>
      <c r="AJ58" s="15">
        <v>25.523495510388098</v>
      </c>
      <c r="AK58" s="1">
        <v>50</v>
      </c>
      <c r="AL58" s="1">
        <v>1</v>
      </c>
      <c r="AM58" s="1">
        <v>0</v>
      </c>
      <c r="AN58" s="15">
        <v>0.98</v>
      </c>
      <c r="AO58" s="15">
        <v>0.34556383688672032</v>
      </c>
      <c r="AQ58" s="55">
        <v>11.9925319303228</v>
      </c>
      <c r="AR58" s="2">
        <v>0.69480519480519487</v>
      </c>
      <c r="AW58" s="55">
        <v>11.9552406356839</v>
      </c>
      <c r="AX58" s="2">
        <v>0.55523011536126288</v>
      </c>
      <c r="BR58" s="94">
        <v>12.598100000000001</v>
      </c>
      <c r="BS58" s="1">
        <v>1</v>
      </c>
      <c r="BT58" s="15">
        <v>34.321800000000003</v>
      </c>
      <c r="BU58" s="1">
        <v>68</v>
      </c>
      <c r="BV58" s="1">
        <v>1</v>
      </c>
      <c r="BW58" s="1">
        <v>0</v>
      </c>
      <c r="BX58" s="15">
        <v>0.98529411764705888</v>
      </c>
      <c r="BY58" s="15">
        <v>0.45326037193737423</v>
      </c>
      <c r="CA58" s="94">
        <v>7.4547999999999996</v>
      </c>
      <c r="CB58" s="1">
        <v>1</v>
      </c>
      <c r="CC58" s="15">
        <v>30.019500000000001</v>
      </c>
      <c r="CD58" s="1">
        <v>44</v>
      </c>
      <c r="CE58" s="1">
        <v>1</v>
      </c>
      <c r="CF58" s="1">
        <v>0</v>
      </c>
      <c r="CG58" s="15">
        <v>0.97727272727272729</v>
      </c>
      <c r="CH58" s="15">
        <v>0.30740299680936012</v>
      </c>
      <c r="CJ58" s="15">
        <v>12.598100000000001</v>
      </c>
      <c r="CK58" s="15">
        <v>0.6944029421905531</v>
      </c>
      <c r="CP58" s="94">
        <v>13.5922</v>
      </c>
      <c r="CQ58" s="94">
        <v>0.51116791304514431</v>
      </c>
    </row>
    <row r="59" spans="13:95" x14ac:dyDescent="0.25">
      <c r="M59" s="15">
        <v>26.5664433092103</v>
      </c>
      <c r="N59" s="15">
        <v>0.487301280841898</v>
      </c>
      <c r="S59" s="98">
        <v>26.8080640192358</v>
      </c>
      <c r="T59" s="98">
        <v>0.32487982284712402</v>
      </c>
      <c r="Y59" s="55">
        <v>12.5981415826264</v>
      </c>
      <c r="Z59" s="1">
        <v>1</v>
      </c>
      <c r="AA59" s="15">
        <v>31.388717532768549</v>
      </c>
      <c r="AB59" s="1">
        <v>70</v>
      </c>
      <c r="AC59" s="1">
        <v>0</v>
      </c>
      <c r="AD59" s="1">
        <v>1</v>
      </c>
      <c r="AE59" s="15">
        <v>1</v>
      </c>
      <c r="AF59" s="15">
        <v>0.48143593651767902</v>
      </c>
      <c r="AH59" s="55">
        <v>7.45479054739452</v>
      </c>
      <c r="AI59" s="1">
        <v>1</v>
      </c>
      <c r="AJ59" s="15">
        <v>26.165779764811901</v>
      </c>
      <c r="AK59" s="1">
        <v>49</v>
      </c>
      <c r="AL59" s="1">
        <v>1</v>
      </c>
      <c r="AM59" s="1">
        <v>0</v>
      </c>
      <c r="AN59" s="15">
        <v>0.97959183673469385</v>
      </c>
      <c r="AO59" s="15">
        <v>0.33851151368495053</v>
      </c>
      <c r="AQ59" s="55">
        <v>11.9925319303228</v>
      </c>
      <c r="AR59" s="2">
        <v>0.67532467532467544</v>
      </c>
      <c r="AW59" s="55">
        <v>11.9552406356839</v>
      </c>
      <c r="AX59" s="2">
        <v>0.54168791742562228</v>
      </c>
      <c r="BR59" s="94">
        <v>12.598100000000001</v>
      </c>
      <c r="BS59" s="1">
        <v>1</v>
      </c>
      <c r="BT59" s="15">
        <v>34.973599999999998</v>
      </c>
      <c r="BU59" s="1">
        <v>67</v>
      </c>
      <c r="BV59" s="1">
        <v>1</v>
      </c>
      <c r="BW59" s="1">
        <v>0</v>
      </c>
      <c r="BX59" s="15">
        <v>0.9850746268656716</v>
      </c>
      <c r="BY59" s="15">
        <v>0.44649529175920444</v>
      </c>
      <c r="CA59" s="94">
        <v>7.4547999999999996</v>
      </c>
      <c r="CB59" s="1">
        <v>1</v>
      </c>
      <c r="CC59" s="15">
        <v>31.183599999999998</v>
      </c>
      <c r="CD59" s="1">
        <v>43</v>
      </c>
      <c r="CE59" s="1">
        <v>3</v>
      </c>
      <c r="CF59" s="1">
        <v>0</v>
      </c>
      <c r="CG59" s="15">
        <v>0.93023255813953487</v>
      </c>
      <c r="CH59" s="15">
        <v>0.28595627610173036</v>
      </c>
      <c r="CJ59" s="15">
        <v>12.598100000000001</v>
      </c>
      <c r="CK59" s="15">
        <v>0.6616480864268478</v>
      </c>
      <c r="CP59" s="94">
        <v>13.5922</v>
      </c>
      <c r="CQ59" s="94">
        <v>0.50444201945244505</v>
      </c>
    </row>
    <row r="60" spans="13:95" x14ac:dyDescent="0.25">
      <c r="M60" s="15">
        <v>27.158591279336299</v>
      </c>
      <c r="N60" s="15">
        <v>0.48766504461486299</v>
      </c>
      <c r="S60" s="98">
        <v>27.450348273659699</v>
      </c>
      <c r="T60" s="98">
        <v>0.32133720097381702</v>
      </c>
      <c r="Y60" s="55">
        <v>12.947593226069301</v>
      </c>
      <c r="Z60" s="1">
        <v>0</v>
      </c>
      <c r="AA60" s="15">
        <v>32.366552359443098</v>
      </c>
      <c r="AB60" s="1">
        <v>69</v>
      </c>
      <c r="AC60" s="1">
        <v>1</v>
      </c>
      <c r="AD60" s="1">
        <v>0</v>
      </c>
      <c r="AE60" s="15">
        <v>0.98550724637681164</v>
      </c>
      <c r="AF60" s="15">
        <v>0.47445860410437934</v>
      </c>
      <c r="AH60" s="55">
        <v>8.0613923432392802</v>
      </c>
      <c r="AI60" s="1">
        <v>1</v>
      </c>
      <c r="AJ60" s="15">
        <v>29.377201036931201</v>
      </c>
      <c r="AK60" s="1">
        <v>48</v>
      </c>
      <c r="AL60" s="1">
        <v>1</v>
      </c>
      <c r="AM60" s="1">
        <v>0</v>
      </c>
      <c r="AN60" s="15">
        <v>0.97916666666666663</v>
      </c>
      <c r="AO60" s="15">
        <v>0.33145919048318073</v>
      </c>
      <c r="AQ60" s="55">
        <v>12.5981415826264</v>
      </c>
      <c r="AR60" s="2">
        <v>0.67532467532467544</v>
      </c>
      <c r="AW60" s="55">
        <v>12.597524890107801</v>
      </c>
      <c r="AX60" s="2">
        <v>0.54168791742562228</v>
      </c>
      <c r="BR60" s="94">
        <v>13.297000000000001</v>
      </c>
      <c r="BS60" s="1">
        <v>1</v>
      </c>
      <c r="BT60" s="15">
        <v>36.323900000000002</v>
      </c>
      <c r="BU60" s="1">
        <v>66</v>
      </c>
      <c r="BV60" s="1">
        <v>1</v>
      </c>
      <c r="BW60" s="1">
        <v>0</v>
      </c>
      <c r="BX60" s="15">
        <v>0.98484848484848486</v>
      </c>
      <c r="BY60" s="15">
        <v>0.4397302115810347</v>
      </c>
      <c r="CA60" s="94">
        <v>8.0614000000000008</v>
      </c>
      <c r="CB60" s="1">
        <v>1</v>
      </c>
      <c r="CC60" s="15">
        <v>31.491399999999999</v>
      </c>
      <c r="CD60" s="1">
        <v>40</v>
      </c>
      <c r="CE60" s="1">
        <v>1</v>
      </c>
      <c r="CF60" s="1">
        <v>0</v>
      </c>
      <c r="CG60" s="15">
        <v>0.97499999999999998</v>
      </c>
      <c r="CH60" s="15">
        <v>0.27880736919918708</v>
      </c>
      <c r="CJ60" s="15">
        <v>13.297000000000001</v>
      </c>
      <c r="CK60" s="15">
        <v>0.6616480864268478</v>
      </c>
      <c r="CP60" s="94">
        <v>14.082800000000001</v>
      </c>
      <c r="CQ60" s="94">
        <v>0.50444201945244505</v>
      </c>
    </row>
    <row r="61" spans="13:95" x14ac:dyDescent="0.25">
      <c r="M61" s="15">
        <v>27.792617790943901</v>
      </c>
      <c r="N61" s="15">
        <v>0.48808786966461898</v>
      </c>
      <c r="S61" s="98">
        <v>28.092632528083499</v>
      </c>
      <c r="T61" s="98">
        <v>0.32048578095886299</v>
      </c>
      <c r="Y61" s="55">
        <v>13.297044869512201</v>
      </c>
      <c r="Z61" s="1">
        <v>1</v>
      </c>
      <c r="AA61" s="15">
        <v>33.018342717314098</v>
      </c>
      <c r="AB61" s="1">
        <v>68</v>
      </c>
      <c r="AC61" s="1">
        <v>1</v>
      </c>
      <c r="AD61" s="1">
        <v>0</v>
      </c>
      <c r="AE61" s="15">
        <v>0.98529411764705888</v>
      </c>
      <c r="AF61" s="15">
        <v>0.46748127169107967</v>
      </c>
      <c r="AH61" s="55">
        <v>8.0613923432392802</v>
      </c>
      <c r="AI61" s="1">
        <v>1</v>
      </c>
      <c r="AJ61" s="15">
        <v>30.0194852913551</v>
      </c>
      <c r="AK61" s="1">
        <v>47</v>
      </c>
      <c r="AL61" s="1">
        <v>1</v>
      </c>
      <c r="AM61" s="1">
        <v>0</v>
      </c>
      <c r="AN61" s="15">
        <v>0.97872340425531912</v>
      </c>
      <c r="AO61" s="15">
        <v>0.32440686728141094</v>
      </c>
      <c r="AQ61" s="55">
        <v>12.5981415826264</v>
      </c>
      <c r="AR61" s="2">
        <v>0.6558441558441559</v>
      </c>
      <c r="AW61" s="55">
        <v>12.597524890107801</v>
      </c>
      <c r="AX61" s="2">
        <v>0.52814571948998168</v>
      </c>
      <c r="BR61" s="94">
        <v>13.625299999999999</v>
      </c>
      <c r="BS61" s="1">
        <v>0</v>
      </c>
      <c r="BT61" s="15">
        <v>37.988300000000002</v>
      </c>
      <c r="BU61" s="1">
        <v>65</v>
      </c>
      <c r="BV61" s="1">
        <v>2</v>
      </c>
      <c r="BW61" s="1">
        <v>0</v>
      </c>
      <c r="BX61" s="15">
        <v>0.96923076923076923</v>
      </c>
      <c r="BY61" s="15">
        <v>0.42620005122469518</v>
      </c>
      <c r="CA61" s="94">
        <v>8.0614000000000008</v>
      </c>
      <c r="CB61" s="1">
        <v>1</v>
      </c>
      <c r="CC61" s="15">
        <v>32.781300000000002</v>
      </c>
      <c r="CD61" s="1">
        <v>39</v>
      </c>
      <c r="CE61" s="1">
        <v>1</v>
      </c>
      <c r="CF61" s="1">
        <v>0</v>
      </c>
      <c r="CG61" s="15">
        <v>0.97435897435897434</v>
      </c>
      <c r="CH61" s="15">
        <v>0.27165846229664381</v>
      </c>
      <c r="CJ61" s="15">
        <v>13.297000000000001</v>
      </c>
      <c r="CK61" s="15">
        <v>0.65509711527410674</v>
      </c>
      <c r="CP61" s="94">
        <v>14.082800000000001</v>
      </c>
      <c r="CQ61" s="94">
        <v>0.4976252354057904</v>
      </c>
    </row>
    <row r="62" spans="13:95" x14ac:dyDescent="0.25">
      <c r="M62" s="15">
        <v>28.455744014513002</v>
      </c>
      <c r="N62" s="15">
        <v>0.48829496764817298</v>
      </c>
      <c r="S62" s="98">
        <v>28.734916782507401</v>
      </c>
      <c r="T62" s="98">
        <v>0.31982239251479799</v>
      </c>
      <c r="Y62" s="55">
        <v>13.953635007459599</v>
      </c>
      <c r="Z62" s="1">
        <v>1</v>
      </c>
      <c r="AA62" s="15">
        <v>33.344118555281554</v>
      </c>
      <c r="AB62" s="1">
        <v>67</v>
      </c>
      <c r="AC62" s="1">
        <v>0</v>
      </c>
      <c r="AD62" s="1">
        <v>1</v>
      </c>
      <c r="AE62" s="15">
        <v>1</v>
      </c>
      <c r="AF62" s="15">
        <v>0.46748127169107967</v>
      </c>
      <c r="AH62" s="55">
        <v>8.4538993876094199</v>
      </c>
      <c r="AI62" s="1">
        <v>1</v>
      </c>
      <c r="AJ62" s="15">
        <v>30.661769545778998</v>
      </c>
      <c r="AK62" s="1">
        <v>46</v>
      </c>
      <c r="AL62" s="1">
        <v>1</v>
      </c>
      <c r="AM62" s="1">
        <v>0</v>
      </c>
      <c r="AN62" s="15">
        <v>0.97826086956521741</v>
      </c>
      <c r="AO62" s="15">
        <v>0.31735454407964114</v>
      </c>
      <c r="AQ62" s="55">
        <v>13.297044869512201</v>
      </c>
      <c r="AR62" s="2">
        <v>0.6558441558441559</v>
      </c>
      <c r="AW62" s="55">
        <v>12.985571627155499</v>
      </c>
      <c r="AX62" s="2">
        <v>0.52814571948998168</v>
      </c>
      <c r="BR62" s="94">
        <v>13.9536</v>
      </c>
      <c r="BS62" s="1">
        <v>1</v>
      </c>
      <c r="BT62" s="15">
        <v>39.942999999999998</v>
      </c>
      <c r="BU62" s="1">
        <v>63</v>
      </c>
      <c r="BV62" s="1">
        <v>1</v>
      </c>
      <c r="BW62" s="1">
        <v>0</v>
      </c>
      <c r="BX62" s="15">
        <v>0.98412698412698407</v>
      </c>
      <c r="BY62" s="15">
        <v>0.41943497104652538</v>
      </c>
      <c r="CA62" s="94">
        <v>8.4539000000000009</v>
      </c>
      <c r="CB62" s="1">
        <v>1</v>
      </c>
      <c r="CC62" s="15">
        <v>33.311199999999999</v>
      </c>
      <c r="CD62" s="1">
        <v>38</v>
      </c>
      <c r="CE62" s="1">
        <v>2</v>
      </c>
      <c r="CF62" s="1">
        <v>0</v>
      </c>
      <c r="CG62" s="15">
        <v>0.94736842105263153</v>
      </c>
      <c r="CH62" s="15">
        <v>0.25736064849155726</v>
      </c>
      <c r="CJ62" s="15">
        <v>13.9536</v>
      </c>
      <c r="CK62" s="15">
        <v>0.65509711527410674</v>
      </c>
      <c r="CP62" s="94">
        <v>14.7004</v>
      </c>
      <c r="CQ62" s="94">
        <v>0.4976252354057904</v>
      </c>
    </row>
    <row r="63" spans="13:95" x14ac:dyDescent="0.25">
      <c r="M63" s="15">
        <v>29.093625363870899</v>
      </c>
      <c r="N63" s="15">
        <v>0.48905991984514302</v>
      </c>
      <c r="S63" s="98">
        <v>29.377201036931201</v>
      </c>
      <c r="T63" s="98">
        <v>0.31285994644594201</v>
      </c>
      <c r="Y63" s="55">
        <v>14.3531206766976</v>
      </c>
      <c r="Z63" s="1">
        <v>1</v>
      </c>
      <c r="AA63" s="15">
        <v>34.321785565823397</v>
      </c>
      <c r="AB63" s="1">
        <v>66</v>
      </c>
      <c r="AC63" s="1">
        <v>1</v>
      </c>
      <c r="AD63" s="1">
        <v>0</v>
      </c>
      <c r="AE63" s="15">
        <v>0.98484848484848486</v>
      </c>
      <c r="AF63" s="15">
        <v>0.4603982221200027</v>
      </c>
      <c r="AH63" s="55">
        <v>8.4538993876094199</v>
      </c>
      <c r="AI63" s="1">
        <v>1</v>
      </c>
      <c r="AJ63" s="15">
        <v>31.183625502498401</v>
      </c>
      <c r="AK63" s="1">
        <v>45</v>
      </c>
      <c r="AL63" s="1">
        <v>2</v>
      </c>
      <c r="AM63" s="1">
        <v>0</v>
      </c>
      <c r="AN63" s="15">
        <v>0.9555555555555556</v>
      </c>
      <c r="AO63" s="15">
        <v>0.30324989767610155</v>
      </c>
      <c r="AQ63" s="55">
        <v>13.297044869512201</v>
      </c>
      <c r="AR63" s="2">
        <v>0.64928571428571435</v>
      </c>
      <c r="AW63" s="55">
        <v>12.985571627155499</v>
      </c>
      <c r="AX63" s="2">
        <v>0.51442764885387826</v>
      </c>
      <c r="BR63" s="94">
        <v>13.9536</v>
      </c>
      <c r="BS63" s="1">
        <v>1</v>
      </c>
      <c r="BT63" s="15">
        <v>41.246600000000001</v>
      </c>
      <c r="BU63" s="1">
        <v>62</v>
      </c>
      <c r="BV63" s="1">
        <v>1</v>
      </c>
      <c r="BW63" s="1">
        <v>0</v>
      </c>
      <c r="BX63" s="15">
        <v>0.9838709677419355</v>
      </c>
      <c r="BY63" s="15">
        <v>0.41266989086835565</v>
      </c>
      <c r="CA63" s="94">
        <v>8.4539000000000009</v>
      </c>
      <c r="CB63" s="1">
        <v>1</v>
      </c>
      <c r="CC63" s="15">
        <v>35.238</v>
      </c>
      <c r="CD63" s="1">
        <v>36</v>
      </c>
      <c r="CE63" s="1">
        <v>1</v>
      </c>
      <c r="CF63" s="1">
        <v>0</v>
      </c>
      <c r="CG63" s="15">
        <v>0.97222222222222221</v>
      </c>
      <c r="CH63" s="15">
        <v>0.25021174158901399</v>
      </c>
      <c r="CJ63" s="15">
        <v>13.9536</v>
      </c>
      <c r="CK63" s="15">
        <v>0.64186283011705403</v>
      </c>
      <c r="CP63" s="94">
        <v>14.7004</v>
      </c>
      <c r="CQ63" s="94">
        <v>0.48399166731248106</v>
      </c>
    </row>
    <row r="64" spans="13:95" x14ac:dyDescent="0.25">
      <c r="M64" s="15">
        <v>29.591995898415998</v>
      </c>
      <c r="N64" s="15">
        <v>0.47884164780937299</v>
      </c>
      <c r="S64" s="98">
        <v>30.0194852913551</v>
      </c>
      <c r="T64" s="98">
        <v>0.308753229859967</v>
      </c>
      <c r="Y64" s="55">
        <v>14.3531206766976</v>
      </c>
      <c r="Z64" s="1">
        <v>1</v>
      </c>
      <c r="AA64" s="15">
        <v>34.973649403633303</v>
      </c>
      <c r="AB64" s="1">
        <v>65</v>
      </c>
      <c r="AC64" s="1">
        <v>1</v>
      </c>
      <c r="AD64" s="1">
        <v>0</v>
      </c>
      <c r="AE64" s="15">
        <v>0.98461538461538467</v>
      </c>
      <c r="AF64" s="15">
        <v>0.45331517254892578</v>
      </c>
      <c r="AH64" s="55">
        <v>8.4538993876094199</v>
      </c>
      <c r="AI64" s="1">
        <v>1</v>
      </c>
      <c r="AJ64" s="15">
        <v>31.4913867077431</v>
      </c>
      <c r="AK64" s="1">
        <v>43</v>
      </c>
      <c r="AL64" s="1">
        <v>2</v>
      </c>
      <c r="AM64" s="1">
        <v>0</v>
      </c>
      <c r="AN64" s="15">
        <v>0.95348837209302328</v>
      </c>
      <c r="AO64" s="15">
        <v>0.28914525127256197</v>
      </c>
      <c r="AQ64" s="55">
        <v>13.953635007459599</v>
      </c>
      <c r="AR64" s="2">
        <v>0.64928571428571435</v>
      </c>
      <c r="AW64" s="55">
        <v>13.5921734230003</v>
      </c>
      <c r="AX64" s="2">
        <v>0.51442764885387826</v>
      </c>
      <c r="BR64" s="94">
        <v>14.3531</v>
      </c>
      <c r="BS64" s="1">
        <v>1</v>
      </c>
      <c r="BT64" s="15">
        <v>41.898699999999998</v>
      </c>
      <c r="BU64" s="1">
        <v>61</v>
      </c>
      <c r="BV64" s="1">
        <v>1</v>
      </c>
      <c r="BW64" s="1">
        <v>0</v>
      </c>
      <c r="BX64" s="15">
        <v>0.98360655737704916</v>
      </c>
      <c r="BY64" s="15">
        <v>0.40590481069018586</v>
      </c>
      <c r="CA64" s="94">
        <v>8.4539000000000009</v>
      </c>
      <c r="CB64" s="1">
        <v>1</v>
      </c>
      <c r="CC64" s="15">
        <v>37.164900000000003</v>
      </c>
      <c r="CD64" s="1">
        <v>35</v>
      </c>
      <c r="CE64" s="1">
        <v>1</v>
      </c>
      <c r="CF64" s="1">
        <v>0</v>
      </c>
      <c r="CG64" s="15">
        <v>0.97142857142857142</v>
      </c>
      <c r="CH64" s="15">
        <v>0.24306283468647072</v>
      </c>
      <c r="CJ64" s="15">
        <v>14.3531</v>
      </c>
      <c r="CK64" s="15">
        <v>0.64186283011705403</v>
      </c>
      <c r="CP64" s="94">
        <v>15.2469</v>
      </c>
      <c r="CQ64" s="94">
        <v>0.48399166731248106</v>
      </c>
    </row>
    <row r="65" spans="13:95" x14ac:dyDescent="0.25">
      <c r="M65" s="15">
        <v>30.411300683627299</v>
      </c>
      <c r="N65" s="15">
        <v>0.47297103519725098</v>
      </c>
      <c r="S65" s="98">
        <v>30.661769545778998</v>
      </c>
      <c r="T65" s="98">
        <v>0.30472709823294403</v>
      </c>
      <c r="Y65" s="55">
        <v>14.3531206766976</v>
      </c>
      <c r="Z65" s="1">
        <v>1</v>
      </c>
      <c r="AA65" s="15">
        <v>36.3239229638111</v>
      </c>
      <c r="AB65" s="1">
        <v>64</v>
      </c>
      <c r="AC65" s="1">
        <v>1</v>
      </c>
      <c r="AD65" s="1">
        <v>0</v>
      </c>
      <c r="AE65" s="15">
        <v>0.984375</v>
      </c>
      <c r="AF65" s="15">
        <v>0.44623212297784881</v>
      </c>
      <c r="AH65" s="55">
        <v>8.7077882556261006</v>
      </c>
      <c r="AI65" s="1">
        <v>1</v>
      </c>
      <c r="AJ65" s="15">
        <v>32.781307585377697</v>
      </c>
      <c r="AK65" s="1">
        <v>41</v>
      </c>
      <c r="AL65" s="1">
        <v>1</v>
      </c>
      <c r="AM65" s="1">
        <v>0</v>
      </c>
      <c r="AN65" s="15">
        <v>0.97560975609756095</v>
      </c>
      <c r="AO65" s="15">
        <v>0.28209292807079217</v>
      </c>
      <c r="AQ65" s="55">
        <v>13.953635007459599</v>
      </c>
      <c r="AR65" s="2">
        <v>0.64272727272727281</v>
      </c>
      <c r="AW65" s="55">
        <v>13.5921734230003</v>
      </c>
      <c r="AX65" s="2">
        <v>0.50756861353582661</v>
      </c>
      <c r="BR65" s="94">
        <v>14.3531</v>
      </c>
      <c r="BS65" s="1">
        <v>1</v>
      </c>
      <c r="BT65" s="15">
        <v>42.306899999999999</v>
      </c>
      <c r="BU65" s="1">
        <v>60</v>
      </c>
      <c r="BV65" s="1">
        <v>2</v>
      </c>
      <c r="BW65" s="1">
        <v>0</v>
      </c>
      <c r="BX65" s="15">
        <v>0.96666666666666667</v>
      </c>
      <c r="BY65" s="15">
        <v>0.39237465033384633</v>
      </c>
      <c r="CA65" s="94">
        <v>8.4539000000000009</v>
      </c>
      <c r="CB65" s="1">
        <v>1</v>
      </c>
      <c r="CC65" s="15">
        <v>37.807200000000002</v>
      </c>
      <c r="CD65" s="1">
        <v>34</v>
      </c>
      <c r="CE65" s="1">
        <v>1</v>
      </c>
      <c r="CF65" s="1">
        <v>0</v>
      </c>
      <c r="CG65" s="15">
        <v>0.97058823529411764</v>
      </c>
      <c r="CH65" s="15">
        <v>0.23591392778392747</v>
      </c>
      <c r="CJ65" s="15">
        <v>14.3531</v>
      </c>
      <c r="CK65" s="15">
        <v>0.62201140238147501</v>
      </c>
      <c r="CP65" s="94">
        <v>15.2469</v>
      </c>
      <c r="CQ65" s="94">
        <v>0.47016333396069587</v>
      </c>
    </row>
    <row r="66" spans="13:95" x14ac:dyDescent="0.25">
      <c r="M66" s="15">
        <v>31.062943342842999</v>
      </c>
      <c r="N66" s="15">
        <v>0.470956743640775</v>
      </c>
      <c r="S66" s="98">
        <v>31.183625502498401</v>
      </c>
      <c r="T66" s="98">
        <v>0.289549963242407</v>
      </c>
      <c r="Y66" s="55">
        <v>14.6813689374916</v>
      </c>
      <c r="Z66" s="1">
        <v>0</v>
      </c>
      <c r="AA66" s="15">
        <v>37.152738306167599</v>
      </c>
      <c r="AB66" s="1">
        <v>63</v>
      </c>
      <c r="AC66" s="1">
        <v>1</v>
      </c>
      <c r="AD66" s="1">
        <v>0</v>
      </c>
      <c r="AE66" s="15">
        <v>0.98412698412698407</v>
      </c>
      <c r="AF66" s="15">
        <v>0.43914907340677184</v>
      </c>
      <c r="AH66" s="55">
        <v>8.8934424001065597</v>
      </c>
      <c r="AI66" s="1">
        <v>1</v>
      </c>
      <c r="AJ66" s="15">
        <v>33.311192095277399</v>
      </c>
      <c r="AK66" s="1">
        <v>40</v>
      </c>
      <c r="AL66" s="1">
        <v>2</v>
      </c>
      <c r="AM66" s="1">
        <v>0</v>
      </c>
      <c r="AN66" s="15">
        <v>0.95</v>
      </c>
      <c r="AO66" s="15">
        <v>0.26798828166725253</v>
      </c>
      <c r="AQ66" s="55">
        <v>14.3531206766976</v>
      </c>
      <c r="AR66" s="2">
        <v>0.64272727272727281</v>
      </c>
      <c r="AW66" s="55">
        <v>14.7003882423321</v>
      </c>
      <c r="AX66" s="2">
        <v>0.50756861353582661</v>
      </c>
      <c r="BR66" s="94">
        <v>14.3531</v>
      </c>
      <c r="BS66" s="1">
        <v>1</v>
      </c>
      <c r="BT66" s="15">
        <v>42.958599999999997</v>
      </c>
      <c r="BU66" s="1">
        <v>58</v>
      </c>
      <c r="BV66" s="1">
        <v>1</v>
      </c>
      <c r="BW66" s="1">
        <v>0</v>
      </c>
      <c r="BX66" s="15">
        <v>0.98275862068965514</v>
      </c>
      <c r="BY66" s="15">
        <v>0.38560957015567654</v>
      </c>
      <c r="CA66" s="94">
        <v>8.7078000000000007</v>
      </c>
      <c r="CB66" s="1">
        <v>1</v>
      </c>
      <c r="CC66" s="15">
        <v>43.587699999999998</v>
      </c>
      <c r="CD66" s="1">
        <v>33</v>
      </c>
      <c r="CE66" s="1">
        <v>1</v>
      </c>
      <c r="CF66" s="1">
        <v>0</v>
      </c>
      <c r="CG66" s="15">
        <v>0.96969696969696972</v>
      </c>
      <c r="CH66" s="15">
        <v>0.22876502088138423</v>
      </c>
      <c r="CJ66" s="15">
        <v>15.009600000000001</v>
      </c>
      <c r="CK66" s="15">
        <v>0.62201140238147501</v>
      </c>
      <c r="CP66" s="94">
        <v>15.889200000000001</v>
      </c>
      <c r="CQ66" s="94">
        <v>0.47016333396069587</v>
      </c>
    </row>
    <row r="67" spans="13:95" x14ac:dyDescent="0.25">
      <c r="M67" s="15">
        <v>31.714491722694099</v>
      </c>
      <c r="N67" s="15">
        <v>0.47033425120641198</v>
      </c>
      <c r="S67" s="98">
        <v>31.4913867077431</v>
      </c>
      <c r="T67" s="98">
        <v>0.27827512342759902</v>
      </c>
      <c r="Y67" s="55">
        <v>15.0096171982856</v>
      </c>
      <c r="Z67" s="1">
        <v>1</v>
      </c>
      <c r="AA67" s="15">
        <v>37.988254368477001</v>
      </c>
      <c r="AB67" s="1">
        <v>62</v>
      </c>
      <c r="AC67" s="1">
        <v>2</v>
      </c>
      <c r="AD67" s="1">
        <v>0</v>
      </c>
      <c r="AE67" s="15">
        <v>0.967741935483871</v>
      </c>
      <c r="AF67" s="15">
        <v>0.4249829742646179</v>
      </c>
      <c r="AH67" s="55">
        <v>8.8934424001065597</v>
      </c>
      <c r="AI67" s="1">
        <v>1</v>
      </c>
      <c r="AJ67" s="15">
        <v>35.238044858549003</v>
      </c>
      <c r="AK67" s="1">
        <v>38</v>
      </c>
      <c r="AL67" s="1">
        <v>1</v>
      </c>
      <c r="AM67" s="1">
        <v>0</v>
      </c>
      <c r="AN67" s="15">
        <v>0.97368421052631582</v>
      </c>
      <c r="AO67" s="15">
        <v>0.26093595846548273</v>
      </c>
      <c r="AQ67" s="55">
        <v>14.3531206766976</v>
      </c>
      <c r="AR67" s="2">
        <v>0.62305194805194808</v>
      </c>
      <c r="AW67" s="55">
        <v>14.7003882423321</v>
      </c>
      <c r="AX67" s="2">
        <v>0.49366262412388617</v>
      </c>
      <c r="BR67" s="94">
        <v>15.009600000000001</v>
      </c>
      <c r="BS67" s="1">
        <v>1</v>
      </c>
      <c r="BT67" s="15">
        <v>43.610500000000002</v>
      </c>
      <c r="BU67" s="1">
        <v>57</v>
      </c>
      <c r="BV67" s="1">
        <v>1</v>
      </c>
      <c r="BW67" s="1">
        <v>0</v>
      </c>
      <c r="BX67" s="15">
        <v>0.98245614035087714</v>
      </c>
      <c r="BY67" s="15">
        <v>0.37884448997750675</v>
      </c>
      <c r="CA67" s="94">
        <v>8.8933999999999997</v>
      </c>
      <c r="CB67" s="1">
        <v>1</v>
      </c>
      <c r="CC67" s="15">
        <v>44.872300000000003</v>
      </c>
      <c r="CD67" s="1">
        <v>32</v>
      </c>
      <c r="CE67" s="1">
        <v>1</v>
      </c>
      <c r="CF67" s="1">
        <v>0</v>
      </c>
      <c r="CG67" s="15">
        <v>0.96875</v>
      </c>
      <c r="CH67" s="15">
        <v>0.22161611397884098</v>
      </c>
      <c r="CJ67" s="15">
        <v>15.009600000000001</v>
      </c>
      <c r="CK67" s="15">
        <v>0.61539425980294871</v>
      </c>
      <c r="CP67" s="94">
        <v>15.889200000000001</v>
      </c>
      <c r="CQ67" s="94">
        <v>0.46324916728480331</v>
      </c>
    </row>
    <row r="68" spans="13:95" x14ac:dyDescent="0.25">
      <c r="M68" s="15">
        <v>32.366552359443098</v>
      </c>
      <c r="N68" s="15">
        <v>0.46214956631470699</v>
      </c>
      <c r="S68" s="98">
        <v>32.1069091182327</v>
      </c>
      <c r="T68" s="98">
        <v>0.277822511084101</v>
      </c>
      <c r="Y68" s="55">
        <v>15.606510018578501</v>
      </c>
      <c r="Z68" s="1">
        <v>1</v>
      </c>
      <c r="AA68" s="15">
        <v>40.594737488630201</v>
      </c>
      <c r="AB68" s="1">
        <v>60</v>
      </c>
      <c r="AC68" s="1">
        <v>1</v>
      </c>
      <c r="AD68" s="1">
        <v>0</v>
      </c>
      <c r="AE68" s="15">
        <v>0.98333333333333328</v>
      </c>
      <c r="AF68" s="15">
        <v>0.41789992469354093</v>
      </c>
      <c r="AH68" s="55">
        <v>9.5466746815944692</v>
      </c>
      <c r="AI68" s="1">
        <v>1</v>
      </c>
      <c r="AJ68" s="15">
        <v>37.1648976218206</v>
      </c>
      <c r="AK68" s="1">
        <v>37</v>
      </c>
      <c r="AL68" s="1">
        <v>1</v>
      </c>
      <c r="AM68" s="1">
        <v>0</v>
      </c>
      <c r="AN68" s="15">
        <v>0.97297297297297303</v>
      </c>
      <c r="AO68" s="15">
        <v>0.25388363526371294</v>
      </c>
      <c r="AQ68" s="55">
        <v>15.0096171982856</v>
      </c>
      <c r="AR68" s="2">
        <v>0.62305194805194808</v>
      </c>
      <c r="AW68" s="55">
        <v>15.246947439606201</v>
      </c>
      <c r="AX68" s="2">
        <v>0.49366262412388617</v>
      </c>
      <c r="BR68" s="94">
        <v>15.30805</v>
      </c>
      <c r="BS68" s="1">
        <v>0</v>
      </c>
      <c r="BT68" s="15">
        <v>44.914000000000001</v>
      </c>
      <c r="BU68" s="1">
        <v>56</v>
      </c>
      <c r="BV68" s="1">
        <v>1</v>
      </c>
      <c r="BW68" s="1">
        <v>0</v>
      </c>
      <c r="BX68" s="15">
        <v>0.9821428571428571</v>
      </c>
      <c r="BY68" s="15">
        <v>0.37207940979933696</v>
      </c>
      <c r="CA68" s="94">
        <v>8.8933999999999997</v>
      </c>
      <c r="CB68" s="1">
        <v>1</v>
      </c>
      <c r="CC68" s="15">
        <v>45.514600000000002</v>
      </c>
      <c r="CD68" s="1">
        <v>31</v>
      </c>
      <c r="CE68" s="1">
        <v>1</v>
      </c>
      <c r="CF68" s="1">
        <v>0</v>
      </c>
      <c r="CG68" s="15">
        <v>0.967741935483871</v>
      </c>
      <c r="CH68" s="15">
        <v>0.21446720707629774</v>
      </c>
      <c r="CJ68" s="15">
        <v>15.6065</v>
      </c>
      <c r="CK68" s="15">
        <v>0.61539425980294871</v>
      </c>
      <c r="CP68" s="94">
        <v>16.563600000000001</v>
      </c>
      <c r="CQ68" s="94">
        <v>0.46324916728480331</v>
      </c>
    </row>
    <row r="69" spans="13:95" x14ac:dyDescent="0.25">
      <c r="M69" s="15">
        <v>33.018342717314098</v>
      </c>
      <c r="N69" s="15">
        <v>0.457954873360778</v>
      </c>
      <c r="S69" s="98">
        <v>32.781307585377697</v>
      </c>
      <c r="T69" s="98">
        <v>0.27153587534649298</v>
      </c>
      <c r="Y69" s="55">
        <v>15.606510018578501</v>
      </c>
      <c r="Z69" s="1">
        <v>1</v>
      </c>
      <c r="AA69" s="15">
        <v>41.246618431978803</v>
      </c>
      <c r="AB69" s="1">
        <v>59</v>
      </c>
      <c r="AC69" s="1">
        <v>1</v>
      </c>
      <c r="AD69" s="1">
        <v>0</v>
      </c>
      <c r="AE69" s="15">
        <v>0.98305084745762716</v>
      </c>
      <c r="AF69" s="15">
        <v>0.41081687512246395</v>
      </c>
      <c r="AH69" s="55">
        <v>9.5466746815944692</v>
      </c>
      <c r="AI69" s="1">
        <v>1</v>
      </c>
      <c r="AJ69" s="15">
        <v>37.807181876244499</v>
      </c>
      <c r="AK69" s="1">
        <v>36</v>
      </c>
      <c r="AL69" s="1">
        <v>1</v>
      </c>
      <c r="AM69" s="1">
        <v>0</v>
      </c>
      <c r="AN69" s="15">
        <v>0.97222222222222221</v>
      </c>
      <c r="AO69" s="15">
        <v>0.24683131206194314</v>
      </c>
      <c r="AQ69" s="55">
        <v>15.0096171982856</v>
      </c>
      <c r="AR69" s="2">
        <v>0.61642373583862953</v>
      </c>
      <c r="AW69" s="55">
        <v>15.246947439606201</v>
      </c>
      <c r="AX69" s="2">
        <v>0.47955797772034658</v>
      </c>
      <c r="BR69" s="94">
        <v>15.6065</v>
      </c>
      <c r="BS69" s="1">
        <v>1</v>
      </c>
      <c r="BT69" s="15">
        <v>46.869100000000003</v>
      </c>
      <c r="BU69" s="1">
        <v>55</v>
      </c>
      <c r="BV69" s="1">
        <v>1</v>
      </c>
      <c r="BW69" s="1">
        <v>0</v>
      </c>
      <c r="BX69" s="15">
        <v>0.98181818181818181</v>
      </c>
      <c r="BY69" s="15">
        <v>0.36531432962116717</v>
      </c>
      <c r="CA69" s="94">
        <v>9.5466999999999995</v>
      </c>
      <c r="CB69" s="1">
        <v>1</v>
      </c>
      <c r="CC69" s="15">
        <v>46.134599999999999</v>
      </c>
      <c r="CD69" s="1">
        <v>30</v>
      </c>
      <c r="CE69" s="1">
        <v>2</v>
      </c>
      <c r="CF69" s="1">
        <v>0</v>
      </c>
      <c r="CG69" s="15">
        <v>0.93333333333333335</v>
      </c>
      <c r="CH69" s="15">
        <v>0.20016939327121122</v>
      </c>
      <c r="CJ69" s="15">
        <v>15.6065</v>
      </c>
      <c r="CK69" s="15">
        <v>0.60201612372027591</v>
      </c>
      <c r="CP69" s="94">
        <v>16.563600000000001</v>
      </c>
      <c r="CQ69" s="94">
        <v>0.44921131373071838</v>
      </c>
    </row>
    <row r="70" spans="13:95" x14ac:dyDescent="0.25">
      <c r="M70" s="15">
        <v>33.669894393249002</v>
      </c>
      <c r="N70" s="15">
        <v>0.45728372248815002</v>
      </c>
      <c r="S70" s="98">
        <v>33.311192095277399</v>
      </c>
      <c r="T70" s="98">
        <v>0.256963355373105</v>
      </c>
      <c r="Y70" s="55">
        <v>15.988355549746201</v>
      </c>
      <c r="Z70" s="1">
        <v>1</v>
      </c>
      <c r="AA70" s="15">
        <v>41.8987382163848</v>
      </c>
      <c r="AB70" s="1">
        <v>58</v>
      </c>
      <c r="AC70" s="1">
        <v>1</v>
      </c>
      <c r="AD70" s="1">
        <v>0</v>
      </c>
      <c r="AE70" s="15">
        <v>0.98275862068965514</v>
      </c>
      <c r="AF70" s="15">
        <v>0.40373382555138698</v>
      </c>
      <c r="AH70" s="55">
        <v>9.5466746815944692</v>
      </c>
      <c r="AI70" s="1">
        <v>1</v>
      </c>
      <c r="AJ70" s="15">
        <v>43.587740166059199</v>
      </c>
      <c r="AK70" s="1">
        <v>35</v>
      </c>
      <c r="AL70" s="1">
        <v>1</v>
      </c>
      <c r="AM70" s="1">
        <v>0</v>
      </c>
      <c r="AN70" s="15">
        <v>0.97142857142857142</v>
      </c>
      <c r="AO70" s="15">
        <v>0.23977898886017335</v>
      </c>
      <c r="AQ70" s="55">
        <v>15.606510018578501</v>
      </c>
      <c r="AR70" s="2">
        <v>0.61642373583862953</v>
      </c>
      <c r="AW70" s="55">
        <v>15.8892316940301</v>
      </c>
      <c r="AX70" s="2">
        <v>0.47955797772034658</v>
      </c>
      <c r="BR70" s="94">
        <v>15.6065</v>
      </c>
      <c r="BS70" s="1">
        <v>1</v>
      </c>
      <c r="BT70" s="15">
        <v>47.567999999999998</v>
      </c>
      <c r="BU70" s="1">
        <v>54</v>
      </c>
      <c r="BV70" s="1">
        <v>1</v>
      </c>
      <c r="BW70" s="1">
        <v>0</v>
      </c>
      <c r="BX70" s="15">
        <v>0.98148148148148151</v>
      </c>
      <c r="BY70" s="15">
        <v>0.35854924944299743</v>
      </c>
      <c r="CA70" s="94">
        <v>9.5466999999999995</v>
      </c>
      <c r="CB70" s="1">
        <v>1</v>
      </c>
      <c r="CC70" s="15">
        <v>52.579700000000003</v>
      </c>
      <c r="CD70" s="1">
        <v>28</v>
      </c>
      <c r="CE70" s="1">
        <v>1</v>
      </c>
      <c r="CF70" s="1">
        <v>0</v>
      </c>
      <c r="CG70" s="15">
        <v>0.9642857142857143</v>
      </c>
      <c r="CH70" s="15">
        <v>0.19302048636866798</v>
      </c>
      <c r="CJ70" s="15">
        <v>15.9884</v>
      </c>
      <c r="CK70" s="15">
        <v>0.60201612372027591</v>
      </c>
      <c r="CP70" s="94">
        <v>17.1738</v>
      </c>
      <c r="CQ70" s="94">
        <v>0.44921131373071838</v>
      </c>
    </row>
    <row r="71" spans="13:95" x14ac:dyDescent="0.25">
      <c r="M71" s="15">
        <v>34.321785565823397</v>
      </c>
      <c r="N71" s="15">
        <v>0.45160075247416698</v>
      </c>
      <c r="S71" s="98">
        <v>33.953476349701297</v>
      </c>
      <c r="T71" s="98">
        <v>0.25531112232856001</v>
      </c>
      <c r="Y71" s="55">
        <v>16.273467089435652</v>
      </c>
      <c r="Z71" s="1">
        <v>0</v>
      </c>
      <c r="AA71" s="15">
        <v>42.306935882370396</v>
      </c>
      <c r="AB71" s="1">
        <v>57</v>
      </c>
      <c r="AC71" s="1">
        <v>2</v>
      </c>
      <c r="AD71" s="1">
        <v>0</v>
      </c>
      <c r="AE71" s="15">
        <v>0.96491228070175439</v>
      </c>
      <c r="AF71" s="15">
        <v>0.38956772640923304</v>
      </c>
      <c r="AH71" s="55">
        <v>10.057061276627699</v>
      </c>
      <c r="AI71" s="1">
        <v>1</v>
      </c>
      <c r="AJ71" s="15">
        <v>44.872308674907003</v>
      </c>
      <c r="AK71" s="1">
        <v>34</v>
      </c>
      <c r="AL71" s="1">
        <v>1</v>
      </c>
      <c r="AM71" s="1">
        <v>0</v>
      </c>
      <c r="AN71" s="15">
        <v>0.97058823529411764</v>
      </c>
      <c r="AO71" s="15">
        <v>0.23272666565840355</v>
      </c>
      <c r="AQ71" s="55">
        <v>15.606510018578501</v>
      </c>
      <c r="AR71" s="2">
        <v>0.60316731141199231</v>
      </c>
      <c r="AW71" s="55">
        <v>15.8892316940301</v>
      </c>
      <c r="AX71" s="2">
        <v>0.47250565451857679</v>
      </c>
      <c r="BR71" s="94">
        <v>15.9884</v>
      </c>
      <c r="BS71" s="1">
        <v>1</v>
      </c>
      <c r="BT71" s="15">
        <v>48.173000000000002</v>
      </c>
      <c r="BU71" s="1">
        <v>53</v>
      </c>
      <c r="BV71" s="1">
        <v>1</v>
      </c>
      <c r="BW71" s="1">
        <v>0</v>
      </c>
      <c r="BX71" s="15">
        <v>0.98113207547169812</v>
      </c>
      <c r="BY71" s="15">
        <v>0.3517841692648277</v>
      </c>
      <c r="CA71" s="94">
        <v>9.5466999999999995</v>
      </c>
      <c r="CB71" s="1">
        <v>1</v>
      </c>
      <c r="CC71" s="15">
        <v>53.222000000000001</v>
      </c>
      <c r="CD71" s="1">
        <v>27</v>
      </c>
      <c r="CE71" s="1">
        <v>1</v>
      </c>
      <c r="CF71" s="1">
        <v>0</v>
      </c>
      <c r="CG71" s="15">
        <v>0.96296296296296291</v>
      </c>
      <c r="CH71" s="15">
        <v>0.1858715794661247</v>
      </c>
      <c r="CJ71" s="15">
        <v>15.9884</v>
      </c>
      <c r="CK71" s="15">
        <v>0.59532705567893951</v>
      </c>
      <c r="CP71" s="94">
        <v>17.1738</v>
      </c>
      <c r="CQ71" s="94">
        <v>0.44219238695367591</v>
      </c>
    </row>
    <row r="72" spans="13:95" x14ac:dyDescent="0.25">
      <c r="M72" s="15">
        <v>34.973649403633303</v>
      </c>
      <c r="N72" s="15">
        <v>0.44632131192235303</v>
      </c>
      <c r="S72" s="98">
        <v>34.595760604125097</v>
      </c>
      <c r="T72" s="98">
        <v>0.25476525361630198</v>
      </c>
      <c r="Y72" s="55">
        <v>17.266169382910601</v>
      </c>
      <c r="Z72" s="1">
        <v>1</v>
      </c>
      <c r="AA72" s="15">
        <v>43.284574705712203</v>
      </c>
      <c r="AB72" s="1">
        <v>55</v>
      </c>
      <c r="AC72" s="1">
        <v>0</v>
      </c>
      <c r="AD72" s="1">
        <v>1</v>
      </c>
      <c r="AE72" s="15">
        <v>1</v>
      </c>
      <c r="AF72" s="15">
        <v>0.38956772640923304</v>
      </c>
      <c r="AH72" s="55">
        <v>10.057061276627699</v>
      </c>
      <c r="AI72" s="1">
        <v>1</v>
      </c>
      <c r="AJ72" s="15">
        <v>45.514592929330803</v>
      </c>
      <c r="AK72" s="1">
        <v>33</v>
      </c>
      <c r="AL72" s="1">
        <v>1</v>
      </c>
      <c r="AM72" s="1">
        <v>0</v>
      </c>
      <c r="AN72" s="15">
        <v>0.96969696969696972</v>
      </c>
      <c r="AO72" s="15">
        <v>0.22567434245663376</v>
      </c>
      <c r="AQ72" s="55">
        <v>15.988355549746201</v>
      </c>
      <c r="AR72" s="2">
        <v>0.60316731141199231</v>
      </c>
      <c r="AW72" s="55">
        <v>16.563630161175102</v>
      </c>
      <c r="AX72" s="2">
        <v>0.47250565451857679</v>
      </c>
      <c r="BR72" s="94">
        <v>16.273499999999999</v>
      </c>
      <c r="BS72" s="1">
        <v>0</v>
      </c>
      <c r="BT72" s="15">
        <v>48.824800000000003</v>
      </c>
      <c r="BU72" s="1">
        <v>52</v>
      </c>
      <c r="BV72" s="1">
        <v>1</v>
      </c>
      <c r="BW72" s="1">
        <v>0</v>
      </c>
      <c r="BX72" s="15">
        <v>0.98076923076923073</v>
      </c>
      <c r="BY72" s="15">
        <v>0.3450190890866579</v>
      </c>
      <c r="CA72" s="94">
        <v>10.0571</v>
      </c>
      <c r="CB72" s="1">
        <v>1</v>
      </c>
      <c r="CC72" s="15">
        <v>54.827750000000002</v>
      </c>
      <c r="CD72" s="1">
        <v>26</v>
      </c>
      <c r="CE72" s="1">
        <v>0</v>
      </c>
      <c r="CF72" s="1">
        <v>1</v>
      </c>
      <c r="CG72" s="15">
        <v>1</v>
      </c>
      <c r="CH72" s="15">
        <v>0.1858715794661247</v>
      </c>
      <c r="CJ72" s="15">
        <v>17.266200000000001</v>
      </c>
      <c r="CK72" s="15">
        <v>0.59532705567893951</v>
      </c>
      <c r="CP72" s="94">
        <v>17.816099999999999</v>
      </c>
      <c r="CQ72" s="94">
        <v>0.44219238695367591</v>
      </c>
    </row>
    <row r="73" spans="13:95" x14ac:dyDescent="0.25">
      <c r="M73" s="15">
        <v>35.6250969119518</v>
      </c>
      <c r="N73" s="15">
        <v>0.44718793548663499</v>
      </c>
      <c r="S73" s="98">
        <v>35.238044858549003</v>
      </c>
      <c r="T73" s="98">
        <v>0.25111098799777898</v>
      </c>
      <c r="Y73" s="55">
        <v>17.8626436418811</v>
      </c>
      <c r="Z73" s="1">
        <v>1</v>
      </c>
      <c r="AA73" s="15">
        <v>43.610541830202699</v>
      </c>
      <c r="AB73" s="1">
        <v>54</v>
      </c>
      <c r="AC73" s="1">
        <v>1</v>
      </c>
      <c r="AD73" s="1">
        <v>0</v>
      </c>
      <c r="AE73" s="15">
        <v>0.98148148148148151</v>
      </c>
      <c r="AF73" s="15">
        <v>0.38235350925350653</v>
      </c>
      <c r="AH73" s="55">
        <v>10.6706721268362</v>
      </c>
      <c r="AI73" s="1">
        <v>1</v>
      </c>
      <c r="AJ73" s="15">
        <v>46.134575647142803</v>
      </c>
      <c r="AK73" s="1">
        <v>32</v>
      </c>
      <c r="AL73" s="1">
        <v>2</v>
      </c>
      <c r="AM73" s="1">
        <v>0</v>
      </c>
      <c r="AN73" s="15">
        <v>0.9375</v>
      </c>
      <c r="AO73" s="15">
        <v>0.21156969605309414</v>
      </c>
      <c r="AQ73" s="55">
        <v>15.988355549746201</v>
      </c>
      <c r="AR73" s="2">
        <v>0.59653909919867376</v>
      </c>
      <c r="AW73" s="55">
        <v>16.563630161175102</v>
      </c>
      <c r="AX73" s="2">
        <v>0.46545333131680694</v>
      </c>
      <c r="BR73" s="94">
        <v>17.266200000000001</v>
      </c>
      <c r="BS73" s="1">
        <v>1</v>
      </c>
      <c r="BT73" s="15">
        <v>53.385899999999999</v>
      </c>
      <c r="BU73" s="1">
        <v>51</v>
      </c>
      <c r="BV73" s="1">
        <v>1</v>
      </c>
      <c r="BW73" s="1">
        <v>0</v>
      </c>
      <c r="BX73" s="15">
        <v>0.98039215686274506</v>
      </c>
      <c r="BY73" s="15">
        <v>0.33825400890848811</v>
      </c>
      <c r="CA73" s="94">
        <v>10.0571</v>
      </c>
      <c r="CB73" s="1">
        <v>1</v>
      </c>
      <c r="CC73" s="15">
        <v>55.474649999999997</v>
      </c>
      <c r="CD73" s="1">
        <v>25</v>
      </c>
      <c r="CE73" s="1">
        <v>0</v>
      </c>
      <c r="CF73" s="1">
        <v>2</v>
      </c>
      <c r="CG73" s="15">
        <v>1</v>
      </c>
      <c r="CH73" s="15">
        <v>0.1858715794661247</v>
      </c>
      <c r="CJ73" s="15">
        <v>17.266200000000001</v>
      </c>
      <c r="CK73" s="15">
        <v>0.58856197550076972</v>
      </c>
      <c r="CP73" s="94">
        <v>17.816099999999999</v>
      </c>
      <c r="CQ73" s="94">
        <v>0.42815453339959098</v>
      </c>
    </row>
    <row r="74" spans="13:95" x14ac:dyDescent="0.25">
      <c r="M74" s="15">
        <v>36.3239229638111</v>
      </c>
      <c r="N74" s="15">
        <v>0.44222451664859502</v>
      </c>
      <c r="S74" s="98">
        <v>35.880329112972902</v>
      </c>
      <c r="T74" s="98">
        <v>0.24885184948112199</v>
      </c>
      <c r="Y74" s="55">
        <v>18.570107604929099</v>
      </c>
      <c r="Z74" s="1">
        <v>1</v>
      </c>
      <c r="AA74" s="15">
        <v>44.914033210705703</v>
      </c>
      <c r="AB74" s="1">
        <v>53</v>
      </c>
      <c r="AC74" s="1">
        <v>1</v>
      </c>
      <c r="AD74" s="1">
        <v>0</v>
      </c>
      <c r="AE74" s="15">
        <v>0.98113207547169812</v>
      </c>
      <c r="AF74" s="15">
        <v>0.37513929209778002</v>
      </c>
      <c r="AH74" s="55">
        <v>11.3174166885824</v>
      </c>
      <c r="AI74" s="1">
        <v>1</v>
      </c>
      <c r="AJ74" s="15">
        <v>52.5797197279934</v>
      </c>
      <c r="AK74" s="1">
        <v>30</v>
      </c>
      <c r="AL74" s="1">
        <v>1</v>
      </c>
      <c r="AM74" s="1">
        <v>0</v>
      </c>
      <c r="AN74" s="15">
        <v>0.96666666666666667</v>
      </c>
      <c r="AO74" s="15">
        <v>0.20451737285132435</v>
      </c>
      <c r="AQ74" s="55">
        <v>17.266169382910601</v>
      </c>
      <c r="AR74" s="2">
        <v>0.59653909919867376</v>
      </c>
      <c r="AW74" s="55">
        <v>17.1738002028778</v>
      </c>
      <c r="AX74" s="2">
        <v>0.46545333131680694</v>
      </c>
      <c r="BR74" s="94">
        <v>17.8626</v>
      </c>
      <c r="BS74" s="1">
        <v>1</v>
      </c>
      <c r="BT74" s="15">
        <v>54.363250000000001</v>
      </c>
      <c r="BU74" s="1">
        <v>50</v>
      </c>
      <c r="BV74" s="1">
        <v>0</v>
      </c>
      <c r="BW74" s="1">
        <v>3</v>
      </c>
      <c r="BX74" s="15">
        <v>1</v>
      </c>
      <c r="BY74" s="15">
        <v>0.33825400890848811</v>
      </c>
      <c r="CA74" s="94">
        <v>11.317399999999999</v>
      </c>
      <c r="CB74" s="1">
        <v>1</v>
      </c>
      <c r="CC74" s="15">
        <v>56.09375</v>
      </c>
      <c r="CD74" s="1">
        <v>23</v>
      </c>
      <c r="CE74" s="1">
        <v>0</v>
      </c>
      <c r="CF74" s="1">
        <v>1</v>
      </c>
      <c r="CG74" s="15">
        <v>1</v>
      </c>
      <c r="CH74" s="15">
        <v>0.1858715794661247</v>
      </c>
      <c r="CJ74" s="15">
        <v>17.8626</v>
      </c>
      <c r="CK74" s="15">
        <v>0.58856197550076972</v>
      </c>
      <c r="CP74" s="94">
        <v>18.458400000000001</v>
      </c>
      <c r="CQ74" s="94">
        <v>0.42815453339959098</v>
      </c>
    </row>
    <row r="75" spans="13:95" x14ac:dyDescent="0.25">
      <c r="M75" s="15">
        <v>37.152738306167599</v>
      </c>
      <c r="N75" s="15">
        <v>0.43724231849286999</v>
      </c>
      <c r="S75" s="98">
        <v>36.522613367396701</v>
      </c>
      <c r="T75" s="98">
        <v>0.24897920094678</v>
      </c>
      <c r="Y75" s="55">
        <v>19.134960155908399</v>
      </c>
      <c r="Z75" s="1">
        <v>1</v>
      </c>
      <c r="AA75" s="15">
        <v>45.239843600724853</v>
      </c>
      <c r="AB75" s="1">
        <v>52</v>
      </c>
      <c r="AC75" s="1">
        <v>0</v>
      </c>
      <c r="AD75" s="1">
        <v>1</v>
      </c>
      <c r="AE75" s="15">
        <v>1</v>
      </c>
      <c r="AF75" s="15">
        <v>0.37513929209778002</v>
      </c>
      <c r="AH75" s="55">
        <v>11.3174166885824</v>
      </c>
      <c r="AI75" s="1">
        <v>1</v>
      </c>
      <c r="AJ75" s="15">
        <v>53.222003982417199</v>
      </c>
      <c r="AK75" s="1">
        <v>29</v>
      </c>
      <c r="AL75" s="1">
        <v>1</v>
      </c>
      <c r="AM75" s="1">
        <v>0</v>
      </c>
      <c r="AN75" s="15">
        <v>0.96551724137931039</v>
      </c>
      <c r="AO75" s="15">
        <v>0.19746504964955455</v>
      </c>
      <c r="AQ75" s="55">
        <v>17.266169382910601</v>
      </c>
      <c r="AR75" s="2">
        <v>0.58983641269082343</v>
      </c>
      <c r="AW75" s="55">
        <v>17.1738002028778</v>
      </c>
      <c r="AX75" s="2">
        <v>0.45134868491326735</v>
      </c>
      <c r="BR75" s="94">
        <v>18.5701</v>
      </c>
      <c r="BS75" s="1">
        <v>1</v>
      </c>
      <c r="BT75" s="15">
        <v>55.00685</v>
      </c>
      <c r="BU75" s="1">
        <v>47</v>
      </c>
      <c r="BV75" s="1">
        <v>0</v>
      </c>
      <c r="BW75" s="1">
        <v>4</v>
      </c>
      <c r="BX75" s="15">
        <v>1</v>
      </c>
      <c r="BY75" s="15">
        <v>0.33825400890848811</v>
      </c>
      <c r="CA75" s="94">
        <v>11.317399999999999</v>
      </c>
      <c r="CB75" s="1">
        <v>1</v>
      </c>
      <c r="CC75" s="15">
        <v>56.707299999999996</v>
      </c>
      <c r="CD75" s="1">
        <v>22</v>
      </c>
      <c r="CE75" s="1">
        <v>0</v>
      </c>
      <c r="CF75" s="1">
        <v>1</v>
      </c>
      <c r="CG75" s="15">
        <v>1</v>
      </c>
      <c r="CH75" s="15">
        <v>0.1858715794661247</v>
      </c>
      <c r="CJ75" s="15">
        <v>17.8626</v>
      </c>
      <c r="CK75" s="15">
        <v>0.58179689532259993</v>
      </c>
      <c r="CP75" s="94">
        <v>18.458400000000001</v>
      </c>
      <c r="CQ75" s="94">
        <v>0.41411667984550599</v>
      </c>
    </row>
    <row r="76" spans="13:95" x14ac:dyDescent="0.25">
      <c r="M76" s="15">
        <v>37.988254368477001</v>
      </c>
      <c r="N76" s="15">
        <v>0.425820169579323</v>
      </c>
      <c r="S76" s="98">
        <v>37.1648976218206</v>
      </c>
      <c r="T76" s="98">
        <v>0.239913151678599</v>
      </c>
      <c r="Y76" s="55">
        <v>20.470143547081999</v>
      </c>
      <c r="Z76" s="1">
        <v>1</v>
      </c>
      <c r="AA76" s="15">
        <v>46.869056263324197</v>
      </c>
      <c r="AB76" s="1">
        <v>51</v>
      </c>
      <c r="AC76" s="1">
        <v>1</v>
      </c>
      <c r="AD76" s="1">
        <v>0</v>
      </c>
      <c r="AE76" s="15">
        <v>0.98039215686274506</v>
      </c>
      <c r="AF76" s="15">
        <v>0.36778361970370588</v>
      </c>
      <c r="AH76" s="55">
        <v>11.9552406356839</v>
      </c>
      <c r="AI76" s="1">
        <v>1</v>
      </c>
      <c r="AJ76" s="15">
        <v>57.322300785212398</v>
      </c>
      <c r="AK76" s="1">
        <v>28</v>
      </c>
      <c r="AL76" s="1">
        <v>1</v>
      </c>
      <c r="AM76" s="1">
        <v>0</v>
      </c>
      <c r="AN76" s="15">
        <v>0.9642857142857143</v>
      </c>
      <c r="AO76" s="15">
        <v>0.19041272644778476</v>
      </c>
      <c r="AQ76" s="55">
        <v>17.8626436418811</v>
      </c>
      <c r="AR76" s="2">
        <v>0.58983641269082343</v>
      </c>
      <c r="AW76" s="55">
        <v>17.816084457301699</v>
      </c>
      <c r="AX76" s="2">
        <v>0.45134868491326735</v>
      </c>
      <c r="BR76" s="94">
        <v>19.135000000000002</v>
      </c>
      <c r="BS76" s="1">
        <v>1</v>
      </c>
      <c r="BT76" s="15">
        <v>55.658299999999997</v>
      </c>
      <c r="BU76" s="1">
        <v>43</v>
      </c>
      <c r="BV76" s="1">
        <v>0</v>
      </c>
      <c r="BW76" s="1">
        <v>4</v>
      </c>
      <c r="BX76" s="15">
        <v>1</v>
      </c>
      <c r="BY76" s="15">
        <v>0.33825400890848811</v>
      </c>
      <c r="CA76" s="94">
        <v>11.9552</v>
      </c>
      <c r="CB76" s="1">
        <v>1</v>
      </c>
      <c r="CC76" s="15">
        <v>57.174900000000001</v>
      </c>
      <c r="CD76" s="1">
        <v>21</v>
      </c>
      <c r="CE76" s="1">
        <v>0</v>
      </c>
      <c r="CF76" s="1">
        <v>1</v>
      </c>
      <c r="CG76" s="15">
        <v>1</v>
      </c>
      <c r="CH76" s="15">
        <v>0.1858715794661247</v>
      </c>
      <c r="CJ76" s="15">
        <v>18.5701</v>
      </c>
      <c r="CK76" s="15">
        <v>0.58179689532259993</v>
      </c>
      <c r="CP76" s="94">
        <v>19.742899999999999</v>
      </c>
      <c r="CQ76" s="94">
        <v>0.41411667984550599</v>
      </c>
    </row>
    <row r="77" spans="13:95" x14ac:dyDescent="0.25">
      <c r="M77" s="15">
        <v>38.6397725152828</v>
      </c>
      <c r="N77" s="15">
        <v>0.42564399247525803</v>
      </c>
      <c r="S77" s="98">
        <v>37.807181876244499</v>
      </c>
      <c r="T77" s="98">
        <v>0.23579468311944299</v>
      </c>
      <c r="Y77" s="55">
        <v>20.744283983178999</v>
      </c>
      <c r="Z77" s="1">
        <v>0</v>
      </c>
      <c r="AA77" s="15">
        <v>47.568002631316901</v>
      </c>
      <c r="AB77" s="1">
        <v>50</v>
      </c>
      <c r="AC77" s="1">
        <v>1</v>
      </c>
      <c r="AD77" s="1">
        <v>0</v>
      </c>
      <c r="AE77" s="15">
        <v>0.98</v>
      </c>
      <c r="AF77" s="15">
        <v>0.36042794730963174</v>
      </c>
      <c r="AH77" s="55">
        <v>11.9552406356839</v>
      </c>
      <c r="AI77" s="1">
        <v>1</v>
      </c>
      <c r="AJ77" s="15">
        <v>59.644846526655897</v>
      </c>
      <c r="AK77" s="1">
        <v>27</v>
      </c>
      <c r="AL77" s="1">
        <v>1</v>
      </c>
      <c r="AM77" s="1">
        <v>0</v>
      </c>
      <c r="AN77" s="15">
        <v>0.96296296296296291</v>
      </c>
      <c r="AO77" s="15">
        <v>0.18336040324601494</v>
      </c>
      <c r="AQ77" s="55">
        <v>17.8626436418811</v>
      </c>
      <c r="AR77" s="2">
        <v>0.58313372618297321</v>
      </c>
      <c r="AW77" s="55">
        <v>17.816084457301699</v>
      </c>
      <c r="AX77" s="2">
        <v>0.43724403850972776</v>
      </c>
      <c r="BR77" s="94">
        <v>19.135000000000002</v>
      </c>
      <c r="BS77" s="1">
        <v>1</v>
      </c>
      <c r="BT77" s="15">
        <v>56.317700000000002</v>
      </c>
      <c r="BU77" s="1">
        <v>39</v>
      </c>
      <c r="BV77" s="1">
        <v>0</v>
      </c>
      <c r="BW77" s="1">
        <v>3</v>
      </c>
      <c r="BX77" s="15">
        <v>1</v>
      </c>
      <c r="BY77" s="15">
        <v>0.33825400890848811</v>
      </c>
      <c r="CA77" s="94">
        <v>11.9552</v>
      </c>
      <c r="CB77" s="1">
        <v>1</v>
      </c>
      <c r="CC77" s="15">
        <v>57.322299999999998</v>
      </c>
      <c r="CD77" s="1">
        <v>20</v>
      </c>
      <c r="CE77" s="1">
        <v>1</v>
      </c>
      <c r="CF77" s="1">
        <v>0</v>
      </c>
      <c r="CG77" s="15">
        <v>0.95</v>
      </c>
      <c r="CH77" s="15">
        <v>0.17657800049281847</v>
      </c>
      <c r="CJ77" s="15">
        <v>18.5701</v>
      </c>
      <c r="CK77" s="15">
        <v>0.57503181514443014</v>
      </c>
      <c r="CP77" s="94">
        <v>19.742899999999999</v>
      </c>
      <c r="CQ77" s="94">
        <v>0.40007882629142105</v>
      </c>
    </row>
    <row r="78" spans="13:95" x14ac:dyDescent="0.25">
      <c r="M78" s="15">
        <v>39.291278727991802</v>
      </c>
      <c r="N78" s="15">
        <v>0.42564399247525803</v>
      </c>
      <c r="S78" s="98">
        <v>38.449466130668299</v>
      </c>
      <c r="T78" s="98">
        <v>0.23569538938804699</v>
      </c>
      <c r="Y78" s="55">
        <v>21.018424419275998</v>
      </c>
      <c r="Z78" s="1">
        <v>1</v>
      </c>
      <c r="AA78" s="15">
        <v>48.1730011395058</v>
      </c>
      <c r="AB78" s="1">
        <v>49</v>
      </c>
      <c r="AC78" s="1">
        <v>1</v>
      </c>
      <c r="AD78" s="1">
        <v>0</v>
      </c>
      <c r="AE78" s="15">
        <v>0.97959183673469385</v>
      </c>
      <c r="AF78" s="15">
        <v>0.35307227491555759</v>
      </c>
      <c r="AH78" s="55">
        <v>12.597524890107801</v>
      </c>
      <c r="AI78" s="1">
        <v>1</v>
      </c>
      <c r="AJ78" s="15">
        <v>61.727810046210998</v>
      </c>
      <c r="AK78" s="1">
        <v>26</v>
      </c>
      <c r="AL78" s="1">
        <v>1</v>
      </c>
      <c r="AM78" s="1">
        <v>0</v>
      </c>
      <c r="AN78" s="15">
        <v>0.96153846153846156</v>
      </c>
      <c r="AO78" s="15">
        <v>0.17630808004424514</v>
      </c>
      <c r="AQ78" s="55">
        <v>18.570107604929099</v>
      </c>
      <c r="AR78" s="2">
        <v>0.58313372618297321</v>
      </c>
      <c r="AW78" s="55">
        <v>18.458368711725502</v>
      </c>
      <c r="AX78" s="2">
        <v>0.43724403850972776</v>
      </c>
      <c r="BR78" s="94">
        <v>20.470099999999999</v>
      </c>
      <c r="BS78" s="1">
        <v>1</v>
      </c>
      <c r="BT78" s="15">
        <v>56.980800000000002</v>
      </c>
      <c r="BU78" s="1">
        <v>36</v>
      </c>
      <c r="BV78" s="1">
        <v>0</v>
      </c>
      <c r="BW78" s="1">
        <v>4</v>
      </c>
      <c r="BX78" s="15">
        <v>1</v>
      </c>
      <c r="BY78" s="15">
        <v>0.33825400890848811</v>
      </c>
      <c r="CA78" s="94">
        <v>12.5975</v>
      </c>
      <c r="CB78" s="1">
        <v>1</v>
      </c>
      <c r="CC78" s="15">
        <v>57.534500000000001</v>
      </c>
      <c r="CD78" s="1">
        <v>19</v>
      </c>
      <c r="CE78" s="1">
        <v>0</v>
      </c>
      <c r="CF78" s="1">
        <v>1</v>
      </c>
      <c r="CG78" s="15">
        <v>1</v>
      </c>
      <c r="CH78" s="15">
        <v>0.17657800049281847</v>
      </c>
      <c r="CJ78" s="15">
        <v>19.135000000000002</v>
      </c>
      <c r="CK78" s="15">
        <v>0.57503181514443014</v>
      </c>
      <c r="CP78" s="94">
        <v>20.385200000000001</v>
      </c>
      <c r="CQ78" s="94">
        <v>0.40007882629142105</v>
      </c>
    </row>
    <row r="79" spans="13:95" x14ac:dyDescent="0.25">
      <c r="M79" s="15">
        <v>39.942988615952899</v>
      </c>
      <c r="N79" s="15">
        <v>0.42263723656588198</v>
      </c>
      <c r="S79" s="98">
        <v>39.091750385092197</v>
      </c>
      <c r="T79" s="98">
        <v>0.235713615388456</v>
      </c>
      <c r="Y79" s="55">
        <v>21.018424419275998</v>
      </c>
      <c r="Z79" s="1">
        <v>1</v>
      </c>
      <c r="AA79" s="15">
        <v>48.824807295847798</v>
      </c>
      <c r="AB79" s="1">
        <v>48</v>
      </c>
      <c r="AC79" s="1">
        <v>1</v>
      </c>
      <c r="AD79" s="1">
        <v>0</v>
      </c>
      <c r="AE79" s="15">
        <v>0.97916666666666663</v>
      </c>
      <c r="AF79" s="15">
        <v>0.34571660252148345</v>
      </c>
      <c r="AH79" s="55">
        <v>12.597524890107801</v>
      </c>
      <c r="AI79" s="1">
        <v>1</v>
      </c>
      <c r="AJ79" s="15">
        <v>62.294269076154301</v>
      </c>
      <c r="AK79" s="1">
        <v>25</v>
      </c>
      <c r="AL79" s="1">
        <v>1</v>
      </c>
      <c r="AM79" s="1">
        <v>0</v>
      </c>
      <c r="AN79" s="15">
        <v>0.96</v>
      </c>
      <c r="AO79" s="15">
        <v>0.16925575684247532</v>
      </c>
      <c r="AQ79" s="55">
        <v>18.570107604929099</v>
      </c>
      <c r="AR79" s="2">
        <v>0.57643103967512299</v>
      </c>
      <c r="AW79" s="55">
        <v>18.458368711725502</v>
      </c>
      <c r="AX79" s="2">
        <v>0.43019171530795797</v>
      </c>
      <c r="BR79" s="94">
        <v>21.0184</v>
      </c>
      <c r="BS79" s="1">
        <v>1</v>
      </c>
      <c r="BT79" s="15">
        <v>57.318100000000001</v>
      </c>
      <c r="BU79" s="1">
        <v>32</v>
      </c>
      <c r="BV79" s="1">
        <v>1</v>
      </c>
      <c r="BW79" s="1">
        <v>0</v>
      </c>
      <c r="BX79" s="15">
        <v>0.96875</v>
      </c>
      <c r="BY79" s="15">
        <v>0.32768357113009788</v>
      </c>
      <c r="CA79" s="94">
        <v>12.5975</v>
      </c>
      <c r="CB79" s="1">
        <v>1</v>
      </c>
      <c r="CC79" s="15">
        <v>58.0535</v>
      </c>
      <c r="CD79" s="1">
        <v>18</v>
      </c>
      <c r="CE79" s="1">
        <v>0</v>
      </c>
      <c r="CF79" s="1">
        <v>2</v>
      </c>
      <c r="CG79" s="15">
        <v>1</v>
      </c>
      <c r="CH79" s="15">
        <v>0.17657800049281847</v>
      </c>
      <c r="CJ79" s="15">
        <v>19.135000000000002</v>
      </c>
      <c r="CK79" s="15">
        <v>0.56150165478809055</v>
      </c>
      <c r="CP79" s="94">
        <v>20.385200000000001</v>
      </c>
      <c r="CQ79" s="94">
        <v>0.39305989951437853</v>
      </c>
    </row>
    <row r="80" spans="13:95" x14ac:dyDescent="0.25">
      <c r="M80" s="15">
        <v>40.594737488630201</v>
      </c>
      <c r="N80" s="15">
        <v>0.41905496878322701</v>
      </c>
      <c r="S80" s="98">
        <v>39.734034639516103</v>
      </c>
      <c r="T80" s="98">
        <v>0.23573184138886499</v>
      </c>
      <c r="Y80" s="55">
        <v>22.313221134623401</v>
      </c>
      <c r="Z80" s="1">
        <v>1</v>
      </c>
      <c r="AA80" s="15">
        <v>53.385910096147498</v>
      </c>
      <c r="AB80" s="1">
        <v>47</v>
      </c>
      <c r="AC80" s="1">
        <v>1</v>
      </c>
      <c r="AD80" s="1">
        <v>0</v>
      </c>
      <c r="AE80" s="15">
        <v>0.97872340425531912</v>
      </c>
      <c r="AF80" s="15">
        <v>0.33836093012740931</v>
      </c>
      <c r="AH80" s="55">
        <v>12.79154825863165</v>
      </c>
      <c r="AI80" s="1">
        <v>0</v>
      </c>
      <c r="AJ80" s="15">
        <v>66.180818683889598</v>
      </c>
      <c r="AK80" s="1">
        <v>24</v>
      </c>
      <c r="AL80" s="1">
        <v>1</v>
      </c>
      <c r="AM80" s="1">
        <v>0</v>
      </c>
      <c r="AN80" s="15">
        <v>0.95833333333333337</v>
      </c>
      <c r="AO80" s="15">
        <v>0.16220343364070552</v>
      </c>
      <c r="AQ80" s="55">
        <v>19.134960155908399</v>
      </c>
      <c r="AR80" s="2">
        <v>0.57643103967512299</v>
      </c>
      <c r="AW80" s="55">
        <v>19.100652966149401</v>
      </c>
      <c r="AX80" s="2">
        <v>0.43019171530795797</v>
      </c>
      <c r="BR80" s="94">
        <v>21.692599999999999</v>
      </c>
      <c r="BS80" s="1">
        <v>1</v>
      </c>
      <c r="BT80" s="15">
        <v>57.632550000000002</v>
      </c>
      <c r="BU80" s="1">
        <v>31</v>
      </c>
      <c r="BV80" s="1">
        <v>0</v>
      </c>
      <c r="BW80" s="1">
        <v>4</v>
      </c>
      <c r="BX80" s="15">
        <v>1</v>
      </c>
      <c r="BY80" s="15">
        <v>0.32768357113009788</v>
      </c>
      <c r="CA80" s="94">
        <v>12.9856</v>
      </c>
      <c r="CB80" s="1">
        <v>1</v>
      </c>
      <c r="CC80" s="15">
        <v>58.680100000000003</v>
      </c>
      <c r="CD80" s="1">
        <v>16</v>
      </c>
      <c r="CE80" s="1">
        <v>0</v>
      </c>
      <c r="CF80" s="1">
        <v>1</v>
      </c>
      <c r="CG80" s="15">
        <v>1</v>
      </c>
      <c r="CH80" s="15">
        <v>0.17657800049281847</v>
      </c>
      <c r="CJ80" s="15">
        <v>20.470099999999999</v>
      </c>
      <c r="CK80" s="15">
        <v>0.56150165478809055</v>
      </c>
      <c r="CP80" s="94">
        <v>21.0275</v>
      </c>
      <c r="CQ80" s="94">
        <v>0.39305989951437853</v>
      </c>
    </row>
    <row r="81" spans="13:95" x14ac:dyDescent="0.25">
      <c r="M81" s="15">
        <v>41.246618431978803</v>
      </c>
      <c r="N81" s="15">
        <v>0.41352300771558598</v>
      </c>
      <c r="S81" s="98">
        <v>40.376318893939903</v>
      </c>
      <c r="T81" s="98">
        <v>0.23575006738927501</v>
      </c>
      <c r="Y81" s="55">
        <v>22.313221134623401</v>
      </c>
      <c r="Z81" s="1">
        <v>1</v>
      </c>
      <c r="AA81" s="15">
        <v>53.603115431614029</v>
      </c>
      <c r="AB81" s="1">
        <v>46</v>
      </c>
      <c r="AC81" s="1">
        <v>0</v>
      </c>
      <c r="AD81" s="1">
        <v>1</v>
      </c>
      <c r="AE81" s="15">
        <v>1</v>
      </c>
      <c r="AF81" s="15">
        <v>0.33836093012740931</v>
      </c>
      <c r="AH81" s="55">
        <v>12.985571627155499</v>
      </c>
      <c r="AI81" s="1">
        <v>1</v>
      </c>
      <c r="AJ81" s="15">
        <v>66.823102938313497</v>
      </c>
      <c r="AK81" s="1">
        <v>23</v>
      </c>
      <c r="AL81" s="1">
        <v>1</v>
      </c>
      <c r="AM81" s="1">
        <v>22</v>
      </c>
      <c r="AN81" s="15">
        <v>0.95652173913043481</v>
      </c>
      <c r="AO81" s="15">
        <v>0.15515111043893573</v>
      </c>
      <c r="AQ81" s="55">
        <v>19.134960155908399</v>
      </c>
      <c r="AR81" s="2">
        <v>0.56972835316727266</v>
      </c>
      <c r="AW81" s="55">
        <v>19.100652966149401</v>
      </c>
      <c r="AX81" s="2">
        <v>0.42313939210618817</v>
      </c>
      <c r="BR81" s="94">
        <v>22.313199999999998</v>
      </c>
      <c r="BS81" s="1">
        <v>1</v>
      </c>
      <c r="BT81" s="15">
        <v>58.598799999999997</v>
      </c>
      <c r="BU81" s="1">
        <v>27</v>
      </c>
      <c r="BV81" s="1">
        <v>0</v>
      </c>
      <c r="BW81" s="1">
        <v>7</v>
      </c>
      <c r="BX81" s="15">
        <v>1</v>
      </c>
      <c r="BY81" s="15">
        <v>0.32768357113009788</v>
      </c>
      <c r="CA81" s="94">
        <v>12.9856</v>
      </c>
      <c r="CB81" s="1">
        <v>1</v>
      </c>
      <c r="CC81" s="15">
        <v>59.32235</v>
      </c>
      <c r="CD81" s="1">
        <v>15</v>
      </c>
      <c r="CE81" s="1">
        <v>0</v>
      </c>
      <c r="CF81" s="1">
        <v>1</v>
      </c>
      <c r="CG81" s="15">
        <v>1</v>
      </c>
      <c r="CH81" s="15">
        <v>0.17657800049281847</v>
      </c>
      <c r="CJ81" s="15">
        <v>20.470099999999999</v>
      </c>
      <c r="CK81" s="15">
        <v>0.55473657460992076</v>
      </c>
      <c r="CP81" s="94">
        <v>21.0275</v>
      </c>
      <c r="CQ81" s="94">
        <v>0.38604097273733606</v>
      </c>
    </row>
    <row r="82" spans="13:95" x14ac:dyDescent="0.25">
      <c r="M82" s="15">
        <v>41.8987382163848</v>
      </c>
      <c r="N82" s="15">
        <v>0.40446515553859103</v>
      </c>
      <c r="S82" s="98">
        <v>41.018603148363802</v>
      </c>
      <c r="T82" s="98">
        <v>0.235768293389684</v>
      </c>
      <c r="Y82" s="55">
        <v>23.013254067266701</v>
      </c>
      <c r="Z82" s="1">
        <v>1</v>
      </c>
      <c r="AA82" s="15">
        <v>53.820320767080567</v>
      </c>
      <c r="AB82" s="1">
        <v>45</v>
      </c>
      <c r="AC82" s="1">
        <v>0</v>
      </c>
      <c r="AD82" s="1">
        <v>1</v>
      </c>
      <c r="AE82" s="15">
        <v>1</v>
      </c>
      <c r="AF82" s="15">
        <v>0.33836093012740931</v>
      </c>
      <c r="AH82" s="55">
        <v>12.985571627155499</v>
      </c>
      <c r="AI82" s="1">
        <v>1</v>
      </c>
      <c r="AJ82" s="15"/>
      <c r="AK82" s="1"/>
      <c r="AL82" s="1"/>
      <c r="AM82" s="1"/>
      <c r="AN82" s="15"/>
      <c r="AO82" s="15"/>
      <c r="AQ82" s="55">
        <v>20.470143547081999</v>
      </c>
      <c r="AR82" s="2">
        <v>0.56972835316727266</v>
      </c>
      <c r="AW82" s="55">
        <v>19.7429372205733</v>
      </c>
      <c r="AX82" s="2">
        <v>0.42313939210618817</v>
      </c>
      <c r="BR82" s="94">
        <v>23.013300000000001</v>
      </c>
      <c r="BS82" s="1">
        <v>1</v>
      </c>
      <c r="BT82" s="15">
        <v>62.154649999999997</v>
      </c>
      <c r="BU82" s="1">
        <v>20</v>
      </c>
      <c r="BV82" s="1">
        <v>0</v>
      </c>
      <c r="BW82" s="1">
        <v>1</v>
      </c>
      <c r="BX82" s="15">
        <v>1</v>
      </c>
      <c r="BY82" s="15">
        <v>0.32768357113009788</v>
      </c>
      <c r="CA82" s="94">
        <v>13.5922</v>
      </c>
      <c r="CB82" s="1">
        <v>1</v>
      </c>
      <c r="CC82" s="15">
        <v>59.644799999999996</v>
      </c>
      <c r="CD82" s="1">
        <v>14</v>
      </c>
      <c r="CE82" s="1">
        <v>1</v>
      </c>
      <c r="CF82" s="1">
        <v>0</v>
      </c>
      <c r="CG82" s="15">
        <v>0.9285714285714286</v>
      </c>
      <c r="CH82" s="15">
        <v>0.16396528617190287</v>
      </c>
      <c r="CJ82" s="15">
        <v>21.0184</v>
      </c>
      <c r="CK82" s="15">
        <v>0.55473657460992076</v>
      </c>
      <c r="CP82" s="94">
        <v>21.669799999999999</v>
      </c>
      <c r="CQ82" s="94">
        <v>0.38604097273733606</v>
      </c>
    </row>
    <row r="83" spans="13:95" x14ac:dyDescent="0.25">
      <c r="M83" s="15">
        <v>42.306935882370396</v>
      </c>
      <c r="N83" s="15">
        <v>0.38960990212383001</v>
      </c>
      <c r="S83" s="98">
        <v>41.660887402787701</v>
      </c>
      <c r="T83" s="98">
        <v>0.23578651939009301</v>
      </c>
      <c r="Y83" s="55">
        <v>23.594006547559399</v>
      </c>
      <c r="Z83" s="1">
        <v>1</v>
      </c>
      <c r="AA83" s="15">
        <v>57.318054967716598</v>
      </c>
      <c r="AB83" s="1">
        <v>44</v>
      </c>
      <c r="AC83" s="1">
        <v>1</v>
      </c>
      <c r="AD83" s="1">
        <v>0</v>
      </c>
      <c r="AE83" s="15">
        <v>0.97727272727272729</v>
      </c>
      <c r="AF83" s="15">
        <v>0.33067090898814999</v>
      </c>
      <c r="AH83" s="55">
        <v>13.5921734230003</v>
      </c>
      <c r="AI83" s="1">
        <v>1</v>
      </c>
      <c r="AJ83" s="15"/>
      <c r="AK83" s="1"/>
      <c r="AL83" s="1"/>
      <c r="AM83" s="1"/>
      <c r="AN83" s="15"/>
      <c r="AO83" s="15"/>
      <c r="AQ83" s="55">
        <v>20.470143547081999</v>
      </c>
      <c r="AR83" s="2">
        <v>0.56302566665942244</v>
      </c>
      <c r="AW83" s="55">
        <v>19.7429372205733</v>
      </c>
      <c r="AX83" s="2">
        <v>0.41608706890441832</v>
      </c>
      <c r="BR83" s="94">
        <v>23.013300000000001</v>
      </c>
      <c r="BS83" s="1">
        <v>1</v>
      </c>
      <c r="BT83" s="15">
        <v>62.756799999999998</v>
      </c>
      <c r="BU83" s="1">
        <v>19</v>
      </c>
      <c r="BV83" s="1">
        <v>4</v>
      </c>
      <c r="BW83" s="1">
        <v>0</v>
      </c>
      <c r="BX83" s="15">
        <v>0.78947368421052633</v>
      </c>
      <c r="BY83" s="15">
        <v>0.25869755615534046</v>
      </c>
      <c r="CA83" s="94">
        <v>13.8375</v>
      </c>
      <c r="CB83" s="1">
        <v>0</v>
      </c>
      <c r="CC83" s="15">
        <v>60.632350000000002</v>
      </c>
      <c r="CD83" s="1">
        <v>13</v>
      </c>
      <c r="CE83" s="1">
        <v>0</v>
      </c>
      <c r="CF83" s="1">
        <v>1</v>
      </c>
      <c r="CG83" s="15">
        <v>1</v>
      </c>
      <c r="CH83" s="15">
        <v>0.16396528617190287</v>
      </c>
      <c r="CJ83" s="15">
        <v>21.0184</v>
      </c>
      <c r="CK83" s="15">
        <v>0.54797149443175097</v>
      </c>
      <c r="CP83" s="94">
        <v>21.669799999999999</v>
      </c>
      <c r="CQ83" s="94">
        <v>0.37174315893224952</v>
      </c>
    </row>
    <row r="84" spans="13:95" x14ac:dyDescent="0.25">
      <c r="M84" s="15">
        <v>42.958607581221699</v>
      </c>
      <c r="N84" s="15">
        <v>0.38716691294746303</v>
      </c>
      <c r="S84" s="98">
        <v>42.3031716572115</v>
      </c>
      <c r="T84" s="98">
        <v>0.235804745390503</v>
      </c>
      <c r="Y84" s="55">
        <v>23.594006547559399</v>
      </c>
      <c r="Z84" s="1">
        <v>1</v>
      </c>
      <c r="AA84" s="15">
        <v>59.250640990506</v>
      </c>
      <c r="AB84" s="1">
        <v>43</v>
      </c>
      <c r="AC84" s="1">
        <v>1</v>
      </c>
      <c r="AD84" s="1">
        <v>0</v>
      </c>
      <c r="AE84" s="15">
        <v>0.97674418604651159</v>
      </c>
      <c r="AF84" s="15">
        <v>0.32298088784889067</v>
      </c>
      <c r="AH84" s="55">
        <v>13.83749032573165</v>
      </c>
      <c r="AI84" s="1">
        <v>0</v>
      </c>
      <c r="AJ84" s="15"/>
      <c r="AK84" s="1"/>
      <c r="AL84" s="1"/>
      <c r="AM84" s="1"/>
      <c r="AN84" s="15"/>
      <c r="AO84" s="15"/>
      <c r="AQ84" s="55">
        <v>21.018424419275998</v>
      </c>
      <c r="AR84" s="2">
        <v>0.56302566665942244</v>
      </c>
      <c r="AW84" s="55">
        <v>20.385221474997099</v>
      </c>
      <c r="AX84" s="2">
        <v>0.41608706890441832</v>
      </c>
      <c r="BR84" s="94">
        <v>23.594000000000001</v>
      </c>
      <c r="BS84" s="1">
        <v>1</v>
      </c>
      <c r="BT84" s="15">
        <v>65.389899999999997</v>
      </c>
      <c r="BU84" s="1">
        <v>15</v>
      </c>
      <c r="BV84" s="1">
        <v>0</v>
      </c>
      <c r="BW84" s="1">
        <v>15</v>
      </c>
      <c r="BX84" s="15">
        <v>1</v>
      </c>
      <c r="BY84" s="15">
        <v>0.25869755615534046</v>
      </c>
      <c r="CA84" s="94">
        <v>14.082800000000001</v>
      </c>
      <c r="CB84" s="1">
        <v>1</v>
      </c>
      <c r="CC84" s="15">
        <v>61.249549999999999</v>
      </c>
      <c r="CD84" s="1">
        <v>12</v>
      </c>
      <c r="CE84" s="1">
        <v>0</v>
      </c>
      <c r="CF84" s="1">
        <v>1</v>
      </c>
      <c r="CG84" s="15">
        <v>1</v>
      </c>
      <c r="CH84" s="15">
        <v>0.16396528617190287</v>
      </c>
      <c r="CJ84" s="15">
        <v>21.692599999999999</v>
      </c>
      <c r="CK84" s="15">
        <v>0.54797149443175097</v>
      </c>
      <c r="CP84" s="94">
        <v>22.344899999999999</v>
      </c>
      <c r="CQ84" s="94">
        <v>0.37174315893224952</v>
      </c>
    </row>
    <row r="85" spans="13:95" x14ac:dyDescent="0.25">
      <c r="M85" s="15">
        <v>43.610541830202699</v>
      </c>
      <c r="N85" s="15">
        <v>0.38084802748166502</v>
      </c>
      <c r="S85" s="98">
        <v>42.945455911635399</v>
      </c>
      <c r="T85" s="98">
        <v>0.23576421152500901</v>
      </c>
      <c r="Y85" s="55">
        <v>24.1717770287358</v>
      </c>
      <c r="Z85" s="1">
        <v>1</v>
      </c>
      <c r="AA85" s="15">
        <v>62.645351445138097</v>
      </c>
      <c r="AB85" s="1">
        <v>42</v>
      </c>
      <c r="AC85" s="1">
        <v>1</v>
      </c>
      <c r="AD85" s="1">
        <v>0</v>
      </c>
      <c r="AE85" s="15">
        <v>0.97619047619047616</v>
      </c>
      <c r="AF85" s="15">
        <v>0.31529086670963136</v>
      </c>
      <c r="AH85" s="55">
        <v>14.7003882423321</v>
      </c>
      <c r="AI85" s="1">
        <v>1</v>
      </c>
      <c r="AJ85" s="15"/>
      <c r="AK85" s="1"/>
      <c r="AL85" s="1"/>
      <c r="AM85" s="1"/>
      <c r="AN85" s="15"/>
      <c r="AO85" s="15"/>
      <c r="AQ85" s="55">
        <v>21.018424419275998</v>
      </c>
      <c r="AR85" s="2">
        <v>0.54945878312546048</v>
      </c>
      <c r="AW85" s="55">
        <v>20.385221474997099</v>
      </c>
      <c r="AX85" s="2">
        <v>0.40903474570264853</v>
      </c>
      <c r="BR85" s="94">
        <v>23.594000000000001</v>
      </c>
      <c r="BS85" s="1">
        <v>1</v>
      </c>
      <c r="BT85" s="15"/>
      <c r="BX85" s="15"/>
      <c r="BY85" s="15"/>
      <c r="CA85" s="94">
        <v>14.7004</v>
      </c>
      <c r="CB85" s="1">
        <v>1</v>
      </c>
      <c r="CC85" s="15">
        <v>61.727800000000002</v>
      </c>
      <c r="CD85" s="1">
        <v>11</v>
      </c>
      <c r="CE85" s="1">
        <v>1</v>
      </c>
      <c r="CF85" s="1">
        <v>0</v>
      </c>
      <c r="CG85" s="15">
        <v>0.90909090909090906</v>
      </c>
      <c r="CH85" s="15">
        <v>0.14905935106536625</v>
      </c>
      <c r="CJ85" s="15">
        <v>21.692599999999999</v>
      </c>
      <c r="CK85" s="15">
        <v>0.54120641425358118</v>
      </c>
      <c r="CP85" s="94">
        <v>22.344899999999999</v>
      </c>
      <c r="CQ85" s="94">
        <v>0.36459425202970625</v>
      </c>
    </row>
    <row r="86" spans="13:95" x14ac:dyDescent="0.25">
      <c r="M86" s="15">
        <v>44.2621969349766</v>
      </c>
      <c r="N86" s="15">
        <v>0.37865000837380602</v>
      </c>
      <c r="S86" s="98">
        <v>43.587740166059199</v>
      </c>
      <c r="T86" s="98">
        <v>0.229636155551974</v>
      </c>
      <c r="Y86" s="55">
        <v>25.497355787621899</v>
      </c>
      <c r="Z86" s="1">
        <v>1</v>
      </c>
      <c r="AA86" s="15">
        <v>62.7567806388763</v>
      </c>
      <c r="AB86" s="1">
        <v>41</v>
      </c>
      <c r="AC86" s="1">
        <v>1</v>
      </c>
      <c r="AD86" s="1">
        <v>0</v>
      </c>
      <c r="AE86" s="15">
        <v>0.97560975609756095</v>
      </c>
      <c r="AF86" s="15">
        <v>0.30760084557037204</v>
      </c>
      <c r="AH86" s="55">
        <v>14.7003882423321</v>
      </c>
      <c r="AI86" s="1">
        <v>1</v>
      </c>
      <c r="AJ86" s="15"/>
      <c r="AK86" s="1"/>
      <c r="AL86" s="1"/>
      <c r="AM86" s="1"/>
      <c r="AN86" s="15"/>
      <c r="AO86" s="15"/>
      <c r="AQ86" s="55">
        <v>22.313221134623401</v>
      </c>
      <c r="AR86" s="2">
        <v>0.54945878312546048</v>
      </c>
      <c r="AW86" s="55">
        <v>21.027505729421001</v>
      </c>
      <c r="AX86" s="2">
        <v>0.40903474570264853</v>
      </c>
      <c r="BR86" s="94">
        <v>24.171800000000001</v>
      </c>
      <c r="BS86" s="1">
        <v>1</v>
      </c>
      <c r="BT86" s="15"/>
      <c r="BX86" s="15"/>
      <c r="BY86" s="15"/>
      <c r="CA86" s="94">
        <v>14.7004</v>
      </c>
      <c r="CB86" s="1">
        <v>1</v>
      </c>
      <c r="CC86" s="15">
        <v>62.011049999999997</v>
      </c>
      <c r="CD86" s="1">
        <v>10</v>
      </c>
      <c r="CE86" s="1">
        <v>0</v>
      </c>
      <c r="CF86" s="1">
        <v>1</v>
      </c>
      <c r="CG86" s="15">
        <v>1</v>
      </c>
      <c r="CH86" s="15">
        <v>0.14905935106536625</v>
      </c>
      <c r="CJ86" s="15">
        <v>22.313199999999998</v>
      </c>
      <c r="CK86" s="15">
        <v>0.54120641425358118</v>
      </c>
      <c r="CP86" s="94">
        <v>22.9544</v>
      </c>
      <c r="CQ86" s="94">
        <v>0.36459425202970625</v>
      </c>
    </row>
    <row r="87" spans="13:95" x14ac:dyDescent="0.25">
      <c r="M87" s="15">
        <v>44.914033210705703</v>
      </c>
      <c r="N87" s="15">
        <v>0.373777453038523</v>
      </c>
      <c r="S87" s="98">
        <v>44.230024420483097</v>
      </c>
      <c r="T87" s="98">
        <v>0.226692884310876</v>
      </c>
      <c r="Y87" s="55">
        <v>26.0707099297023</v>
      </c>
      <c r="Z87" s="1">
        <v>1</v>
      </c>
      <c r="AA87" s="15">
        <v>65.389893652703904</v>
      </c>
      <c r="AB87" s="1">
        <v>40</v>
      </c>
      <c r="AC87" s="1">
        <v>0</v>
      </c>
      <c r="AD87" s="1">
        <v>40</v>
      </c>
      <c r="AE87" s="15">
        <v>1</v>
      </c>
      <c r="AF87" s="15">
        <v>0.30760084557037204</v>
      </c>
      <c r="AH87" s="55">
        <v>14.973667840969149</v>
      </c>
      <c r="AI87" s="1">
        <v>0</v>
      </c>
      <c r="AJ87" s="15"/>
      <c r="AK87" s="1"/>
      <c r="AL87" s="1"/>
      <c r="AM87" s="1"/>
      <c r="AN87" s="15"/>
      <c r="AO87" s="15"/>
      <c r="AQ87" s="55">
        <v>22.313221134623401</v>
      </c>
      <c r="AR87" s="2">
        <v>0.53589189959149852</v>
      </c>
      <c r="AW87" s="55">
        <v>21.027505729421001</v>
      </c>
      <c r="AX87" s="2">
        <v>0.40198242250087873</v>
      </c>
      <c r="BR87" s="94">
        <v>26.070699999999999</v>
      </c>
      <c r="BS87" s="1">
        <v>1</v>
      </c>
      <c r="BT87" s="15"/>
      <c r="BX87" s="15"/>
      <c r="BY87" s="15"/>
      <c r="CA87" s="94">
        <v>14.973649999999999</v>
      </c>
      <c r="CB87" s="1">
        <v>0</v>
      </c>
      <c r="CC87" s="15">
        <v>62.642800000000001</v>
      </c>
      <c r="CD87" s="1">
        <v>9</v>
      </c>
      <c r="CE87" s="1">
        <v>0</v>
      </c>
      <c r="CF87" s="1">
        <v>2</v>
      </c>
      <c r="CG87" s="15">
        <v>1</v>
      </c>
      <c r="CH87" s="15">
        <v>0.14905935106536625</v>
      </c>
      <c r="CJ87" s="15">
        <v>22.313199999999998</v>
      </c>
      <c r="CK87" s="15">
        <v>0.53444133407541139</v>
      </c>
      <c r="CP87" s="94">
        <v>22.9544</v>
      </c>
      <c r="CQ87" s="94">
        <v>0.35029643822461975</v>
      </c>
    </row>
    <row r="88" spans="13:95" x14ac:dyDescent="0.25">
      <c r="M88" s="15">
        <v>45.565653990744003</v>
      </c>
      <c r="N88" s="15">
        <v>0.37208615283949897</v>
      </c>
      <c r="S88" s="98">
        <v>44.872308674907003</v>
      </c>
      <c r="T88" s="98">
        <v>0.21983620600064499</v>
      </c>
      <c r="Y88" s="55">
        <v>26.318576619456302</v>
      </c>
      <c r="Z88" s="1">
        <v>0</v>
      </c>
      <c r="AA88" s="15"/>
      <c r="AE88" s="15"/>
      <c r="AF88" s="15"/>
      <c r="AH88" s="55">
        <v>15.246947439606201</v>
      </c>
      <c r="AI88" s="1">
        <v>1</v>
      </c>
      <c r="AJ88" s="15"/>
      <c r="AK88" s="1"/>
      <c r="AL88" s="1"/>
      <c r="AM88" s="1"/>
      <c r="AN88" s="15"/>
      <c r="AO88" s="15"/>
      <c r="AQ88" s="55">
        <v>23.013254067266701</v>
      </c>
      <c r="AR88" s="2">
        <v>0.53589189959149852</v>
      </c>
      <c r="AW88" s="55">
        <v>21.6697899838449</v>
      </c>
      <c r="AX88" s="2">
        <v>0.40198242250087873</v>
      </c>
      <c r="BR88" s="94">
        <v>26.070699999999999</v>
      </c>
      <c r="BS88" s="1">
        <v>1</v>
      </c>
      <c r="BT88" s="15"/>
      <c r="BX88" s="15"/>
      <c r="BY88" s="15"/>
      <c r="CA88" s="94">
        <v>15.2469</v>
      </c>
      <c r="CB88" s="1">
        <v>1</v>
      </c>
      <c r="CC88" s="15">
        <v>63.312449999999998</v>
      </c>
      <c r="CD88" s="1">
        <v>7</v>
      </c>
      <c r="CE88" s="1">
        <v>0</v>
      </c>
      <c r="CF88" s="1">
        <v>1</v>
      </c>
      <c r="CG88" s="15">
        <v>1</v>
      </c>
      <c r="CH88" s="15">
        <v>0.14905935106536625</v>
      </c>
      <c r="CJ88" s="15">
        <v>23.013300000000001</v>
      </c>
      <c r="CK88" s="15">
        <v>0.53444133407541139</v>
      </c>
      <c r="CP88" s="94">
        <v>23.596599999999999</v>
      </c>
      <c r="CQ88" s="94">
        <v>0.35029643822461975</v>
      </c>
    </row>
    <row r="89" spans="13:95" x14ac:dyDescent="0.25">
      <c r="M89" s="15">
        <v>46.217172137549802</v>
      </c>
      <c r="N89" s="15">
        <v>0.371909975735434</v>
      </c>
      <c r="S89" s="98">
        <v>45.514592929330803</v>
      </c>
      <c r="T89" s="98">
        <v>0.21303828755631701</v>
      </c>
      <c r="Y89" s="55">
        <v>29.591995898415998</v>
      </c>
      <c r="Z89" s="1">
        <v>1</v>
      </c>
      <c r="AA89" s="15"/>
      <c r="AE89" s="15"/>
      <c r="AF89" s="15"/>
      <c r="AH89" s="55">
        <v>15.246947439606201</v>
      </c>
      <c r="AI89" s="1">
        <v>1</v>
      </c>
      <c r="AJ89" s="15"/>
      <c r="AK89" s="1"/>
      <c r="AL89" s="1"/>
      <c r="AM89" s="1"/>
      <c r="AN89" s="15"/>
      <c r="AO89" s="15"/>
      <c r="AQ89" s="55">
        <v>23.013254067266701</v>
      </c>
      <c r="AR89" s="2">
        <v>0.52910845782451754</v>
      </c>
      <c r="AW89" s="55">
        <v>21.6697899838449</v>
      </c>
      <c r="AX89" s="2">
        <v>0.38787777609733914</v>
      </c>
      <c r="BR89" s="94">
        <v>29.591999999999999</v>
      </c>
      <c r="BS89" s="1">
        <v>1</v>
      </c>
      <c r="BT89" s="15"/>
      <c r="BX89" s="15"/>
      <c r="BY89" s="15"/>
      <c r="CA89" s="94">
        <v>15.2469</v>
      </c>
      <c r="CB89" s="1">
        <v>1</v>
      </c>
      <c r="CC89" s="15">
        <v>63.91095</v>
      </c>
      <c r="CD89" s="1">
        <v>6</v>
      </c>
      <c r="CE89" s="1">
        <v>0</v>
      </c>
      <c r="CF89" s="1">
        <v>1</v>
      </c>
      <c r="CG89" s="15">
        <v>1</v>
      </c>
      <c r="CH89" s="15">
        <v>0.14905935106536625</v>
      </c>
      <c r="CJ89" s="15">
        <v>23.013300000000001</v>
      </c>
      <c r="CK89" s="15">
        <v>0.52091117371907181</v>
      </c>
      <c r="CP89" s="94">
        <v>23.596599999999999</v>
      </c>
      <c r="CQ89" s="94">
        <v>0.34314753132207648</v>
      </c>
    </row>
    <row r="90" spans="13:95" x14ac:dyDescent="0.25">
      <c r="M90" s="15">
        <v>46.869056263324197</v>
      </c>
      <c r="N90" s="15">
        <v>0.36633103410670897</v>
      </c>
      <c r="S90" s="98">
        <v>46.134575647142803</v>
      </c>
      <c r="T90" s="98">
        <v>0.201681276445483</v>
      </c>
      <c r="Y90" s="55">
        <v>30.411300683627299</v>
      </c>
      <c r="Z90" s="1">
        <v>1</v>
      </c>
      <c r="AA90" s="15"/>
      <c r="AE90" s="15"/>
      <c r="AF90" s="15"/>
      <c r="AH90" s="55">
        <v>15.8892316940301</v>
      </c>
      <c r="AI90" s="1">
        <v>1</v>
      </c>
      <c r="AJ90" s="15"/>
      <c r="AK90" s="1"/>
      <c r="AL90" s="1"/>
      <c r="AM90" s="1"/>
      <c r="AN90" s="15"/>
      <c r="AO90" s="15"/>
      <c r="AQ90" s="55">
        <v>23.594006547559399</v>
      </c>
      <c r="AR90" s="2">
        <v>0.52910845782451754</v>
      </c>
      <c r="AW90" s="55">
        <v>22.344918319460898</v>
      </c>
      <c r="AX90" s="2">
        <v>0.38787777609733914</v>
      </c>
      <c r="BR90" s="94">
        <v>30.411300000000001</v>
      </c>
      <c r="BS90" s="1">
        <v>1</v>
      </c>
      <c r="BT90" s="15"/>
      <c r="BX90" s="15"/>
      <c r="BY90" s="15"/>
      <c r="CA90" s="94">
        <v>15.889200000000001</v>
      </c>
      <c r="CB90" s="1">
        <v>1</v>
      </c>
      <c r="CC90" s="15">
        <v>64.531350000000003</v>
      </c>
      <c r="CD90" s="1">
        <v>5</v>
      </c>
      <c r="CE90" s="1">
        <v>0</v>
      </c>
      <c r="CF90" s="1">
        <v>1</v>
      </c>
      <c r="CG90" s="15">
        <v>1</v>
      </c>
      <c r="CH90" s="15">
        <v>0.14905935106536625</v>
      </c>
      <c r="CJ90" s="15">
        <v>23.594000000000001</v>
      </c>
      <c r="CK90" s="15">
        <v>0.52091117371907181</v>
      </c>
      <c r="CP90" s="94">
        <v>24.8812</v>
      </c>
      <c r="CQ90" s="94">
        <v>0.34314753132207648</v>
      </c>
    </row>
    <row r="91" spans="13:95" x14ac:dyDescent="0.25">
      <c r="M91" s="15">
        <v>47.568002631316901</v>
      </c>
      <c r="N91" s="15">
        <v>0.359591448350988</v>
      </c>
      <c r="S91" s="98">
        <v>46.799161438178601</v>
      </c>
      <c r="T91" s="98">
        <v>0.19926617106995101</v>
      </c>
      <c r="Y91" s="55">
        <v>31.388717532768549</v>
      </c>
      <c r="Z91" s="1">
        <v>0</v>
      </c>
      <c r="AA91" s="15"/>
      <c r="AE91" s="15"/>
      <c r="AF91" s="15"/>
      <c r="AH91" s="55">
        <v>16.563630161175102</v>
      </c>
      <c r="AI91" s="1">
        <v>1</v>
      </c>
      <c r="AJ91" s="15"/>
      <c r="AK91" s="1"/>
      <c r="AL91" s="1"/>
      <c r="AM91" s="1"/>
      <c r="AN91" s="15"/>
      <c r="AO91" s="15"/>
      <c r="AQ91" s="55">
        <v>23.594006547559399</v>
      </c>
      <c r="AR91" s="2">
        <v>0.51554157429055558</v>
      </c>
      <c r="AW91" s="55">
        <v>22.344918319460898</v>
      </c>
      <c r="AX91" s="2">
        <v>0.38082545289556935</v>
      </c>
      <c r="BR91" s="94">
        <v>32.366599999999998</v>
      </c>
      <c r="BS91" s="1">
        <v>1</v>
      </c>
      <c r="BT91" s="15"/>
      <c r="BX91" s="15"/>
      <c r="BY91" s="15"/>
      <c r="CA91" s="94">
        <v>16.226400000000002</v>
      </c>
      <c r="CB91" s="1">
        <v>0</v>
      </c>
      <c r="CC91" s="15">
        <v>65.195499999999996</v>
      </c>
      <c r="CD91" s="1">
        <v>4</v>
      </c>
      <c r="CE91" s="1">
        <v>0</v>
      </c>
      <c r="CF91" s="1">
        <v>1</v>
      </c>
      <c r="CG91" s="15">
        <v>1</v>
      </c>
      <c r="CH91" s="15">
        <v>0.14905935106536625</v>
      </c>
      <c r="CJ91" s="15">
        <v>23.594000000000001</v>
      </c>
      <c r="CK91" s="15">
        <v>0.50738101336273222</v>
      </c>
      <c r="CP91" s="94">
        <v>24.8812</v>
      </c>
      <c r="CQ91" s="94">
        <v>0.33599862441953321</v>
      </c>
    </row>
    <row r="92" spans="13:95" x14ac:dyDescent="0.25">
      <c r="M92" s="15">
        <v>48.1730011395058</v>
      </c>
      <c r="N92" s="15">
        <v>0.352565729709097</v>
      </c>
      <c r="S92" s="98">
        <v>47.4414456926024</v>
      </c>
      <c r="T92" s="98">
        <v>0.19928439707036</v>
      </c>
      <c r="Y92" s="55">
        <v>32.366552359443098</v>
      </c>
      <c r="Z92" s="1">
        <v>1</v>
      </c>
      <c r="AA92" s="15"/>
      <c r="AE92" s="15"/>
      <c r="AF92" s="15"/>
      <c r="AH92" s="55">
        <v>17.1738002028778</v>
      </c>
      <c r="AI92" s="1">
        <v>1</v>
      </c>
      <c r="AJ92" s="15"/>
      <c r="AK92" s="1"/>
      <c r="AL92" s="1"/>
      <c r="AM92" s="1"/>
      <c r="AN92" s="15"/>
      <c r="AO92" s="15"/>
      <c r="AQ92" s="55">
        <v>24.1717770287358</v>
      </c>
      <c r="AR92" s="2">
        <v>0.51554157429055558</v>
      </c>
      <c r="AW92" s="55">
        <v>22.954358492692599</v>
      </c>
      <c r="AX92" s="2">
        <v>0.38082545289556935</v>
      </c>
      <c r="BR92" s="94">
        <v>32.366599999999998</v>
      </c>
      <c r="BS92" s="1">
        <v>1</v>
      </c>
      <c r="BT92" s="15"/>
      <c r="BX92" s="15"/>
      <c r="BY92" s="15"/>
      <c r="CA92" s="94">
        <v>16.563600000000001</v>
      </c>
      <c r="CB92" s="1">
        <v>1</v>
      </c>
      <c r="CC92" s="15">
        <v>66.501949999999994</v>
      </c>
      <c r="CD92" s="1">
        <v>3</v>
      </c>
      <c r="CE92" s="1">
        <v>0</v>
      </c>
      <c r="CF92" s="1">
        <v>1</v>
      </c>
      <c r="CG92" s="15">
        <v>1</v>
      </c>
      <c r="CH92" s="15">
        <v>0.14905935106536625</v>
      </c>
      <c r="CJ92" s="15">
        <v>24.171800000000001</v>
      </c>
      <c r="CK92" s="15">
        <v>0.50738101336273222</v>
      </c>
      <c r="CP92" s="94">
        <v>25.523499999999999</v>
      </c>
      <c r="CQ92" s="94">
        <v>0.33599862441953321</v>
      </c>
    </row>
    <row r="93" spans="13:95" x14ac:dyDescent="0.25">
      <c r="M93" s="15">
        <v>48.824807295847798</v>
      </c>
      <c r="N93" s="15">
        <v>0.34813781182692999</v>
      </c>
      <c r="S93" s="98">
        <v>48.050885865834204</v>
      </c>
      <c r="T93" s="98">
        <v>0.20183157037680499</v>
      </c>
      <c r="Y93" s="55">
        <v>33.018342717314098</v>
      </c>
      <c r="Z93" s="1">
        <v>1</v>
      </c>
      <c r="AA93" s="15"/>
      <c r="AE93" s="15"/>
      <c r="AF93" s="15"/>
      <c r="AH93" s="55">
        <v>17.1738002028778</v>
      </c>
      <c r="AI93" s="1">
        <v>1</v>
      </c>
      <c r="AJ93" s="15"/>
      <c r="AK93" s="1"/>
      <c r="AL93" s="1"/>
      <c r="AM93" s="1"/>
      <c r="AN93" s="15"/>
      <c r="AO93" s="15"/>
      <c r="AQ93" s="55">
        <v>24.1717770287358</v>
      </c>
      <c r="AR93" s="2">
        <v>0.5087581325235746</v>
      </c>
      <c r="AW93" s="55">
        <v>22.954358492692599</v>
      </c>
      <c r="AX93" s="2">
        <v>0.36672080649202971</v>
      </c>
      <c r="BR93" s="94">
        <v>34.321800000000003</v>
      </c>
      <c r="BS93" s="1">
        <v>1</v>
      </c>
      <c r="BT93" s="15"/>
      <c r="BX93" s="15"/>
      <c r="BY93" s="15"/>
      <c r="CA93" s="94">
        <v>16.563600000000001</v>
      </c>
      <c r="CB93" s="1">
        <v>1</v>
      </c>
      <c r="CC93" s="15">
        <v>66.823099999999997</v>
      </c>
      <c r="CD93" s="1">
        <v>2</v>
      </c>
      <c r="CE93" s="1">
        <v>0</v>
      </c>
      <c r="CF93" s="1">
        <v>2</v>
      </c>
      <c r="CG93" s="15">
        <v>1</v>
      </c>
      <c r="CH93" s="15">
        <v>0.14905935106536625</v>
      </c>
      <c r="CJ93" s="15">
        <v>24.171800000000001</v>
      </c>
      <c r="CK93" s="15">
        <v>0.50061593318456243</v>
      </c>
      <c r="CP93" s="94">
        <v>25.523499999999999</v>
      </c>
      <c r="CQ93" s="94">
        <v>0.32884971751698994</v>
      </c>
    </row>
    <row r="94" spans="13:95" x14ac:dyDescent="0.25">
      <c r="M94" s="15">
        <v>49.476445579228098</v>
      </c>
      <c r="N94" s="15">
        <v>0.34618811854194498</v>
      </c>
      <c r="S94" s="98">
        <v>48.726014201450198</v>
      </c>
      <c r="T94" s="98">
        <v>0.199320849071179</v>
      </c>
      <c r="Y94" s="55">
        <v>33.344118555281554</v>
      </c>
      <c r="Z94" s="1">
        <v>0</v>
      </c>
      <c r="AA94" s="15"/>
      <c r="AE94" s="15"/>
      <c r="AF94" s="15"/>
      <c r="AH94" s="55">
        <v>17.816084457301699</v>
      </c>
      <c r="AI94" s="1">
        <v>1</v>
      </c>
      <c r="AJ94" s="15"/>
      <c r="AK94" s="1"/>
      <c r="AL94" s="1"/>
      <c r="AM94" s="1"/>
      <c r="AN94" s="15"/>
      <c r="AO94" s="15"/>
      <c r="AQ94" s="55">
        <v>25.497355787621899</v>
      </c>
      <c r="AR94" s="2">
        <v>0.5087581325235746</v>
      </c>
      <c r="AW94" s="55">
        <v>23.596642747116501</v>
      </c>
      <c r="AX94" s="2">
        <v>0.36672080649202971</v>
      </c>
      <c r="BR94" s="94">
        <v>34.973599999999998</v>
      </c>
      <c r="BS94" s="1">
        <v>1</v>
      </c>
      <c r="BT94" s="15"/>
      <c r="BX94" s="15"/>
      <c r="BY94" s="15"/>
      <c r="CA94" s="94">
        <v>17.1738</v>
      </c>
      <c r="CB94" s="1">
        <v>1</v>
      </c>
      <c r="CC94" s="15"/>
      <c r="CG94" s="15"/>
      <c r="CH94" s="15"/>
      <c r="CJ94" s="15">
        <v>26.070699999999999</v>
      </c>
      <c r="CK94" s="15">
        <v>0.50061593318456243</v>
      </c>
      <c r="CP94" s="94">
        <v>26.8081</v>
      </c>
      <c r="CQ94" s="94">
        <v>0.32884971751698994</v>
      </c>
    </row>
    <row r="95" spans="13:95" x14ac:dyDescent="0.25">
      <c r="M95" s="15">
        <v>50.1280114624211</v>
      </c>
      <c r="N95" s="15">
        <v>0.34530723302161997</v>
      </c>
      <c r="S95" s="98">
        <v>49.368298455873997</v>
      </c>
      <c r="T95" s="98">
        <v>0.19933907507158799</v>
      </c>
      <c r="Y95" s="55">
        <v>34.321785565823397</v>
      </c>
      <c r="Z95" s="1">
        <v>1</v>
      </c>
      <c r="AA95" s="15"/>
      <c r="AE95" s="15"/>
      <c r="AF95" s="15"/>
      <c r="AH95" s="55">
        <v>17.816084457301699</v>
      </c>
      <c r="AI95" s="1">
        <v>1</v>
      </c>
      <c r="AJ95" s="15"/>
      <c r="AK95" s="1"/>
      <c r="AL95" s="1"/>
      <c r="AM95" s="1"/>
      <c r="AN95" s="15"/>
      <c r="AO95" s="15"/>
      <c r="AQ95" s="55">
        <v>25.497355787621899</v>
      </c>
      <c r="AR95" s="2">
        <v>0.50197469075659362</v>
      </c>
      <c r="AW95" s="55">
        <v>23.596642747116501</v>
      </c>
      <c r="AX95" s="2">
        <v>0.35966848329025991</v>
      </c>
      <c r="BR95" s="94">
        <v>36.323900000000002</v>
      </c>
      <c r="BS95" s="1">
        <v>1</v>
      </c>
      <c r="BT95" s="15"/>
      <c r="BX95" s="15"/>
      <c r="BY95" s="15"/>
      <c r="CA95" s="94">
        <v>17.816099999999999</v>
      </c>
      <c r="CB95" s="1">
        <v>1</v>
      </c>
      <c r="CC95" s="15"/>
      <c r="CG95" s="15"/>
      <c r="CH95" s="15"/>
      <c r="CJ95" s="15">
        <v>26.070699999999999</v>
      </c>
      <c r="CK95" s="15">
        <v>0.48708577282822296</v>
      </c>
      <c r="CP95" s="94">
        <v>26.8081</v>
      </c>
      <c r="CQ95" s="94">
        <v>0.32170081061444666</v>
      </c>
    </row>
    <row r="96" spans="13:95" x14ac:dyDescent="0.25">
      <c r="M96" s="15">
        <v>50.779517675130002</v>
      </c>
      <c r="N96" s="15">
        <v>0.34530723302161997</v>
      </c>
      <c r="S96" s="98">
        <v>50.010582710297903</v>
      </c>
      <c r="T96" s="98">
        <v>0.19935730107199701</v>
      </c>
      <c r="Y96" s="55">
        <v>34.973649403633303</v>
      </c>
      <c r="Z96" s="1">
        <v>1</v>
      </c>
      <c r="AA96" s="15"/>
      <c r="AE96" s="15"/>
      <c r="AF96" s="15"/>
      <c r="AH96" s="55">
        <v>18.458368711725502</v>
      </c>
      <c r="AI96" s="1">
        <v>1</v>
      </c>
      <c r="AJ96" s="15"/>
      <c r="AK96" s="1"/>
      <c r="AL96" s="1"/>
      <c r="AM96" s="1"/>
      <c r="AN96" s="15"/>
      <c r="AO96" s="15"/>
      <c r="AQ96" s="55">
        <v>26.0707099297023</v>
      </c>
      <c r="AR96" s="2">
        <v>0.50197469075659362</v>
      </c>
      <c r="AW96" s="55">
        <v>24.238927001540301</v>
      </c>
      <c r="AX96" s="2">
        <v>0.35966848329025991</v>
      </c>
      <c r="BR96" s="94">
        <v>37.988300000000002</v>
      </c>
      <c r="BS96" s="1">
        <v>1</v>
      </c>
      <c r="BT96" s="15"/>
      <c r="BX96" s="15"/>
      <c r="BY96" s="15"/>
      <c r="CA96" s="94">
        <v>17.816099999999999</v>
      </c>
      <c r="CB96" s="1">
        <v>1</v>
      </c>
      <c r="CC96" s="15"/>
      <c r="CG96" s="15"/>
      <c r="CH96" s="15"/>
      <c r="CJ96" s="15">
        <v>29.591999999999999</v>
      </c>
      <c r="CK96" s="15">
        <v>0.48708577282822296</v>
      </c>
      <c r="CP96" s="94">
        <v>29.377199999999998</v>
      </c>
      <c r="CQ96" s="94">
        <v>0.32170081061444666</v>
      </c>
    </row>
    <row r="97" spans="13:95" x14ac:dyDescent="0.25">
      <c r="M97" s="15">
        <v>51.431023887838997</v>
      </c>
      <c r="N97" s="15">
        <v>0.34530723302161997</v>
      </c>
      <c r="S97" s="15">
        <v>50.652866964721802</v>
      </c>
      <c r="T97" s="15">
        <v>0.19937552707240699</v>
      </c>
      <c r="Y97" s="55">
        <v>36.3239229638111</v>
      </c>
      <c r="Z97" s="1">
        <v>1</v>
      </c>
      <c r="AA97" s="15"/>
      <c r="AE97" s="15"/>
      <c r="AF97" s="15"/>
      <c r="AH97" s="55">
        <v>19.100652966149401</v>
      </c>
      <c r="AI97" s="1">
        <v>1</v>
      </c>
      <c r="AJ97" s="15"/>
      <c r="AK97" s="1"/>
      <c r="AL97" s="1"/>
      <c r="AM97" s="1"/>
      <c r="AN97" s="15"/>
      <c r="AO97" s="15"/>
      <c r="AQ97" s="55">
        <v>26.0707099297023</v>
      </c>
      <c r="AR97" s="2">
        <v>0.49519124898961264</v>
      </c>
      <c r="AW97" s="55">
        <v>24.238927001540301</v>
      </c>
      <c r="AX97" s="2">
        <v>0.35261616008849012</v>
      </c>
      <c r="BR97" s="94">
        <v>37.988300000000002</v>
      </c>
      <c r="BS97" s="1">
        <v>1</v>
      </c>
      <c r="BT97" s="15"/>
      <c r="BX97" s="15"/>
      <c r="BY97" s="15"/>
      <c r="CA97" s="94">
        <v>18.458400000000001</v>
      </c>
      <c r="CB97" s="1">
        <v>1</v>
      </c>
      <c r="CC97" s="15"/>
      <c r="CG97" s="15"/>
      <c r="CH97" s="15"/>
      <c r="CJ97" s="15">
        <v>29.591999999999999</v>
      </c>
      <c r="CK97" s="15">
        <v>0.48032069265005323</v>
      </c>
      <c r="CP97" s="94">
        <v>29.377199999999998</v>
      </c>
      <c r="CQ97" s="94">
        <v>0.31455190371190339</v>
      </c>
    </row>
    <row r="98" spans="13:95" x14ac:dyDescent="0.25">
      <c r="M98" s="15">
        <v>52.082530100547999</v>
      </c>
      <c r="N98" s="15">
        <v>0.34530723302161997</v>
      </c>
      <c r="S98" s="15">
        <v>51.295151219145602</v>
      </c>
      <c r="T98" s="15">
        <v>0.19939375307281601</v>
      </c>
      <c r="Y98" s="55">
        <v>37.152738306167599</v>
      </c>
      <c r="Z98" s="1">
        <v>1</v>
      </c>
      <c r="AA98" s="15"/>
      <c r="AE98" s="15"/>
      <c r="AF98" s="15"/>
      <c r="AH98" s="55">
        <v>19.7429372205733</v>
      </c>
      <c r="AI98" s="1">
        <v>1</v>
      </c>
      <c r="AJ98" s="15"/>
      <c r="AK98" s="1"/>
      <c r="AL98" s="1"/>
      <c r="AM98" s="1"/>
      <c r="AN98" s="15"/>
      <c r="AO98" s="15"/>
      <c r="AQ98" s="55">
        <v>29.591995898415998</v>
      </c>
      <c r="AR98" s="2">
        <v>0.49519124898961264</v>
      </c>
      <c r="AW98" s="55">
        <v>25.523495510388098</v>
      </c>
      <c r="AX98" s="2">
        <v>0.35261616008849012</v>
      </c>
      <c r="BR98" s="94">
        <v>39.942999999999998</v>
      </c>
      <c r="BS98" s="1">
        <v>1</v>
      </c>
      <c r="BT98" s="15"/>
      <c r="BX98" s="15"/>
      <c r="BY98" s="15"/>
      <c r="CA98" s="94">
        <v>18.458400000000001</v>
      </c>
      <c r="CB98" s="1">
        <v>1</v>
      </c>
      <c r="CC98" s="15"/>
      <c r="CG98" s="15"/>
      <c r="CH98" s="15"/>
      <c r="CJ98" s="15">
        <v>30.411300000000001</v>
      </c>
      <c r="CK98" s="15">
        <v>0.48032069265005323</v>
      </c>
      <c r="CP98" s="94">
        <v>30.019500000000001</v>
      </c>
      <c r="CQ98" s="94">
        <v>0.31455190371190339</v>
      </c>
    </row>
    <row r="99" spans="13:95" x14ac:dyDescent="0.25">
      <c r="M99" s="15">
        <v>52.7340283571924</v>
      </c>
      <c r="N99" s="15">
        <v>0.345424684424329</v>
      </c>
      <c r="S99" s="15">
        <v>51.937435473569501</v>
      </c>
      <c r="T99" s="15">
        <v>0.197966486372014</v>
      </c>
      <c r="Y99" s="55">
        <v>37.988254368477001</v>
      </c>
      <c r="Z99" s="1">
        <v>1</v>
      </c>
      <c r="AA99" s="15"/>
      <c r="AE99" s="15"/>
      <c r="AF99" s="15"/>
      <c r="AH99" s="55">
        <v>20.385221474997099</v>
      </c>
      <c r="AI99" s="1">
        <v>1</v>
      </c>
      <c r="AJ99" s="15"/>
      <c r="AK99" s="1"/>
      <c r="AL99" s="1"/>
      <c r="AM99" s="1"/>
      <c r="AN99" s="15"/>
      <c r="AO99" s="15"/>
      <c r="AQ99" s="55">
        <v>29.591995898415998</v>
      </c>
      <c r="AR99" s="2">
        <v>0.48831359275364583</v>
      </c>
      <c r="AW99" s="55">
        <v>25.523495510388098</v>
      </c>
      <c r="AX99" s="2">
        <v>0.34556383688672032</v>
      </c>
      <c r="BR99" s="94">
        <v>41.246600000000001</v>
      </c>
      <c r="BS99" s="1">
        <v>1</v>
      </c>
      <c r="BT99" s="15"/>
      <c r="BX99" s="15"/>
      <c r="BY99" s="15"/>
      <c r="CA99" s="94">
        <v>19.742899999999999</v>
      </c>
      <c r="CB99" s="1">
        <v>1</v>
      </c>
      <c r="CC99" s="15"/>
      <c r="CG99" s="15"/>
      <c r="CH99" s="15"/>
      <c r="CJ99" s="15">
        <v>30.411300000000001</v>
      </c>
      <c r="CK99" s="15">
        <v>0.47355561247188349</v>
      </c>
      <c r="CP99" s="94">
        <v>30.019500000000001</v>
      </c>
      <c r="CQ99" s="94">
        <v>0.30740299680936012</v>
      </c>
    </row>
    <row r="100" spans="13:95" x14ac:dyDescent="0.25">
      <c r="M100" s="15">
        <v>53.385910096147498</v>
      </c>
      <c r="N100" s="15">
        <v>0.33988097821641799</v>
      </c>
      <c r="S100" s="15">
        <v>52.5797197279934</v>
      </c>
      <c r="T100" s="15">
        <v>0.190087386395072</v>
      </c>
      <c r="Y100" s="55">
        <v>37.988254368477001</v>
      </c>
      <c r="Z100" s="1">
        <v>1</v>
      </c>
      <c r="AA100" s="15"/>
      <c r="AE100" s="15"/>
      <c r="AF100" s="15"/>
      <c r="AH100" s="55">
        <v>21.027505729421001</v>
      </c>
      <c r="AI100" s="1">
        <v>1</v>
      </c>
      <c r="AJ100" s="15"/>
      <c r="AK100" s="1"/>
      <c r="AL100" s="1"/>
      <c r="AM100" s="1"/>
      <c r="AN100" s="15"/>
      <c r="AO100" s="15"/>
      <c r="AQ100" s="55">
        <v>30.411300683627299</v>
      </c>
      <c r="AR100" s="2">
        <v>0.48831359275364583</v>
      </c>
      <c r="AW100" s="55">
        <v>26.165779764811901</v>
      </c>
      <c r="AX100" s="2">
        <v>0.34556383688672032</v>
      </c>
      <c r="BR100" s="94">
        <v>41.898699999999998</v>
      </c>
      <c r="BS100" s="1">
        <v>1</v>
      </c>
      <c r="BT100" s="15"/>
      <c r="BX100" s="15"/>
      <c r="BY100" s="15"/>
      <c r="CA100" s="94">
        <v>19.742899999999999</v>
      </c>
      <c r="CB100" s="1">
        <v>1</v>
      </c>
      <c r="CC100" s="15"/>
      <c r="CG100" s="15"/>
      <c r="CH100" s="15"/>
      <c r="CJ100" s="15">
        <v>32.366599999999998</v>
      </c>
      <c r="CK100" s="15">
        <v>0.47355561247188349</v>
      </c>
      <c r="CP100" s="94">
        <v>31.183599999999998</v>
      </c>
      <c r="CQ100" s="94">
        <v>0.30740299680936012</v>
      </c>
    </row>
    <row r="101" spans="13:95" x14ac:dyDescent="0.25">
      <c r="M101" s="15">
        <v>54.037526102547098</v>
      </c>
      <c r="N101" s="15">
        <v>0.33826014885902</v>
      </c>
      <c r="S101" s="15">
        <v>53.222003982417199</v>
      </c>
      <c r="T101" s="15">
        <v>0.18534606325734501</v>
      </c>
      <c r="Y101" s="55">
        <v>40.594737488630201</v>
      </c>
      <c r="Z101" s="1">
        <v>1</v>
      </c>
      <c r="AA101" s="15"/>
      <c r="AE101" s="15"/>
      <c r="AF101" s="15"/>
      <c r="AH101" s="55">
        <v>21.6697899838449</v>
      </c>
      <c r="AI101" s="1">
        <v>1</v>
      </c>
      <c r="AJ101" s="15"/>
      <c r="AK101" s="1"/>
      <c r="AL101" s="1"/>
      <c r="AM101" s="1"/>
      <c r="AN101" s="15"/>
      <c r="AO101" s="15"/>
      <c r="AQ101" s="55">
        <v>30.411300683627299</v>
      </c>
      <c r="AR101" s="2">
        <v>0.48143593651767902</v>
      </c>
      <c r="AW101" s="55">
        <v>26.165779764811901</v>
      </c>
      <c r="AX101" s="2">
        <v>0.33851151368495053</v>
      </c>
      <c r="BR101" s="94">
        <v>42.306899999999999</v>
      </c>
      <c r="BS101" s="1">
        <v>1</v>
      </c>
      <c r="BT101" s="15"/>
      <c r="BX101" s="15"/>
      <c r="BY101" s="15"/>
      <c r="CA101" s="94">
        <v>20.385200000000001</v>
      </c>
      <c r="CB101" s="1">
        <v>1</v>
      </c>
      <c r="CC101" s="15"/>
      <c r="CG101" s="15"/>
      <c r="CH101" s="15"/>
      <c r="CJ101" s="15">
        <v>32.366599999999998</v>
      </c>
      <c r="CK101" s="15">
        <v>0.46002545211554396</v>
      </c>
      <c r="CP101" s="94">
        <v>31.183599999999998</v>
      </c>
      <c r="CQ101" s="94">
        <v>0.28595627610173036</v>
      </c>
    </row>
    <row r="102" spans="13:95" x14ac:dyDescent="0.25">
      <c r="M102" s="15">
        <v>54.6890323152561</v>
      </c>
      <c r="N102" s="15">
        <v>0.33826014885902</v>
      </c>
      <c r="S102" s="15">
        <v>53.864288236841098</v>
      </c>
      <c r="T102" s="15">
        <v>0.185364289257754</v>
      </c>
      <c r="Y102" s="55">
        <v>41.246618431978803</v>
      </c>
      <c r="Z102" s="1">
        <v>1</v>
      </c>
      <c r="AA102" s="15"/>
      <c r="AE102" s="15"/>
      <c r="AF102" s="15"/>
      <c r="AH102" s="55">
        <v>21.6697899838449</v>
      </c>
      <c r="AI102" s="1">
        <v>1</v>
      </c>
      <c r="AJ102" s="15"/>
      <c r="AK102" s="1"/>
      <c r="AL102" s="1"/>
      <c r="AM102" s="1"/>
      <c r="AN102" s="15"/>
      <c r="AO102" s="15"/>
      <c r="AQ102" s="55">
        <v>32.366552359443098</v>
      </c>
      <c r="AR102" s="2">
        <v>0.48143593651767902</v>
      </c>
      <c r="AW102" s="55">
        <v>29.377201036931201</v>
      </c>
      <c r="AX102" s="2">
        <v>0.33851151368495053</v>
      </c>
      <c r="BR102" s="94">
        <v>42.306899999999999</v>
      </c>
      <c r="BS102" s="1">
        <v>1</v>
      </c>
      <c r="BT102" s="15"/>
      <c r="BX102" s="15"/>
      <c r="BY102" s="15"/>
      <c r="CA102" s="94">
        <v>21.0275</v>
      </c>
      <c r="CB102" s="1">
        <v>1</v>
      </c>
      <c r="CC102" s="15"/>
      <c r="CG102" s="15"/>
      <c r="CH102" s="15"/>
      <c r="CJ102" s="15">
        <v>34.321800000000003</v>
      </c>
      <c r="CK102" s="15">
        <v>0.46002545211554396</v>
      </c>
      <c r="CP102" s="94">
        <v>31.491399999999999</v>
      </c>
      <c r="CQ102" s="94">
        <v>0.28595627610173036</v>
      </c>
    </row>
    <row r="103" spans="13:95" x14ac:dyDescent="0.25">
      <c r="M103" s="15">
        <v>55.324660426369398</v>
      </c>
      <c r="N103" s="15">
        <v>0.34146205479135999</v>
      </c>
      <c r="S103" s="15">
        <v>54.506572491264997</v>
      </c>
      <c r="T103" s="15">
        <v>0.18538251525816399</v>
      </c>
      <c r="Y103" s="55">
        <v>41.8987382163848</v>
      </c>
      <c r="Z103" s="1">
        <v>1</v>
      </c>
      <c r="AA103" s="15"/>
      <c r="AE103" s="15"/>
      <c r="AF103" s="15"/>
      <c r="AH103" s="55">
        <v>22.344918319460898</v>
      </c>
      <c r="AI103" s="1">
        <v>1</v>
      </c>
      <c r="AJ103" s="15"/>
      <c r="AK103" s="1"/>
      <c r="AL103" s="1"/>
      <c r="AM103" s="1"/>
      <c r="AN103" s="15"/>
      <c r="AO103" s="15"/>
      <c r="AQ103" s="55">
        <v>32.366552359443098</v>
      </c>
      <c r="AR103" s="2">
        <v>0.47445860410437934</v>
      </c>
      <c r="AW103" s="55">
        <v>29.377201036931201</v>
      </c>
      <c r="AX103" s="2">
        <v>0.33145919048318073</v>
      </c>
      <c r="BR103" s="94">
        <v>42.958599999999997</v>
      </c>
      <c r="BS103" s="1">
        <v>1</v>
      </c>
      <c r="BT103" s="15"/>
      <c r="BX103" s="15"/>
      <c r="BY103" s="15"/>
      <c r="CA103" s="94">
        <v>21.348649999999999</v>
      </c>
      <c r="CB103" s="1">
        <v>0</v>
      </c>
      <c r="CC103" s="15"/>
      <c r="CG103" s="15"/>
      <c r="CH103" s="15"/>
      <c r="CJ103" s="15">
        <v>34.321800000000003</v>
      </c>
      <c r="CK103" s="15">
        <v>0.45326037193737423</v>
      </c>
      <c r="CP103" s="94">
        <v>31.491399999999999</v>
      </c>
      <c r="CQ103" s="94">
        <v>0.27880736919918708</v>
      </c>
    </row>
    <row r="104" spans="13:95" x14ac:dyDescent="0.25">
      <c r="M104" s="15">
        <v>55.991948736017797</v>
      </c>
      <c r="N104" s="15">
        <v>0.33967741759589898</v>
      </c>
      <c r="S104" s="15">
        <v>55.148856745688803</v>
      </c>
      <c r="T104" s="15">
        <v>0.185400741258573</v>
      </c>
      <c r="Y104" s="55">
        <v>42.306935882370396</v>
      </c>
      <c r="Z104" s="1">
        <v>1</v>
      </c>
      <c r="AA104" s="15"/>
      <c r="AE104" s="15"/>
      <c r="AF104" s="15"/>
      <c r="AH104" s="55">
        <v>22.954358492692599</v>
      </c>
      <c r="AI104" s="1">
        <v>1</v>
      </c>
      <c r="AJ104" s="15"/>
      <c r="AK104" s="1"/>
      <c r="AL104" s="1"/>
      <c r="AM104" s="1"/>
      <c r="AN104" s="15"/>
      <c r="AO104" s="15"/>
      <c r="AQ104" s="55">
        <v>33.018342717314098</v>
      </c>
      <c r="AR104" s="2">
        <v>0.47445860410437934</v>
      </c>
      <c r="AW104" s="55">
        <v>30.0194852913551</v>
      </c>
      <c r="AX104" s="2">
        <v>0.33145919048318073</v>
      </c>
      <c r="BR104" s="94">
        <v>43.610500000000002</v>
      </c>
      <c r="BS104" s="1">
        <v>1</v>
      </c>
      <c r="BT104" s="15"/>
      <c r="BX104" s="15"/>
      <c r="BY104" s="15"/>
      <c r="CA104" s="94">
        <v>21.669799999999999</v>
      </c>
      <c r="CB104" s="1">
        <v>1</v>
      </c>
      <c r="CC104" s="15"/>
      <c r="CG104" s="15"/>
      <c r="CH104" s="15"/>
      <c r="CJ104" s="15">
        <v>34.973599999999998</v>
      </c>
      <c r="CK104" s="15">
        <v>0.45326037193737423</v>
      </c>
      <c r="CP104" s="94">
        <v>32.781300000000002</v>
      </c>
      <c r="CQ104" s="94">
        <v>0.27880736919918708</v>
      </c>
    </row>
    <row r="105" spans="13:95" x14ac:dyDescent="0.25">
      <c r="M105" s="15">
        <v>56.643515815944703</v>
      </c>
      <c r="N105" s="15">
        <v>0.33877886529076501</v>
      </c>
      <c r="S105" s="15">
        <v>55.800404715320703</v>
      </c>
      <c r="T105" s="15">
        <v>0.18741835700031201</v>
      </c>
      <c r="Y105" s="55">
        <v>42.306935882370396</v>
      </c>
      <c r="Z105" s="1">
        <v>1</v>
      </c>
      <c r="AA105" s="15"/>
      <c r="AE105" s="15"/>
      <c r="AF105" s="15"/>
      <c r="AH105" s="55">
        <v>22.954358492692599</v>
      </c>
      <c r="AI105" s="1">
        <v>1</v>
      </c>
      <c r="AJ105" s="15"/>
      <c r="AK105" s="1"/>
      <c r="AL105" s="1"/>
      <c r="AM105" s="1"/>
      <c r="AN105" s="15"/>
      <c r="AO105" s="15"/>
      <c r="AQ105" s="55">
        <v>33.018342717314098</v>
      </c>
      <c r="AR105" s="2">
        <v>0.46748127169107967</v>
      </c>
      <c r="AW105" s="55">
        <v>30.0194852913551</v>
      </c>
      <c r="AX105" s="2">
        <v>0.32440686728141094</v>
      </c>
      <c r="BR105" s="94">
        <v>44.914000000000001</v>
      </c>
      <c r="BS105" s="1">
        <v>1</v>
      </c>
      <c r="BT105" s="15"/>
      <c r="BX105" s="15"/>
      <c r="BY105" s="15"/>
      <c r="CA105" s="94">
        <v>21.669799999999999</v>
      </c>
      <c r="CB105" s="1">
        <v>1</v>
      </c>
      <c r="CC105" s="15"/>
      <c r="CG105" s="15"/>
      <c r="CH105" s="15"/>
      <c r="CJ105" s="15">
        <v>34.973599999999998</v>
      </c>
      <c r="CK105" s="15">
        <v>0.44649529175920444</v>
      </c>
      <c r="CP105" s="94">
        <v>32.781300000000002</v>
      </c>
      <c r="CQ105" s="94">
        <v>0.27165846229664381</v>
      </c>
    </row>
    <row r="106" spans="13:95" x14ac:dyDescent="0.25">
      <c r="M106" s="15">
        <v>57.318054967716598</v>
      </c>
      <c r="N106" s="15">
        <v>0.33270859074674902</v>
      </c>
      <c r="S106" s="15">
        <v>56.387106678496401</v>
      </c>
      <c r="T106" s="15">
        <v>0.18735752021323099</v>
      </c>
      <c r="Y106" s="55">
        <v>43.284574705712203</v>
      </c>
      <c r="Z106" s="1">
        <v>0</v>
      </c>
      <c r="AA106" s="15"/>
      <c r="AE106" s="15"/>
      <c r="AF106" s="15"/>
      <c r="AH106" s="55">
        <v>23.596642747116501</v>
      </c>
      <c r="AI106" s="1">
        <v>1</v>
      </c>
      <c r="AJ106" s="15"/>
      <c r="AK106" s="1"/>
      <c r="AL106" s="1"/>
      <c r="AM106" s="1"/>
      <c r="AN106" s="15"/>
      <c r="AO106" s="15"/>
      <c r="AQ106" s="55">
        <v>34.321785565823397</v>
      </c>
      <c r="AR106" s="2">
        <v>0.46748127169107967</v>
      </c>
      <c r="AW106" s="55">
        <v>30.661769545778998</v>
      </c>
      <c r="AX106" s="2">
        <v>0.32440686728141094</v>
      </c>
      <c r="BR106" s="94">
        <v>46.869100000000003</v>
      </c>
      <c r="BS106" s="1">
        <v>1</v>
      </c>
      <c r="BT106" s="15"/>
      <c r="BX106" s="15"/>
      <c r="BY106" s="15"/>
      <c r="CA106" s="94">
        <v>22.344899999999999</v>
      </c>
      <c r="CB106" s="1">
        <v>1</v>
      </c>
      <c r="CC106" s="15"/>
      <c r="CG106" s="15"/>
      <c r="CH106" s="15"/>
      <c r="CJ106" s="15">
        <v>36.323900000000002</v>
      </c>
      <c r="CK106" s="15">
        <v>0.44649529175920444</v>
      </c>
      <c r="CP106" s="94">
        <v>33.311199999999999</v>
      </c>
      <c r="CQ106" s="94">
        <v>0.27165846229664381</v>
      </c>
    </row>
    <row r="107" spans="13:95" x14ac:dyDescent="0.25">
      <c r="M107" s="15">
        <v>57.947018331613897</v>
      </c>
      <c r="N107" s="15">
        <v>0.33154390795823202</v>
      </c>
      <c r="S107" s="15">
        <v>57.027538189878598</v>
      </c>
      <c r="T107" s="15">
        <v>0.18738809132463199</v>
      </c>
      <c r="Y107" s="55">
        <v>43.610541830202699</v>
      </c>
      <c r="Z107" s="1">
        <v>1</v>
      </c>
      <c r="AA107" s="15"/>
      <c r="AE107" s="15"/>
      <c r="AF107" s="15"/>
      <c r="AH107" s="55">
        <v>24.238927001540301</v>
      </c>
      <c r="AI107" s="1">
        <v>1</v>
      </c>
      <c r="AJ107" s="15"/>
      <c r="AK107" s="1"/>
      <c r="AL107" s="1"/>
      <c r="AM107" s="1"/>
      <c r="AN107" s="15"/>
      <c r="AO107" s="15"/>
      <c r="AQ107" s="55">
        <v>34.321785565823397</v>
      </c>
      <c r="AR107" s="2">
        <v>0.4603982221200027</v>
      </c>
      <c r="AW107" s="55">
        <v>30.661769545778998</v>
      </c>
      <c r="AX107" s="2">
        <v>0.31735454407964114</v>
      </c>
      <c r="BR107" s="94">
        <v>47.567999999999998</v>
      </c>
      <c r="BS107" s="1">
        <v>1</v>
      </c>
      <c r="BT107" s="15"/>
      <c r="BX107" s="15"/>
      <c r="BY107" s="15"/>
      <c r="CA107" s="94">
        <v>22.9544</v>
      </c>
      <c r="CB107" s="1">
        <v>1</v>
      </c>
      <c r="CC107" s="15"/>
      <c r="CG107" s="15"/>
      <c r="CH107" s="15"/>
      <c r="CJ107" s="15">
        <v>36.323900000000002</v>
      </c>
      <c r="CK107" s="15">
        <v>0.4397302115810347</v>
      </c>
      <c r="CP107" s="94">
        <v>33.311199999999999</v>
      </c>
      <c r="CQ107" s="94">
        <v>0.25736064849155726</v>
      </c>
    </row>
    <row r="108" spans="13:95" x14ac:dyDescent="0.25">
      <c r="M108" s="15">
        <v>59.250640990506</v>
      </c>
      <c r="N108" s="15">
        <v>0.32253533629597297</v>
      </c>
      <c r="S108" s="15">
        <v>57.322300785212398</v>
      </c>
      <c r="T108" s="15">
        <v>0.178453996078479</v>
      </c>
      <c r="Y108" s="55">
        <v>44.914033210705703</v>
      </c>
      <c r="Z108" s="1">
        <v>1</v>
      </c>
      <c r="AA108" s="15"/>
      <c r="AE108" s="15"/>
      <c r="AF108" s="15"/>
      <c r="AH108" s="55">
        <v>25.523495510388098</v>
      </c>
      <c r="AI108" s="1">
        <v>1</v>
      </c>
      <c r="AJ108" s="15"/>
      <c r="AK108" s="1"/>
      <c r="AL108" s="1"/>
      <c r="AM108" s="1"/>
      <c r="AN108" s="15"/>
      <c r="AO108" s="15"/>
      <c r="AQ108" s="55">
        <v>34.973649403633303</v>
      </c>
      <c r="AR108" s="2">
        <v>0.4603982221200027</v>
      </c>
      <c r="AW108" s="55">
        <v>31.183625502498401</v>
      </c>
      <c r="AX108" s="2">
        <v>0.31735454407964114</v>
      </c>
      <c r="BR108" s="94">
        <v>48.173000000000002</v>
      </c>
      <c r="BS108" s="1">
        <v>1</v>
      </c>
      <c r="BT108" s="15"/>
      <c r="BX108" s="15"/>
      <c r="BY108" s="15"/>
      <c r="CA108" s="94">
        <v>22.9544</v>
      </c>
      <c r="CB108" s="1">
        <v>1</v>
      </c>
      <c r="CC108" s="15"/>
      <c r="CG108" s="15"/>
      <c r="CH108" s="15"/>
      <c r="CJ108" s="15">
        <v>37.988300000000002</v>
      </c>
      <c r="CK108" s="15">
        <v>0.4397302115810347</v>
      </c>
      <c r="CP108" s="94">
        <v>35.238</v>
      </c>
      <c r="CQ108" s="94">
        <v>0.25736064849155726</v>
      </c>
    </row>
    <row r="109" spans="13:95" x14ac:dyDescent="0.25">
      <c r="M109" s="15">
        <v>60.572783106031899</v>
      </c>
      <c r="N109" s="15">
        <v>0.32065421630905899</v>
      </c>
      <c r="S109" s="15">
        <v>57.746667167599597</v>
      </c>
      <c r="T109" s="15">
        <v>0.180639361383789</v>
      </c>
      <c r="Y109" s="55">
        <v>45.239843600724853</v>
      </c>
      <c r="Z109" s="1">
        <v>0</v>
      </c>
      <c r="AA109" s="15"/>
      <c r="AE109" s="15"/>
      <c r="AF109" s="15"/>
      <c r="AH109" s="55">
        <v>26.165779764811901</v>
      </c>
      <c r="AI109" s="1">
        <v>1</v>
      </c>
      <c r="AJ109" s="15"/>
      <c r="AK109" s="1"/>
      <c r="AL109" s="1"/>
      <c r="AM109" s="1"/>
      <c r="AN109" s="15"/>
      <c r="AO109" s="15"/>
      <c r="AQ109" s="55">
        <v>34.973649403633303</v>
      </c>
      <c r="AR109" s="2">
        <v>0.45331517254892578</v>
      </c>
      <c r="AW109" s="55">
        <v>31.183625502498401</v>
      </c>
      <c r="AX109" s="2">
        <v>0.30324989767610155</v>
      </c>
      <c r="BR109" s="94">
        <v>48.824800000000003</v>
      </c>
      <c r="BS109" s="1">
        <v>1</v>
      </c>
      <c r="BT109" s="15"/>
      <c r="BX109" s="15"/>
      <c r="BY109" s="15"/>
      <c r="CA109" s="94">
        <v>23.596599999999999</v>
      </c>
      <c r="CB109" s="1">
        <v>1</v>
      </c>
      <c r="CC109" s="15"/>
      <c r="CG109" s="15"/>
      <c r="CH109" s="15"/>
      <c r="CJ109" s="15">
        <v>37.988300000000002</v>
      </c>
      <c r="CK109" s="15">
        <v>0.42620005122469518</v>
      </c>
      <c r="CP109" s="94">
        <v>35.238</v>
      </c>
      <c r="CQ109" s="94">
        <v>0.25021174158901399</v>
      </c>
    </row>
    <row r="110" spans="13:95" x14ac:dyDescent="0.25">
      <c r="M110" s="15">
        <v>61.205288649848796</v>
      </c>
      <c r="N110" s="15">
        <v>0.320630660595981</v>
      </c>
      <c r="S110" s="15">
        <v>58.360278017808099</v>
      </c>
      <c r="T110" s="15">
        <v>0.18178999970873599</v>
      </c>
      <c r="Y110" s="55">
        <v>46.869056263324197</v>
      </c>
      <c r="Z110" s="1">
        <v>1</v>
      </c>
      <c r="AA110" s="15"/>
      <c r="AE110" s="15"/>
      <c r="AF110" s="15"/>
      <c r="AH110" s="55">
        <v>29.377201036931201</v>
      </c>
      <c r="AI110" s="1">
        <v>1</v>
      </c>
      <c r="AJ110" s="15"/>
      <c r="AK110" s="1"/>
      <c r="AL110" s="1"/>
      <c r="AM110" s="1"/>
      <c r="AN110" s="15"/>
      <c r="AO110" s="15"/>
      <c r="AQ110" s="55">
        <v>36.3239229638111</v>
      </c>
      <c r="AR110" s="2">
        <v>0.45331517254892578</v>
      </c>
      <c r="AW110" s="55">
        <v>31.4913867077431</v>
      </c>
      <c r="AX110" s="2">
        <v>0.30324989767610155</v>
      </c>
      <c r="BR110" s="94">
        <v>53.385899999999999</v>
      </c>
      <c r="BS110" s="1">
        <v>1</v>
      </c>
      <c r="BT110" s="15"/>
      <c r="BX110" s="15"/>
      <c r="BY110" s="15"/>
      <c r="CA110" s="94">
        <v>24.8812</v>
      </c>
      <c r="CB110" s="1">
        <v>1</v>
      </c>
      <c r="CC110" s="15"/>
      <c r="CG110" s="15"/>
      <c r="CH110" s="15"/>
      <c r="CJ110" s="15">
        <v>39.942999999999998</v>
      </c>
      <c r="CK110" s="15">
        <v>0.42620005122469518</v>
      </c>
      <c r="CP110" s="94">
        <v>37.164900000000003</v>
      </c>
      <c r="CQ110" s="94">
        <v>0.25021174158901399</v>
      </c>
    </row>
    <row r="111" spans="13:95" x14ac:dyDescent="0.25">
      <c r="M111" s="15">
        <v>61.856686391923098</v>
      </c>
      <c r="N111" s="15">
        <v>0.32223195834128499</v>
      </c>
      <c r="S111" s="15">
        <v>58.999886087838597</v>
      </c>
      <c r="T111" s="15">
        <v>0.180151121549015</v>
      </c>
      <c r="Y111" s="55">
        <v>47.568002631316901</v>
      </c>
      <c r="Z111" s="1">
        <v>1</v>
      </c>
      <c r="AA111" s="15"/>
      <c r="AE111" s="15"/>
      <c r="AF111" s="15"/>
      <c r="AH111" s="55">
        <v>30.0194852913551</v>
      </c>
      <c r="AI111" s="1">
        <v>1</v>
      </c>
      <c r="AJ111" s="15"/>
      <c r="AK111" s="1"/>
      <c r="AL111" s="1"/>
      <c r="AM111" s="1"/>
      <c r="AN111" s="15"/>
      <c r="AO111" s="15"/>
      <c r="AQ111" s="55">
        <v>36.3239229638111</v>
      </c>
      <c r="AR111" s="2">
        <v>0.44623212297784881</v>
      </c>
      <c r="AW111" s="55">
        <v>31.4913867077431</v>
      </c>
      <c r="AX111" s="2">
        <v>0.28914525127256197</v>
      </c>
      <c r="BR111" s="94">
        <v>54.363250000000001</v>
      </c>
      <c r="BS111" s="1">
        <v>0</v>
      </c>
      <c r="BT111" s="15"/>
      <c r="BX111" s="15"/>
      <c r="BY111" s="15"/>
      <c r="CA111" s="94">
        <v>25.523499999999999</v>
      </c>
      <c r="CB111" s="1">
        <v>1</v>
      </c>
      <c r="CC111" s="15"/>
      <c r="CG111" s="15"/>
      <c r="CH111" s="15"/>
      <c r="CJ111" s="15">
        <v>39.942999999999998</v>
      </c>
      <c r="CK111" s="15">
        <v>0.41943497104652538</v>
      </c>
      <c r="CP111" s="94">
        <v>37.164900000000003</v>
      </c>
      <c r="CQ111" s="94">
        <v>0.24306283468647072</v>
      </c>
    </row>
    <row r="112" spans="13:95" x14ac:dyDescent="0.25">
      <c r="M112" s="15">
        <v>62.452556930250999</v>
      </c>
      <c r="N112" s="15">
        <v>0.32384958447860901</v>
      </c>
      <c r="S112" s="15">
        <v>59.644846526655897</v>
      </c>
      <c r="T112" s="15">
        <v>0.16855847398867699</v>
      </c>
      <c r="Y112" s="55">
        <v>48.1730011395058</v>
      </c>
      <c r="Z112" s="1">
        <v>1</v>
      </c>
      <c r="AA112" s="15"/>
      <c r="AE112" s="15"/>
      <c r="AF112" s="15"/>
      <c r="AH112" s="55">
        <v>30.661769545778998</v>
      </c>
      <c r="AI112" s="1">
        <v>1</v>
      </c>
      <c r="AJ112" s="15"/>
      <c r="AK112" s="1"/>
      <c r="AL112" s="1"/>
      <c r="AM112" s="1"/>
      <c r="AN112" s="15"/>
      <c r="AO112" s="15"/>
      <c r="AQ112" s="55">
        <v>37.152738306167599</v>
      </c>
      <c r="AR112" s="2">
        <v>0.44623212297784881</v>
      </c>
      <c r="AW112" s="55">
        <v>32.781307585377697</v>
      </c>
      <c r="AX112" s="2">
        <v>0.28914525127256197</v>
      </c>
      <c r="BR112" s="94">
        <v>54.363250000000001</v>
      </c>
      <c r="BS112" s="1">
        <v>0</v>
      </c>
      <c r="BT112" s="15"/>
      <c r="BX112" s="15"/>
      <c r="BY112" s="15"/>
      <c r="CA112" s="94">
        <v>26.8081</v>
      </c>
      <c r="CB112" s="1">
        <v>1</v>
      </c>
      <c r="CC112" s="15"/>
      <c r="CG112" s="15"/>
      <c r="CH112" s="15"/>
      <c r="CJ112" s="15">
        <v>41.246600000000001</v>
      </c>
      <c r="CK112" s="15">
        <v>0.41943497104652538</v>
      </c>
      <c r="CP112" s="94">
        <v>37.807200000000002</v>
      </c>
      <c r="CQ112" s="94">
        <v>0.24306283468647072</v>
      </c>
    </row>
    <row r="113" spans="13:95" x14ac:dyDescent="0.25">
      <c r="M113" s="15">
        <v>62.645351445138097</v>
      </c>
      <c r="N113" s="15">
        <v>0.30114550560266001</v>
      </c>
      <c r="S113" s="15">
        <v>60.246988015178196</v>
      </c>
      <c r="T113" s="15">
        <v>0.164599972869446</v>
      </c>
      <c r="Y113" s="55">
        <v>48.824807295847798</v>
      </c>
      <c r="Z113" s="1">
        <v>1</v>
      </c>
      <c r="AA113" s="15"/>
      <c r="AE113" s="15"/>
      <c r="AF113" s="15"/>
      <c r="AH113" s="55">
        <v>31.183625502498401</v>
      </c>
      <c r="AI113" s="1">
        <v>1</v>
      </c>
      <c r="AJ113" s="15"/>
      <c r="AK113" s="1"/>
      <c r="AL113" s="1"/>
      <c r="AM113" s="1"/>
      <c r="AN113" s="15"/>
      <c r="AO113" s="15"/>
      <c r="AQ113" s="55">
        <v>37.152738306167599</v>
      </c>
      <c r="AR113" s="2">
        <v>0.43914907340677184</v>
      </c>
      <c r="AW113" s="55">
        <v>32.781307585377697</v>
      </c>
      <c r="AX113" s="2">
        <v>0.28209292807079217</v>
      </c>
      <c r="BR113" s="94">
        <v>54.363250000000001</v>
      </c>
      <c r="BS113" s="1">
        <v>0</v>
      </c>
      <c r="BT113" s="15"/>
      <c r="BX113" s="15"/>
      <c r="BY113" s="15"/>
      <c r="CA113" s="94">
        <v>29.377199999999998</v>
      </c>
      <c r="CB113" s="1">
        <v>1</v>
      </c>
      <c r="CC113" s="15"/>
      <c r="CG113" s="15"/>
      <c r="CH113" s="15"/>
      <c r="CJ113" s="15">
        <v>41.246600000000001</v>
      </c>
      <c r="CK113" s="15">
        <v>0.41266989086835565</v>
      </c>
      <c r="CP113" s="94">
        <v>37.807200000000002</v>
      </c>
      <c r="CQ113" s="94">
        <v>0.23591392778392747</v>
      </c>
    </row>
    <row r="114" spans="13:95" x14ac:dyDescent="0.25">
      <c r="M114" s="15">
        <v>62.7567806388763</v>
      </c>
      <c r="N114" s="15">
        <v>0.25914877722947699</v>
      </c>
      <c r="P114" s="15"/>
      <c r="Q114" s="15"/>
      <c r="S114" s="15">
        <v>60.287130781079703</v>
      </c>
      <c r="T114" s="15">
        <v>0.17109162224973101</v>
      </c>
      <c r="Y114" s="55">
        <v>53.385910096147498</v>
      </c>
      <c r="Z114" s="1">
        <v>1</v>
      </c>
      <c r="AA114" s="15"/>
      <c r="AE114" s="15"/>
      <c r="AF114" s="15"/>
      <c r="AH114" s="55">
        <v>31.183625502498401</v>
      </c>
      <c r="AI114" s="1">
        <v>1</v>
      </c>
      <c r="AJ114" s="15"/>
      <c r="AK114" s="1"/>
      <c r="AL114" s="1"/>
      <c r="AM114" s="1"/>
      <c r="AN114" s="15"/>
      <c r="AO114" s="15"/>
      <c r="AQ114" s="55">
        <v>37.988254368477001</v>
      </c>
      <c r="AR114" s="2">
        <v>0.43914907340677184</v>
      </c>
      <c r="AW114" s="55">
        <v>33.311192095277399</v>
      </c>
      <c r="AX114" s="2">
        <v>0.28209292807079217</v>
      </c>
      <c r="BR114" s="94">
        <v>55.00685</v>
      </c>
      <c r="BS114" s="1">
        <v>0</v>
      </c>
      <c r="BT114" s="15"/>
      <c r="BX114" s="15"/>
      <c r="BY114" s="15"/>
      <c r="CA114" s="94">
        <v>30.019500000000001</v>
      </c>
      <c r="CB114" s="1">
        <v>1</v>
      </c>
      <c r="CC114" s="15"/>
      <c r="CG114" s="15"/>
      <c r="CH114" s="15"/>
      <c r="CJ114" s="15">
        <v>41.898699999999998</v>
      </c>
      <c r="CK114" s="15">
        <v>0.41266989086835565</v>
      </c>
      <c r="CP114" s="94">
        <v>43.587699999999998</v>
      </c>
      <c r="CQ114" s="94">
        <v>0.23591392778392747</v>
      </c>
    </row>
    <row r="115" spans="13:95" x14ac:dyDescent="0.25">
      <c r="M115" s="15">
        <v>62.773328152938703</v>
      </c>
      <c r="N115" s="15">
        <v>0.27248736334142099</v>
      </c>
      <c r="P115" s="15"/>
      <c r="Q115" s="15"/>
      <c r="S115" s="15">
        <v>60.977586354585398</v>
      </c>
      <c r="T115" s="15">
        <v>0.167233064050579</v>
      </c>
      <c r="Y115" s="55">
        <v>53.603115431614029</v>
      </c>
      <c r="Z115" s="1">
        <v>0</v>
      </c>
      <c r="AA115" s="15"/>
      <c r="AE115" s="15"/>
      <c r="AF115" s="15"/>
      <c r="AH115" s="55">
        <v>31.4913867077431</v>
      </c>
      <c r="AI115" s="1">
        <v>1</v>
      </c>
      <c r="AJ115" s="15"/>
      <c r="AK115" s="1"/>
      <c r="AL115" s="1"/>
      <c r="AM115" s="1"/>
      <c r="AN115" s="15"/>
      <c r="AO115" s="15"/>
      <c r="AQ115" s="55">
        <v>37.988254368477001</v>
      </c>
      <c r="AR115" s="2">
        <v>0.4249829742646179</v>
      </c>
      <c r="AW115" s="55">
        <v>33.311192095277399</v>
      </c>
      <c r="AX115" s="2">
        <v>0.26798828166725253</v>
      </c>
      <c r="BR115" s="94">
        <v>55.00685</v>
      </c>
      <c r="BS115" s="1">
        <v>0</v>
      </c>
      <c r="BT115" s="15"/>
      <c r="BX115" s="15"/>
      <c r="BY115" s="15"/>
      <c r="CA115" s="94">
        <v>31.183599999999998</v>
      </c>
      <c r="CB115" s="1">
        <v>1</v>
      </c>
      <c r="CC115" s="15"/>
      <c r="CG115" s="15"/>
      <c r="CH115" s="15"/>
      <c r="CJ115" s="15">
        <v>41.898699999999998</v>
      </c>
      <c r="CK115" s="15">
        <v>0.40590481069018586</v>
      </c>
      <c r="CP115" s="94">
        <v>43.587699999999998</v>
      </c>
      <c r="CQ115" s="94">
        <v>0.22876502088138423</v>
      </c>
    </row>
    <row r="116" spans="13:95" x14ac:dyDescent="0.25">
      <c r="M116" s="15">
        <v>63.462542701805503</v>
      </c>
      <c r="N116" s="15">
        <v>0.25968516044603102</v>
      </c>
      <c r="P116" s="15"/>
      <c r="Q116" s="15"/>
      <c r="S116" s="15">
        <v>61.5215208325506</v>
      </c>
      <c r="T116" s="15">
        <v>0.166680302378162</v>
      </c>
      <c r="Y116" s="55">
        <v>53.820320767080567</v>
      </c>
      <c r="Z116" s="1">
        <v>0</v>
      </c>
      <c r="AA116" s="15"/>
      <c r="AE116" s="15"/>
      <c r="AF116" s="15"/>
      <c r="AH116" s="55">
        <v>31.4913867077431</v>
      </c>
      <c r="AI116" s="1">
        <v>1</v>
      </c>
      <c r="AJ116" s="15"/>
      <c r="AK116" s="1"/>
      <c r="AL116" s="1"/>
      <c r="AM116" s="1"/>
      <c r="AN116" s="15"/>
      <c r="AO116" s="15"/>
      <c r="AQ116" s="55">
        <v>40.594737488630201</v>
      </c>
      <c r="AR116" s="2">
        <v>0.4249829742646179</v>
      </c>
      <c r="AW116" s="55">
        <v>35.238044858549003</v>
      </c>
      <c r="AX116" s="2">
        <v>0.26798828166725253</v>
      </c>
      <c r="BR116" s="94">
        <v>55.00685</v>
      </c>
      <c r="BS116" s="1">
        <v>0</v>
      </c>
      <c r="BT116" s="15"/>
      <c r="BX116" s="15"/>
      <c r="BY116" s="15"/>
      <c r="CA116" s="94">
        <v>31.183599999999998</v>
      </c>
      <c r="CB116" s="1">
        <v>1</v>
      </c>
      <c r="CC116" s="15"/>
      <c r="CG116" s="15"/>
      <c r="CH116" s="15"/>
      <c r="CJ116" s="15">
        <v>42.306899999999999</v>
      </c>
      <c r="CK116" s="15">
        <v>0.40590481069018586</v>
      </c>
      <c r="CP116" s="94">
        <v>44.872300000000003</v>
      </c>
      <c r="CQ116" s="94">
        <v>0.22876502088138423</v>
      </c>
    </row>
    <row r="117" spans="13:95" x14ac:dyDescent="0.25">
      <c r="M117" s="15">
        <v>64.005522511342704</v>
      </c>
      <c r="N117" s="15">
        <v>0.25882944308342998</v>
      </c>
      <c r="P117" s="15"/>
      <c r="Q117" s="15"/>
      <c r="S117" s="15">
        <v>61.727810046210998</v>
      </c>
      <c r="T117" s="15">
        <v>0.15624853687836901</v>
      </c>
      <c r="Y117" s="55">
        <v>57.318054967716598</v>
      </c>
      <c r="Z117" s="1">
        <v>1</v>
      </c>
      <c r="AA117" s="15"/>
      <c r="AE117" s="15"/>
      <c r="AF117" s="15"/>
      <c r="AH117" s="55">
        <v>32.781307585377697</v>
      </c>
      <c r="AI117" s="1">
        <v>1</v>
      </c>
      <c r="AJ117" s="15"/>
      <c r="AK117" s="1"/>
      <c r="AL117" s="1"/>
      <c r="AM117" s="1"/>
      <c r="AN117" s="15"/>
      <c r="AO117" s="15"/>
      <c r="AQ117" s="55">
        <v>40.594737488630201</v>
      </c>
      <c r="AR117" s="2">
        <v>0.41789992469354093</v>
      </c>
      <c r="AW117" s="55">
        <v>35.238044858549003</v>
      </c>
      <c r="AX117" s="2">
        <v>0.26093595846548273</v>
      </c>
      <c r="BR117" s="94">
        <v>55.00685</v>
      </c>
      <c r="BS117" s="1">
        <v>0</v>
      </c>
      <c r="BT117" s="15"/>
      <c r="BX117" s="15"/>
      <c r="BY117" s="15"/>
      <c r="CA117" s="94">
        <v>31.183599999999998</v>
      </c>
      <c r="CB117" s="1">
        <v>1</v>
      </c>
      <c r="CC117" s="15"/>
      <c r="CG117" s="15"/>
      <c r="CH117" s="15"/>
      <c r="CJ117" s="15">
        <v>42.306899999999999</v>
      </c>
      <c r="CK117" s="15">
        <v>0.39237465033384633</v>
      </c>
      <c r="CP117" s="94">
        <v>44.872300000000003</v>
      </c>
      <c r="CQ117" s="94">
        <v>0.22161611397884098</v>
      </c>
    </row>
    <row r="118" spans="13:95" x14ac:dyDescent="0.25">
      <c r="M118" s="15">
        <v>64.711477756573501</v>
      </c>
      <c r="N118" s="15">
        <v>0.25651397257286102</v>
      </c>
      <c r="P118" s="15"/>
      <c r="Q118" s="15"/>
      <c r="S118" s="15">
        <v>62.294269076154301</v>
      </c>
      <c r="T118" s="15">
        <v>0.14629315522407901</v>
      </c>
      <c r="Y118" s="55">
        <v>59.250640990506</v>
      </c>
      <c r="Z118" s="1">
        <v>1</v>
      </c>
      <c r="AA118" s="15"/>
      <c r="AE118" s="15"/>
      <c r="AF118" s="15"/>
      <c r="AH118" s="55">
        <v>33.311192095277399</v>
      </c>
      <c r="AI118" s="1">
        <v>1</v>
      </c>
      <c r="AJ118" s="15"/>
      <c r="AK118" s="1"/>
      <c r="AL118" s="1"/>
      <c r="AM118" s="1"/>
      <c r="AN118" s="15"/>
      <c r="AO118" s="15"/>
      <c r="AQ118" s="55">
        <v>41.246618431978803</v>
      </c>
      <c r="AR118" s="2">
        <v>0.41789992469354093</v>
      </c>
      <c r="AW118" s="55">
        <v>37.1648976218206</v>
      </c>
      <c r="AX118" s="2">
        <v>0.26093595846548273</v>
      </c>
      <c r="BR118" s="94">
        <v>55.658299999999997</v>
      </c>
      <c r="BS118" s="1">
        <v>0</v>
      </c>
      <c r="BT118" s="15"/>
      <c r="BX118" s="15"/>
      <c r="BY118" s="15"/>
      <c r="CA118" s="94">
        <v>31.491399999999999</v>
      </c>
      <c r="CB118" s="1">
        <v>1</v>
      </c>
      <c r="CC118" s="15"/>
      <c r="CG118" s="15"/>
      <c r="CH118" s="15"/>
      <c r="CJ118" s="15">
        <v>42.958599999999997</v>
      </c>
      <c r="CK118" s="15">
        <v>0.39237465033384633</v>
      </c>
      <c r="CP118" s="94">
        <v>45.514600000000002</v>
      </c>
      <c r="CQ118" s="94">
        <v>0.22161611397884098</v>
      </c>
    </row>
    <row r="119" spans="13:95" x14ac:dyDescent="0.25">
      <c r="M119" s="15">
        <v>65.389893652703904</v>
      </c>
      <c r="N119" s="15">
        <v>0.26000395711052998</v>
      </c>
      <c r="P119" s="15"/>
      <c r="Q119" s="15"/>
      <c r="S119" s="15">
        <v>62.991293465898401</v>
      </c>
      <c r="T119" s="15">
        <v>0.14853588898426601</v>
      </c>
      <c r="V119" s="15"/>
      <c r="W119" s="15"/>
      <c r="Y119" s="55">
        <v>62.645351445138097</v>
      </c>
      <c r="Z119" s="1">
        <v>1</v>
      </c>
      <c r="AA119" s="15"/>
      <c r="AE119" s="15"/>
      <c r="AF119" s="15"/>
      <c r="AH119" s="55">
        <v>33.311192095277399</v>
      </c>
      <c r="AI119" s="1">
        <v>1</v>
      </c>
      <c r="AJ119" s="15"/>
      <c r="AK119" s="1"/>
      <c r="AL119" s="1"/>
      <c r="AM119" s="1"/>
      <c r="AN119" s="15"/>
      <c r="AO119" s="15"/>
      <c r="AQ119" s="55">
        <v>41.246618431978803</v>
      </c>
      <c r="AR119" s="2">
        <v>0.41081687512246395</v>
      </c>
      <c r="AW119" s="55">
        <v>37.1648976218206</v>
      </c>
      <c r="AX119" s="2">
        <v>0.25388363526371294</v>
      </c>
      <c r="BR119" s="94">
        <v>55.658299999999997</v>
      </c>
      <c r="BS119" s="1">
        <v>0</v>
      </c>
      <c r="BT119" s="15"/>
      <c r="BX119" s="15"/>
      <c r="BY119" s="15"/>
      <c r="CA119" s="94">
        <v>32.781300000000002</v>
      </c>
      <c r="CB119" s="1">
        <v>1</v>
      </c>
      <c r="CC119" s="15"/>
      <c r="CG119" s="15"/>
      <c r="CH119" s="15"/>
      <c r="CJ119" s="15">
        <v>42.958599999999997</v>
      </c>
      <c r="CK119" s="15">
        <v>0.38560957015567654</v>
      </c>
      <c r="CP119" s="94">
        <v>45.514600000000002</v>
      </c>
      <c r="CQ119" s="94">
        <v>0.21446720707629774</v>
      </c>
    </row>
    <row r="120" spans="13:95" x14ac:dyDescent="0.25">
      <c r="S120" s="15">
        <v>63.633577720322201</v>
      </c>
      <c r="T120" s="15">
        <v>0.14868231832846299</v>
      </c>
      <c r="V120" s="15"/>
      <c r="W120" s="15"/>
      <c r="Y120" s="55">
        <v>62.7567806388763</v>
      </c>
      <c r="Z120" s="1">
        <v>1</v>
      </c>
      <c r="AA120" s="15"/>
      <c r="AE120" s="15"/>
      <c r="AF120" s="15"/>
      <c r="AH120" s="55">
        <v>35.238044858549003</v>
      </c>
      <c r="AI120" s="1">
        <v>1</v>
      </c>
      <c r="AJ120" s="15"/>
      <c r="AK120" s="1"/>
      <c r="AL120" s="1"/>
      <c r="AM120" s="1"/>
      <c r="AN120" s="15"/>
      <c r="AO120" s="15"/>
      <c r="AQ120" s="55">
        <v>41.8987382163848</v>
      </c>
      <c r="AR120" s="2">
        <v>0.41081687512246395</v>
      </c>
      <c r="AW120" s="55">
        <v>37.807181876244499</v>
      </c>
      <c r="AX120" s="2">
        <v>0.25388363526371294</v>
      </c>
      <c r="BR120" s="94">
        <v>55.658299999999997</v>
      </c>
      <c r="BS120" s="1">
        <v>0</v>
      </c>
      <c r="BT120" s="15"/>
      <c r="BX120" s="15"/>
      <c r="BY120" s="15"/>
      <c r="CA120" s="94">
        <v>33.311199999999999</v>
      </c>
      <c r="CB120" s="1">
        <v>1</v>
      </c>
      <c r="CC120" s="15"/>
      <c r="CG120" s="15"/>
      <c r="CH120" s="15"/>
      <c r="CJ120" s="15">
        <v>43.610500000000002</v>
      </c>
      <c r="CK120" s="15">
        <v>0.38560957015567654</v>
      </c>
      <c r="CP120" s="94">
        <v>46.134599999999999</v>
      </c>
      <c r="CQ120" s="94">
        <v>0.21446720707629774</v>
      </c>
    </row>
    <row r="121" spans="13:95" x14ac:dyDescent="0.25">
      <c r="S121" s="15">
        <v>64.188277758233795</v>
      </c>
      <c r="T121" s="15">
        <v>0.149522223318104</v>
      </c>
      <c r="V121" s="15"/>
      <c r="W121" s="15"/>
      <c r="Y121" s="55">
        <v>65.389893652703904</v>
      </c>
      <c r="Z121" s="1">
        <v>0</v>
      </c>
      <c r="AA121" s="15"/>
      <c r="AE121" s="15"/>
      <c r="AF121" s="15"/>
      <c r="AH121" s="55">
        <v>37.1648976218206</v>
      </c>
      <c r="AI121" s="1">
        <v>1</v>
      </c>
      <c r="AJ121" s="15"/>
      <c r="AK121" s="1"/>
      <c r="AL121" s="1"/>
      <c r="AM121" s="1"/>
      <c r="AN121" s="15"/>
      <c r="AO121" s="15"/>
      <c r="AQ121" s="55">
        <v>41.8987382163848</v>
      </c>
      <c r="AR121" s="2">
        <v>0.40373382555138698</v>
      </c>
      <c r="AW121" s="55">
        <v>37.807181876244499</v>
      </c>
      <c r="AX121" s="2">
        <v>0.24683131206194314</v>
      </c>
      <c r="BR121" s="94">
        <v>55.658299999999997</v>
      </c>
      <c r="BS121" s="1">
        <v>0</v>
      </c>
      <c r="BT121" s="15"/>
      <c r="BX121" s="15"/>
      <c r="BY121" s="15"/>
      <c r="CA121" s="94">
        <v>33.311199999999999</v>
      </c>
      <c r="CB121" s="1">
        <v>1</v>
      </c>
      <c r="CC121" s="15"/>
      <c r="CG121" s="15"/>
      <c r="CH121" s="15"/>
      <c r="CJ121" s="15">
        <v>43.610500000000002</v>
      </c>
      <c r="CK121" s="15">
        <v>0.37884448997750675</v>
      </c>
      <c r="CP121" s="94">
        <v>46.134599999999999</v>
      </c>
      <c r="CQ121" s="94">
        <v>0.20016939327121122</v>
      </c>
    </row>
    <row r="122" spans="13:95" x14ac:dyDescent="0.25">
      <c r="S122" s="15">
        <v>64.874354120913793</v>
      </c>
      <c r="T122" s="15">
        <v>0.148845730991224</v>
      </c>
      <c r="V122" s="15"/>
      <c r="W122" s="15"/>
      <c r="Y122" s="55">
        <v>65.389893652703904</v>
      </c>
      <c r="Z122" s="1">
        <v>0</v>
      </c>
      <c r="AA122" s="15"/>
      <c r="AE122" s="15"/>
      <c r="AF122" s="15"/>
      <c r="AH122" s="55">
        <v>37.807181876244499</v>
      </c>
      <c r="AI122" s="1">
        <v>1</v>
      </c>
      <c r="AJ122" s="15"/>
      <c r="AK122" s="1"/>
      <c r="AL122" s="1"/>
      <c r="AM122" s="1"/>
      <c r="AN122" s="15"/>
      <c r="AO122" s="15"/>
      <c r="AQ122" s="55">
        <v>42.306935882370396</v>
      </c>
      <c r="AR122" s="2">
        <v>0.40373382555138698</v>
      </c>
      <c r="AW122" s="55">
        <v>43.587740166059199</v>
      </c>
      <c r="AX122" s="2">
        <v>0.24683131206194314</v>
      </c>
      <c r="BR122" s="94">
        <v>56.317700000000002</v>
      </c>
      <c r="BS122" s="1">
        <v>0</v>
      </c>
      <c r="BT122" s="15"/>
      <c r="BX122" s="15"/>
      <c r="BY122" s="15"/>
      <c r="CA122" s="94">
        <v>35.238</v>
      </c>
      <c r="CB122" s="1">
        <v>1</v>
      </c>
      <c r="CC122" s="15"/>
      <c r="CG122" s="15"/>
      <c r="CH122" s="15"/>
      <c r="CJ122" s="15">
        <v>44.914000000000001</v>
      </c>
      <c r="CK122" s="15">
        <v>0.37884448997750675</v>
      </c>
      <c r="CP122" s="94">
        <v>52.579700000000003</v>
      </c>
      <c r="CQ122" s="94">
        <v>0.20016939327121122</v>
      </c>
    </row>
    <row r="123" spans="13:95" x14ac:dyDescent="0.25">
      <c r="S123" s="15">
        <v>65.516638375337706</v>
      </c>
      <c r="T123" s="15">
        <v>0.14831451408968399</v>
      </c>
      <c r="V123" s="15"/>
      <c r="W123" s="15"/>
      <c r="Y123" s="55">
        <v>65.389893652703904</v>
      </c>
      <c r="Z123" s="1">
        <v>0</v>
      </c>
      <c r="AA123" s="15"/>
      <c r="AE123" s="15"/>
      <c r="AF123" s="15"/>
      <c r="AH123" s="55">
        <v>43.587740166059199</v>
      </c>
      <c r="AI123" s="1">
        <v>1</v>
      </c>
      <c r="AJ123" s="15"/>
      <c r="AK123" s="1"/>
      <c r="AL123" s="1"/>
      <c r="AM123" s="1"/>
      <c r="AN123" s="15"/>
      <c r="AO123" s="15"/>
      <c r="AQ123" s="55">
        <v>42.306935882370396</v>
      </c>
      <c r="AR123" s="2">
        <v>0.38956772640923304</v>
      </c>
      <c r="AW123" s="55">
        <v>43.587740166059199</v>
      </c>
      <c r="AX123" s="2">
        <v>0.23977898886017335</v>
      </c>
      <c r="BR123" s="94">
        <v>56.317700000000002</v>
      </c>
      <c r="BS123" s="1">
        <v>0</v>
      </c>
      <c r="BT123" s="15"/>
      <c r="BX123" s="15"/>
      <c r="BY123" s="15"/>
      <c r="CA123" s="94">
        <v>37.164900000000003</v>
      </c>
      <c r="CB123" s="1">
        <v>1</v>
      </c>
      <c r="CC123" s="15"/>
      <c r="CG123" s="15"/>
      <c r="CH123" s="15"/>
      <c r="CJ123" s="15">
        <v>44.914000000000001</v>
      </c>
      <c r="CK123" s="15">
        <v>0.37207940979933696</v>
      </c>
      <c r="CP123" s="94">
        <v>52.579700000000003</v>
      </c>
      <c r="CQ123" s="94">
        <v>0.19302048636866798</v>
      </c>
    </row>
    <row r="124" spans="13:95" x14ac:dyDescent="0.25">
      <c r="S124" s="15">
        <v>66.180818683889598</v>
      </c>
      <c r="T124" s="15">
        <v>0.148968273228824</v>
      </c>
      <c r="V124" s="15"/>
      <c r="W124" s="15"/>
      <c r="Y124" s="55">
        <v>65.389893652703904</v>
      </c>
      <c r="Z124" s="1">
        <v>0</v>
      </c>
      <c r="AA124" s="15"/>
      <c r="AE124" s="15"/>
      <c r="AF124" s="15"/>
      <c r="AH124" s="55">
        <v>44.872308674907003</v>
      </c>
      <c r="AI124" s="1">
        <v>1</v>
      </c>
      <c r="AJ124" s="15"/>
      <c r="AK124" s="1"/>
      <c r="AL124" s="1"/>
      <c r="AM124" s="1"/>
      <c r="AN124" s="15"/>
      <c r="AO124" s="15"/>
      <c r="AQ124" s="55">
        <v>43.610541830202699</v>
      </c>
      <c r="AR124" s="2">
        <v>0.38956772640923304</v>
      </c>
      <c r="AW124" s="55">
        <v>44.872308674907003</v>
      </c>
      <c r="AX124" s="2">
        <v>0.23977898886017335</v>
      </c>
      <c r="BR124" s="94">
        <v>56.317700000000002</v>
      </c>
      <c r="BS124" s="1">
        <v>0</v>
      </c>
      <c r="BT124" s="15"/>
      <c r="BX124" s="15"/>
      <c r="BY124" s="15"/>
      <c r="CA124" s="94">
        <v>37.807200000000002</v>
      </c>
      <c r="CB124" s="1">
        <v>1</v>
      </c>
      <c r="CC124" s="15"/>
      <c r="CG124" s="15"/>
      <c r="CH124" s="15"/>
      <c r="CJ124" s="15">
        <v>46.869100000000003</v>
      </c>
      <c r="CK124" s="15">
        <v>0.37207940979933696</v>
      </c>
      <c r="CP124" s="94">
        <v>53.222000000000001</v>
      </c>
      <c r="CQ124" s="94">
        <v>0.19302048636866798</v>
      </c>
    </row>
    <row r="125" spans="13:95" x14ac:dyDescent="0.25">
      <c r="S125" s="15">
        <v>66.823102938313497</v>
      </c>
      <c r="T125" s="15">
        <v>0.15078378801072101</v>
      </c>
      <c r="V125" s="15"/>
      <c r="W125" s="15"/>
      <c r="Y125" s="55">
        <v>65.389893652703904</v>
      </c>
      <c r="Z125" s="1">
        <v>0</v>
      </c>
      <c r="AA125" s="15"/>
      <c r="AE125" s="15"/>
      <c r="AF125" s="15"/>
      <c r="AH125" s="55">
        <v>45.514592929330803</v>
      </c>
      <c r="AI125" s="1">
        <v>1</v>
      </c>
      <c r="AJ125" s="15"/>
      <c r="AK125" s="1"/>
      <c r="AL125" s="1"/>
      <c r="AM125" s="1"/>
      <c r="AN125" s="15"/>
      <c r="AO125" s="15"/>
      <c r="AQ125" s="55">
        <v>43.610541830202699</v>
      </c>
      <c r="AR125" s="2">
        <v>0.38235350925350653</v>
      </c>
      <c r="AW125" s="55">
        <v>44.872308674907003</v>
      </c>
      <c r="AX125" s="2">
        <v>0.23272666565840355</v>
      </c>
      <c r="BR125" s="94">
        <v>56.980800000000002</v>
      </c>
      <c r="BS125" s="1">
        <v>0</v>
      </c>
      <c r="BT125" s="15"/>
      <c r="BX125" s="15"/>
      <c r="BY125" s="15"/>
      <c r="CA125" s="94">
        <v>43.587699999999998</v>
      </c>
      <c r="CB125" s="1">
        <v>1</v>
      </c>
      <c r="CC125" s="15"/>
      <c r="CG125" s="15"/>
      <c r="CH125" s="15"/>
      <c r="CJ125" s="15">
        <v>46.869100000000003</v>
      </c>
      <c r="CK125" s="15">
        <v>0.36531432962116717</v>
      </c>
      <c r="CP125" s="94">
        <v>53.222000000000001</v>
      </c>
      <c r="CQ125" s="94">
        <v>0.1858715794661247</v>
      </c>
    </row>
    <row r="126" spans="13:95" x14ac:dyDescent="0.25">
      <c r="Y126" s="55">
        <v>65.389893652703904</v>
      </c>
      <c r="Z126" s="1">
        <v>0</v>
      </c>
      <c r="AA126" s="15"/>
      <c r="AE126" s="15"/>
      <c r="AF126" s="15"/>
      <c r="AH126" s="55">
        <v>46.134575647142803</v>
      </c>
      <c r="AI126" s="1">
        <v>1</v>
      </c>
      <c r="AJ126" s="15"/>
      <c r="AK126" s="1"/>
      <c r="AL126" s="1"/>
      <c r="AM126" s="1"/>
      <c r="AN126" s="15"/>
      <c r="AO126" s="15"/>
      <c r="AQ126" s="55">
        <v>44.914033210705703</v>
      </c>
      <c r="AR126" s="2">
        <v>0.38235350925350653</v>
      </c>
      <c r="AW126" s="55">
        <v>45.514592929330803</v>
      </c>
      <c r="AX126" s="2">
        <v>0.23272666565840355</v>
      </c>
      <c r="BR126" s="94">
        <v>56.980800000000002</v>
      </c>
      <c r="BS126" s="1">
        <v>0</v>
      </c>
      <c r="BT126" s="15"/>
      <c r="BX126" s="15"/>
      <c r="BY126" s="15"/>
      <c r="CA126" s="94">
        <v>44.872300000000003</v>
      </c>
      <c r="CB126" s="1">
        <v>1</v>
      </c>
      <c r="CC126" s="15"/>
      <c r="CG126" s="15"/>
      <c r="CH126" s="15"/>
      <c r="CJ126" s="15">
        <v>47.567999999999998</v>
      </c>
      <c r="CK126" s="15">
        <v>0.36531432962116717</v>
      </c>
      <c r="CP126" s="94">
        <v>57.322299999999998</v>
      </c>
      <c r="CQ126" s="94">
        <v>0.1858715794661247</v>
      </c>
    </row>
    <row r="127" spans="13:95" x14ac:dyDescent="0.25">
      <c r="Y127" s="55">
        <v>65.389893652703904</v>
      </c>
      <c r="Z127" s="1">
        <v>0</v>
      </c>
      <c r="AA127" s="15"/>
      <c r="AE127" s="15"/>
      <c r="AF127" s="15"/>
      <c r="AH127" s="55">
        <v>46.134575647142803</v>
      </c>
      <c r="AI127" s="1">
        <v>1</v>
      </c>
      <c r="AJ127" s="15"/>
      <c r="AK127" s="1"/>
      <c r="AL127" s="1"/>
      <c r="AM127" s="1"/>
      <c r="AN127" s="15"/>
      <c r="AO127" s="15"/>
      <c r="AQ127" s="55">
        <v>44.914033210705703</v>
      </c>
      <c r="AR127" s="2">
        <v>0.37513929209778002</v>
      </c>
      <c r="AW127" s="55">
        <v>45.514592929330803</v>
      </c>
      <c r="AX127" s="2">
        <v>0.22567434245663376</v>
      </c>
      <c r="BR127" s="94">
        <v>56.980800000000002</v>
      </c>
      <c r="BS127" s="1">
        <v>0</v>
      </c>
      <c r="BT127" s="15"/>
      <c r="BX127" s="15"/>
      <c r="BY127" s="15"/>
      <c r="CA127" s="94">
        <v>45.514600000000002</v>
      </c>
      <c r="CB127" s="1">
        <v>1</v>
      </c>
      <c r="CC127" s="15"/>
      <c r="CG127" s="15"/>
      <c r="CH127" s="15"/>
      <c r="CJ127" s="15">
        <v>47.567999999999998</v>
      </c>
      <c r="CK127" s="15">
        <v>0.35854924944299743</v>
      </c>
      <c r="CP127" s="94">
        <v>57.322299999999998</v>
      </c>
      <c r="CQ127" s="94">
        <v>0.17657800049281847</v>
      </c>
    </row>
    <row r="128" spans="13:95" x14ac:dyDescent="0.25">
      <c r="Y128" s="55">
        <v>65.389893652703904</v>
      </c>
      <c r="Z128" s="1">
        <v>0</v>
      </c>
      <c r="AA128" s="15"/>
      <c r="AE128" s="15"/>
      <c r="AF128" s="15"/>
      <c r="AH128" s="55">
        <v>52.5797197279934</v>
      </c>
      <c r="AI128" s="1">
        <v>1</v>
      </c>
      <c r="AJ128" s="15"/>
      <c r="AK128" s="1"/>
      <c r="AL128" s="1"/>
      <c r="AM128" s="1"/>
      <c r="AN128" s="15"/>
      <c r="AO128" s="15"/>
      <c r="AQ128" s="55">
        <v>46.869056263324197</v>
      </c>
      <c r="AR128" s="2">
        <v>0.37513929209778002</v>
      </c>
      <c r="AW128" s="55">
        <v>46.134575647142803</v>
      </c>
      <c r="AX128" s="2">
        <v>0.22567434245663376</v>
      </c>
      <c r="BR128" s="94">
        <v>56.980800000000002</v>
      </c>
      <c r="BS128" s="1">
        <v>0</v>
      </c>
      <c r="BT128" s="15"/>
      <c r="BX128" s="15"/>
      <c r="BY128" s="15"/>
      <c r="CA128" s="94">
        <v>46.134599999999999</v>
      </c>
      <c r="CB128" s="1">
        <v>1</v>
      </c>
      <c r="CC128" s="15"/>
      <c r="CG128" s="15"/>
      <c r="CH128" s="15"/>
      <c r="CJ128" s="15">
        <v>48.173000000000002</v>
      </c>
      <c r="CK128" s="15">
        <v>0.35854924944299743</v>
      </c>
      <c r="CP128" s="94">
        <v>59.644799999999996</v>
      </c>
      <c r="CQ128" s="94">
        <v>0.17657800049281847</v>
      </c>
    </row>
    <row r="129" spans="16:95" x14ac:dyDescent="0.25">
      <c r="Y129" s="55">
        <v>65.389893652703904</v>
      </c>
      <c r="Z129" s="1">
        <v>0</v>
      </c>
      <c r="AH129" s="55">
        <v>53.222003982417199</v>
      </c>
      <c r="AI129" s="1">
        <v>1</v>
      </c>
      <c r="AJ129" s="1"/>
      <c r="AK129" s="1"/>
      <c r="AL129" s="1"/>
      <c r="AM129" s="1"/>
      <c r="AN129" s="1"/>
      <c r="AO129" s="1"/>
      <c r="AQ129" s="55">
        <v>46.869056263324197</v>
      </c>
      <c r="AR129" s="2">
        <v>0.36778361970370588</v>
      </c>
      <c r="AW129" s="55">
        <v>46.134575647142803</v>
      </c>
      <c r="AX129" s="2">
        <v>0.21156969605309414</v>
      </c>
      <c r="BR129" s="94">
        <v>57.318100000000001</v>
      </c>
      <c r="BS129" s="1">
        <v>1</v>
      </c>
      <c r="BT129" s="15"/>
      <c r="BX129" s="15"/>
      <c r="BY129" s="15"/>
      <c r="CA129" s="94">
        <v>46.134599999999999</v>
      </c>
      <c r="CB129" s="1">
        <v>1</v>
      </c>
      <c r="CC129" s="15"/>
      <c r="CG129" s="15"/>
      <c r="CH129" s="15"/>
      <c r="CJ129" s="15">
        <v>48.173000000000002</v>
      </c>
      <c r="CK129" s="15">
        <v>0.3517841692648277</v>
      </c>
      <c r="CP129">
        <v>59.644799999999996</v>
      </c>
      <c r="CQ129">
        <v>0.16396528617190287</v>
      </c>
    </row>
    <row r="130" spans="16:95" x14ac:dyDescent="0.25">
      <c r="P130" s="15"/>
      <c r="Q130" s="15"/>
      <c r="Y130" s="55">
        <v>65.389893652703904</v>
      </c>
      <c r="Z130" s="1">
        <v>0</v>
      </c>
      <c r="AH130" s="55">
        <v>57.322300785212398</v>
      </c>
      <c r="AI130" s="1">
        <v>1</v>
      </c>
      <c r="AJ130" s="1"/>
      <c r="AK130" s="1"/>
      <c r="AL130" s="1"/>
      <c r="AM130" s="1"/>
      <c r="AN130" s="1"/>
      <c r="AO130" s="1"/>
      <c r="AQ130" s="55">
        <v>47.568002631316901</v>
      </c>
      <c r="AR130" s="2">
        <v>0.36778361970370588</v>
      </c>
      <c r="AW130" s="55">
        <v>52.5797197279934</v>
      </c>
      <c r="AX130" s="2">
        <v>0.21156969605309414</v>
      </c>
      <c r="BR130" s="94">
        <v>57.632550000000002</v>
      </c>
      <c r="BS130" s="1">
        <v>0</v>
      </c>
      <c r="BT130" s="15"/>
      <c r="BX130" s="15"/>
      <c r="BY130" s="15"/>
      <c r="CA130" s="94">
        <v>52.579700000000003</v>
      </c>
      <c r="CB130" s="1">
        <v>1</v>
      </c>
      <c r="CC130" s="15"/>
      <c r="CG130" s="15"/>
      <c r="CH130" s="15"/>
      <c r="CJ130" s="15">
        <v>48.824800000000003</v>
      </c>
      <c r="CK130" s="15">
        <v>0.3517841692648277</v>
      </c>
      <c r="CP130">
        <v>61.727800000000002</v>
      </c>
      <c r="CQ130">
        <v>0.16396528617190287</v>
      </c>
    </row>
    <row r="131" spans="16:95" x14ac:dyDescent="0.25">
      <c r="P131" s="15"/>
      <c r="Q131" s="15"/>
      <c r="Y131" s="55">
        <v>65.389893652703904</v>
      </c>
      <c r="Z131" s="1">
        <v>0</v>
      </c>
      <c r="AH131" s="55">
        <v>59.644846526655897</v>
      </c>
      <c r="AI131" s="1">
        <v>1</v>
      </c>
      <c r="AJ131" s="1"/>
      <c r="AK131" s="1"/>
      <c r="AL131" s="1"/>
      <c r="AM131" s="1"/>
      <c r="AN131" s="1"/>
      <c r="AO131" s="1"/>
      <c r="AQ131" s="55">
        <v>47.568002631316901</v>
      </c>
      <c r="AR131" s="2">
        <v>0.36042794730963174</v>
      </c>
      <c r="AW131" s="55">
        <v>52.5797197279934</v>
      </c>
      <c r="AX131" s="2">
        <v>0.20451737285132435</v>
      </c>
      <c r="BR131" s="94">
        <v>57.632550000000002</v>
      </c>
      <c r="BS131" s="1">
        <v>0</v>
      </c>
      <c r="BT131" s="15"/>
      <c r="BX131" s="15"/>
      <c r="BY131" s="15"/>
      <c r="CA131" s="94">
        <v>53.222000000000001</v>
      </c>
      <c r="CB131" s="1">
        <v>1</v>
      </c>
      <c r="CC131" s="15"/>
      <c r="CG131" s="15"/>
      <c r="CH131" s="15"/>
      <c r="CJ131" s="15">
        <v>48.824800000000003</v>
      </c>
      <c r="CK131" s="15">
        <v>0.3450190890866579</v>
      </c>
      <c r="CP131">
        <v>61.727800000000002</v>
      </c>
      <c r="CQ131">
        <v>0.14905935106536625</v>
      </c>
    </row>
    <row r="132" spans="16:95" x14ac:dyDescent="0.25">
      <c r="P132" s="15"/>
      <c r="Q132" s="15"/>
      <c r="Y132" s="55">
        <v>65.389893652703904</v>
      </c>
      <c r="Z132" s="1">
        <v>0</v>
      </c>
      <c r="AH132" s="55">
        <v>61.727810046210998</v>
      </c>
      <c r="AI132" s="1">
        <v>1</v>
      </c>
      <c r="AJ132" s="1"/>
      <c r="AK132" s="1"/>
      <c r="AL132" s="1"/>
      <c r="AM132" s="1"/>
      <c r="AN132" s="1"/>
      <c r="AO132" s="1"/>
      <c r="AQ132" s="55">
        <v>48.1730011395058</v>
      </c>
      <c r="AR132" s="2">
        <v>0.36042794730963174</v>
      </c>
      <c r="AW132" s="55">
        <v>53.222003982417199</v>
      </c>
      <c r="AX132" s="2">
        <v>0.20451737285132435</v>
      </c>
      <c r="BR132" s="94">
        <v>57.632550000000002</v>
      </c>
      <c r="BS132" s="1">
        <v>0</v>
      </c>
      <c r="BT132" s="15"/>
      <c r="BX132" s="15"/>
      <c r="BY132" s="15"/>
      <c r="CA132" s="94">
        <v>54.827750000000002</v>
      </c>
      <c r="CB132" s="1">
        <v>0</v>
      </c>
      <c r="CC132" s="15"/>
      <c r="CG132" s="15"/>
      <c r="CH132" s="15"/>
      <c r="CJ132" s="15">
        <v>53.385899999999999</v>
      </c>
      <c r="CK132" s="15">
        <v>0.3450190890866579</v>
      </c>
      <c r="CP132">
        <v>66.823099999999997</v>
      </c>
      <c r="CQ132">
        <v>0.14905935106536625</v>
      </c>
    </row>
    <row r="133" spans="16:95" x14ac:dyDescent="0.25">
      <c r="P133" s="15"/>
      <c r="Q133" s="15"/>
      <c r="Y133" s="55">
        <v>65.389893652703904</v>
      </c>
      <c r="Z133" s="1">
        <v>0</v>
      </c>
      <c r="AH133" s="55">
        <v>62.294269076154301</v>
      </c>
      <c r="AI133" s="1">
        <v>1</v>
      </c>
      <c r="AJ133" s="1"/>
      <c r="AK133" s="1"/>
      <c r="AL133" s="1"/>
      <c r="AM133" s="1"/>
      <c r="AN133" s="1"/>
      <c r="AO133" s="1"/>
      <c r="AQ133" s="55">
        <v>48.1730011395058</v>
      </c>
      <c r="AR133" s="2">
        <v>0.35307227491555759</v>
      </c>
      <c r="AW133" s="55">
        <v>53.222003982417199</v>
      </c>
      <c r="AX133" s="2">
        <v>0.19746504964955455</v>
      </c>
      <c r="BR133" s="94">
        <v>57.632550000000002</v>
      </c>
      <c r="BS133" s="1">
        <v>0</v>
      </c>
      <c r="BT133" s="15"/>
      <c r="BX133" s="15"/>
      <c r="BY133" s="15"/>
      <c r="CA133" s="94">
        <v>55.474649999999997</v>
      </c>
      <c r="CB133" s="1">
        <v>0</v>
      </c>
      <c r="CC133" s="15"/>
      <c r="CG133" s="15"/>
      <c r="CH133" s="15"/>
      <c r="CJ133" s="15">
        <v>53.385899999999999</v>
      </c>
      <c r="CK133" s="15">
        <v>0.33825400890848811</v>
      </c>
    </row>
    <row r="134" spans="16:95" x14ac:dyDescent="0.25">
      <c r="P134" s="15"/>
      <c r="Q134" s="15"/>
      <c r="Y134" s="55">
        <v>65.389893652703904</v>
      </c>
      <c r="Z134" s="1">
        <v>0</v>
      </c>
      <c r="AH134" s="55">
        <v>66.180818683889598</v>
      </c>
      <c r="AI134" s="1">
        <v>1</v>
      </c>
      <c r="AJ134" s="1"/>
      <c r="AK134" s="1"/>
      <c r="AL134" s="1"/>
      <c r="AM134" s="1"/>
      <c r="AN134" s="1"/>
      <c r="AO134" s="1"/>
      <c r="AQ134" s="55">
        <v>48.824807295847798</v>
      </c>
      <c r="AR134" s="2">
        <v>0.35307227491555759</v>
      </c>
      <c r="AW134" s="55">
        <v>57.322300785212398</v>
      </c>
      <c r="AX134" s="2">
        <v>0.19746504964955455</v>
      </c>
      <c r="BR134" s="94">
        <v>58.598799999999997</v>
      </c>
      <c r="BS134" s="1">
        <v>0</v>
      </c>
      <c r="BT134" s="15"/>
      <c r="BX134" s="15"/>
      <c r="BY134" s="15"/>
      <c r="CA134" s="94">
        <v>55.474649999999997</v>
      </c>
      <c r="CB134" s="1">
        <v>0</v>
      </c>
      <c r="CC134" s="15"/>
      <c r="CG134" s="15"/>
      <c r="CH134" s="15"/>
      <c r="CJ134" s="15">
        <v>57.318100000000001</v>
      </c>
      <c r="CK134" s="15">
        <v>0.33825400890848811</v>
      </c>
    </row>
    <row r="135" spans="16:95" x14ac:dyDescent="0.25">
      <c r="P135" s="15"/>
      <c r="Q135" s="15"/>
      <c r="Y135" s="55">
        <v>65.389893652703904</v>
      </c>
      <c r="Z135" s="1">
        <v>0</v>
      </c>
      <c r="AH135" s="55">
        <v>66.823102938313497</v>
      </c>
      <c r="AI135" s="1">
        <v>0</v>
      </c>
      <c r="AJ135" s="1"/>
      <c r="AK135" s="1"/>
      <c r="AL135" s="1"/>
      <c r="AM135" s="1"/>
      <c r="AN135" s="1"/>
      <c r="AO135" s="1"/>
      <c r="AQ135" s="55">
        <v>48.824807295847798</v>
      </c>
      <c r="AR135" s="2">
        <v>0.34571660252148345</v>
      </c>
      <c r="AW135" s="55">
        <v>57.322300785212398</v>
      </c>
      <c r="AX135" s="2">
        <v>0.19041272644778476</v>
      </c>
      <c r="BR135" s="94">
        <v>58.598799999999997</v>
      </c>
      <c r="BS135" s="1">
        <v>0</v>
      </c>
      <c r="BT135" s="15"/>
      <c r="BX135" s="15"/>
      <c r="BY135" s="15"/>
      <c r="CA135" s="94">
        <v>56.09375</v>
      </c>
      <c r="CB135" s="1">
        <v>0</v>
      </c>
      <c r="CC135" s="15"/>
      <c r="CG135" s="15"/>
      <c r="CH135" s="15"/>
      <c r="CJ135" s="15">
        <v>57.318100000000001</v>
      </c>
      <c r="CK135" s="15">
        <v>0.32768357113009788</v>
      </c>
    </row>
    <row r="136" spans="16:95" x14ac:dyDescent="0.25">
      <c r="P136" s="15"/>
      <c r="Q136" s="15"/>
      <c r="Y136" s="55">
        <v>65.389893652703904</v>
      </c>
      <c r="Z136" s="1">
        <v>0</v>
      </c>
      <c r="AH136" s="55">
        <v>66.823102938313497</v>
      </c>
      <c r="AI136" s="1">
        <v>0</v>
      </c>
      <c r="AJ136" s="1"/>
      <c r="AK136" s="1"/>
      <c r="AL136" s="1"/>
      <c r="AM136" s="1"/>
      <c r="AN136" s="1"/>
      <c r="AO136" s="1"/>
      <c r="AQ136" s="55">
        <v>53.385910096147498</v>
      </c>
      <c r="AR136" s="2">
        <v>0.34571660252148345</v>
      </c>
      <c r="AW136" s="55">
        <v>59.644846526655897</v>
      </c>
      <c r="AX136" s="2">
        <v>0.19041272644778476</v>
      </c>
      <c r="BR136" s="94">
        <v>58.598799999999997</v>
      </c>
      <c r="BS136" s="1">
        <v>0</v>
      </c>
      <c r="BT136" s="15"/>
      <c r="BX136" s="15"/>
      <c r="BY136" s="15"/>
      <c r="CA136" s="94">
        <v>56.707299999999996</v>
      </c>
      <c r="CB136" s="1">
        <v>0</v>
      </c>
      <c r="CC136" s="15"/>
      <c r="CG136" s="15"/>
      <c r="CH136" s="15"/>
      <c r="CJ136" s="15">
        <v>62.756799999999998</v>
      </c>
      <c r="CK136" s="15">
        <v>0.32768357113009788</v>
      </c>
    </row>
    <row r="137" spans="16:95" x14ac:dyDescent="0.25">
      <c r="P137" s="15"/>
      <c r="Q137" s="15"/>
      <c r="Y137" s="55">
        <v>65.389893652703904</v>
      </c>
      <c r="Z137" s="1">
        <v>0</v>
      </c>
      <c r="AH137" s="55">
        <v>66.823102938313497</v>
      </c>
      <c r="AI137" s="1">
        <v>0</v>
      </c>
      <c r="AJ137" s="1"/>
      <c r="AK137" s="1"/>
      <c r="AL137" s="1"/>
      <c r="AM137" s="1"/>
      <c r="AN137" s="1"/>
      <c r="AO137" s="1"/>
      <c r="AQ137" s="55">
        <v>53.385910096147498</v>
      </c>
      <c r="AR137" s="2">
        <v>0.33836093012740931</v>
      </c>
      <c r="AW137" s="55">
        <v>59.644846526655897</v>
      </c>
      <c r="AX137" s="2">
        <v>0.18336040324601494</v>
      </c>
      <c r="BR137" s="94">
        <v>58.598799999999997</v>
      </c>
      <c r="BS137" s="1">
        <v>0</v>
      </c>
      <c r="BT137" s="15"/>
      <c r="BX137" s="15"/>
      <c r="BY137" s="15"/>
      <c r="CA137" s="94">
        <v>57.174900000000001</v>
      </c>
      <c r="CB137" s="1">
        <v>0</v>
      </c>
      <c r="CC137" s="15"/>
      <c r="CG137" s="15"/>
      <c r="CH137" s="15"/>
      <c r="CJ137" s="15">
        <v>62.756799999999998</v>
      </c>
      <c r="CK137" s="15">
        <v>0.25869755615534046</v>
      </c>
    </row>
    <row r="138" spans="16:95" x14ac:dyDescent="0.25">
      <c r="P138" s="15"/>
      <c r="Q138" s="15"/>
      <c r="Y138" s="55">
        <v>65.389893652703904</v>
      </c>
      <c r="Z138" s="1">
        <v>0</v>
      </c>
      <c r="AH138" s="55">
        <v>66.823102938313497</v>
      </c>
      <c r="AI138" s="1">
        <v>0</v>
      </c>
      <c r="AJ138" s="1"/>
      <c r="AK138" s="1"/>
      <c r="AL138" s="1"/>
      <c r="AM138" s="1"/>
      <c r="AN138" s="1"/>
      <c r="AO138" s="1"/>
      <c r="AQ138" s="55">
        <v>57.318054967716598</v>
      </c>
      <c r="AR138" s="2">
        <v>0.33836093012740931</v>
      </c>
      <c r="AW138" s="55">
        <v>61.727810046210998</v>
      </c>
      <c r="AX138" s="2">
        <v>0.18336040324601494</v>
      </c>
      <c r="BR138" s="94">
        <v>58.598799999999997</v>
      </c>
      <c r="BS138" s="1">
        <v>0</v>
      </c>
      <c r="BT138" s="15"/>
      <c r="BX138" s="15"/>
      <c r="BY138" s="15"/>
      <c r="CA138" s="94">
        <v>57.322299999999998</v>
      </c>
      <c r="CB138" s="1">
        <v>1</v>
      </c>
      <c r="CC138" s="15"/>
      <c r="CG138" s="15"/>
      <c r="CH138" s="15"/>
      <c r="CJ138" s="15">
        <v>65.389899999999997</v>
      </c>
      <c r="CK138" s="15">
        <v>0.25869755615534046</v>
      </c>
    </row>
    <row r="139" spans="16:95" x14ac:dyDescent="0.25">
      <c r="P139" s="15"/>
      <c r="Q139" s="15"/>
      <c r="Y139" s="55">
        <v>65.389893652703904</v>
      </c>
      <c r="Z139" s="1">
        <v>0</v>
      </c>
      <c r="AH139" s="55">
        <v>66.823102938313497</v>
      </c>
      <c r="AI139" s="1">
        <v>0</v>
      </c>
      <c r="AJ139" s="1"/>
      <c r="AK139" s="1"/>
      <c r="AL139" s="1"/>
      <c r="AM139" s="1"/>
      <c r="AN139" s="1"/>
      <c r="AO139" s="1"/>
      <c r="AQ139" s="55">
        <v>57.318054967716598</v>
      </c>
      <c r="AR139" s="2">
        <v>0.33067090898814999</v>
      </c>
      <c r="AW139" s="55">
        <v>61.727810046210998</v>
      </c>
      <c r="AX139" s="2">
        <v>0.17630808004424514</v>
      </c>
      <c r="BR139" s="94">
        <v>58.598799999999997</v>
      </c>
      <c r="BS139" s="1">
        <v>0</v>
      </c>
      <c r="BT139" s="15"/>
      <c r="BX139" s="15"/>
      <c r="BY139" s="15"/>
      <c r="CA139" s="94">
        <v>57.534500000000001</v>
      </c>
      <c r="CB139" s="1">
        <v>0</v>
      </c>
      <c r="CC139" s="15"/>
      <c r="CG139" s="15"/>
      <c r="CH139" s="15"/>
      <c r="CJ139" s="15"/>
      <c r="CK139" s="15"/>
    </row>
    <row r="140" spans="16:95" x14ac:dyDescent="0.25">
      <c r="P140" s="15"/>
      <c r="Q140" s="15"/>
      <c r="Y140" s="55">
        <v>65.389893652703904</v>
      </c>
      <c r="Z140" s="1">
        <v>0</v>
      </c>
      <c r="AH140" s="55">
        <v>66.823102938313497</v>
      </c>
      <c r="AI140" s="1">
        <v>0</v>
      </c>
      <c r="AJ140" s="1"/>
      <c r="AK140" s="1"/>
      <c r="AL140" s="1"/>
      <c r="AM140" s="1"/>
      <c r="AN140" s="1"/>
      <c r="AO140" s="1"/>
      <c r="AQ140" s="55">
        <v>59.250640990506</v>
      </c>
      <c r="AR140" s="2">
        <v>0.33067090898814999</v>
      </c>
      <c r="AW140" s="55">
        <v>62.294269076154301</v>
      </c>
      <c r="AX140" s="2">
        <v>0.17630808004424514</v>
      </c>
      <c r="BR140" s="94">
        <v>58.598799999999997</v>
      </c>
      <c r="BS140" s="1">
        <v>0</v>
      </c>
      <c r="BT140" s="15"/>
      <c r="BX140" s="15"/>
      <c r="BY140" s="15"/>
      <c r="CA140" s="94">
        <v>58.0535</v>
      </c>
      <c r="CB140" s="1">
        <v>0</v>
      </c>
      <c r="CC140" s="15"/>
      <c r="CG140" s="15"/>
      <c r="CH140" s="15"/>
      <c r="CJ140" s="15"/>
      <c r="CK140" s="15"/>
    </row>
    <row r="141" spans="16:95" x14ac:dyDescent="0.25">
      <c r="P141" s="15"/>
      <c r="Q141" s="15"/>
      <c r="Y141" s="55">
        <v>65.389893652703904</v>
      </c>
      <c r="Z141" s="1">
        <v>0</v>
      </c>
      <c r="AH141" s="55">
        <v>66.823102938313497</v>
      </c>
      <c r="AI141" s="1">
        <v>0</v>
      </c>
      <c r="AJ141" s="1"/>
      <c r="AK141" s="1"/>
      <c r="AL141" s="1"/>
      <c r="AM141" s="1"/>
      <c r="AN141" s="1"/>
      <c r="AO141" s="1"/>
      <c r="AQ141" s="55">
        <v>59.250640990506</v>
      </c>
      <c r="AR141" s="2">
        <v>0.32298088784889067</v>
      </c>
      <c r="AW141" s="55">
        <v>62.294269076154301</v>
      </c>
      <c r="AX141" s="2">
        <v>0.16925575684247532</v>
      </c>
      <c r="BR141" s="94">
        <v>62.154649999999997</v>
      </c>
      <c r="BS141" s="1">
        <v>0</v>
      </c>
      <c r="BT141" s="15"/>
      <c r="BX141" s="15"/>
      <c r="BY141" s="15"/>
      <c r="CA141" s="94">
        <v>58.0535</v>
      </c>
      <c r="CB141" s="1">
        <v>0</v>
      </c>
      <c r="CC141" s="15"/>
      <c r="CG141" s="15"/>
      <c r="CH141" s="15"/>
      <c r="CJ141" s="15"/>
      <c r="CK141" s="15"/>
    </row>
    <row r="142" spans="16:95" x14ac:dyDescent="0.25">
      <c r="P142" s="15"/>
      <c r="Q142" s="15"/>
      <c r="Y142" s="55">
        <v>65.389893652703904</v>
      </c>
      <c r="Z142" s="1">
        <v>0</v>
      </c>
      <c r="AH142" s="55">
        <v>66.823102938313497</v>
      </c>
      <c r="AI142" s="1">
        <v>0</v>
      </c>
      <c r="AJ142" s="1"/>
      <c r="AK142" s="1"/>
      <c r="AL142" s="1"/>
      <c r="AM142" s="1"/>
      <c r="AN142" s="1"/>
      <c r="AO142" s="1"/>
      <c r="AQ142" s="55">
        <v>62.645351445138097</v>
      </c>
      <c r="AR142" s="2">
        <v>0.32298088784889067</v>
      </c>
      <c r="AW142" s="55">
        <v>66.180818683889598</v>
      </c>
      <c r="AX142" s="2">
        <v>0.16925575684247532</v>
      </c>
      <c r="BR142" s="94">
        <v>62.756799999999998</v>
      </c>
      <c r="BS142" s="1">
        <v>1</v>
      </c>
      <c r="BT142" s="15"/>
      <c r="BX142" s="15"/>
      <c r="BY142" s="15"/>
      <c r="CA142" s="94">
        <v>58.680100000000003</v>
      </c>
      <c r="CB142" s="1">
        <v>0</v>
      </c>
      <c r="CC142" s="15"/>
      <c r="CG142" s="15"/>
      <c r="CH142" s="15"/>
      <c r="CJ142" s="15"/>
      <c r="CK142" s="15"/>
    </row>
    <row r="143" spans="16:95" x14ac:dyDescent="0.25">
      <c r="P143" s="15"/>
      <c r="Q143" s="15"/>
      <c r="Y143" s="55">
        <v>65.389893652703904</v>
      </c>
      <c r="Z143" s="1">
        <v>0</v>
      </c>
      <c r="AH143" s="55">
        <v>66.823102938313497</v>
      </c>
      <c r="AI143" s="1">
        <v>0</v>
      </c>
      <c r="AJ143" s="1"/>
      <c r="AK143" s="1"/>
      <c r="AL143" s="1"/>
      <c r="AM143" s="1"/>
      <c r="AN143" s="1"/>
      <c r="AO143" s="1"/>
      <c r="AQ143" s="55">
        <v>62.645351445138097</v>
      </c>
      <c r="AR143" s="2">
        <v>0.31529086670963136</v>
      </c>
      <c r="AW143" s="55">
        <v>66.180818683889598</v>
      </c>
      <c r="AX143" s="2">
        <v>0.16220343364070552</v>
      </c>
      <c r="BR143" s="94">
        <v>62.756799999999998</v>
      </c>
      <c r="BS143" s="1">
        <v>1</v>
      </c>
      <c r="BT143" s="15"/>
      <c r="BX143" s="15"/>
      <c r="BY143" s="15"/>
      <c r="CA143" s="94">
        <v>59.32235</v>
      </c>
      <c r="CB143" s="1">
        <v>0</v>
      </c>
      <c r="CC143" s="15"/>
      <c r="CG143" s="15"/>
      <c r="CH143" s="15"/>
      <c r="CJ143" s="15"/>
      <c r="CK143" s="15"/>
    </row>
    <row r="144" spans="16:95" x14ac:dyDescent="0.25">
      <c r="P144" s="15"/>
      <c r="Q144" s="15"/>
      <c r="Y144" s="55">
        <v>65.389893652703904</v>
      </c>
      <c r="Z144" s="1">
        <v>0</v>
      </c>
      <c r="AH144" s="55">
        <v>66.823102938313497</v>
      </c>
      <c r="AI144" s="1">
        <v>0</v>
      </c>
      <c r="AJ144" s="1"/>
      <c r="AK144" s="1"/>
      <c r="AL144" s="1"/>
      <c r="AM144" s="1"/>
      <c r="AN144" s="1"/>
      <c r="AO144" s="1"/>
      <c r="AQ144" s="55">
        <v>62.7567806388763</v>
      </c>
      <c r="AR144" s="2">
        <v>0.31529086670963136</v>
      </c>
      <c r="AW144" s="55">
        <v>66.823102938313497</v>
      </c>
      <c r="AX144" s="2">
        <v>0.16220343364070552</v>
      </c>
      <c r="BR144" s="94">
        <v>62.756799999999998</v>
      </c>
      <c r="BS144" s="1">
        <v>1</v>
      </c>
      <c r="BT144" s="15"/>
      <c r="BX144" s="15"/>
      <c r="BY144" s="15"/>
      <c r="CA144" s="94">
        <v>59.644799999999996</v>
      </c>
      <c r="CB144" s="1">
        <v>1</v>
      </c>
      <c r="CC144" s="15"/>
      <c r="CG144" s="15"/>
      <c r="CH144" s="15"/>
      <c r="CJ144" s="15"/>
      <c r="CK144" s="15"/>
    </row>
    <row r="145" spans="16:89" x14ac:dyDescent="0.25">
      <c r="P145" s="15"/>
      <c r="Q145" s="15"/>
      <c r="Y145" s="55">
        <v>65.389893652703904</v>
      </c>
      <c r="Z145" s="1">
        <v>0</v>
      </c>
      <c r="AH145" s="55">
        <v>66.823102938313497</v>
      </c>
      <c r="AI145" s="1">
        <v>0</v>
      </c>
      <c r="AJ145" s="1"/>
      <c r="AK145" s="1"/>
      <c r="AL145" s="1"/>
      <c r="AM145" s="1"/>
      <c r="AN145" s="1"/>
      <c r="AO145" s="1"/>
      <c r="AQ145" s="55">
        <v>62.7567806388763</v>
      </c>
      <c r="AR145" s="2">
        <v>0.30760084557037204</v>
      </c>
      <c r="AW145" s="55">
        <v>66.823102938313497</v>
      </c>
      <c r="AX145" s="2">
        <v>0.15515111043893573</v>
      </c>
      <c r="BR145" s="94">
        <v>62.756799999999998</v>
      </c>
      <c r="BS145" s="1">
        <v>1</v>
      </c>
      <c r="BT145" s="15"/>
      <c r="BX145" s="15"/>
      <c r="BY145" s="15"/>
      <c r="CA145" s="94">
        <v>60.632350000000002</v>
      </c>
      <c r="CB145" s="1">
        <v>0</v>
      </c>
      <c r="CC145" s="15"/>
      <c r="CG145" s="15"/>
      <c r="CH145" s="15"/>
      <c r="CJ145" s="15"/>
      <c r="CK145" s="15"/>
    </row>
    <row r="146" spans="16:89" x14ac:dyDescent="0.25">
      <c r="P146" s="15"/>
      <c r="Q146" s="15"/>
      <c r="Y146" s="55">
        <v>65.389893652703904</v>
      </c>
      <c r="Z146" s="1">
        <v>0</v>
      </c>
      <c r="AH146" s="55">
        <v>66.823102938313497</v>
      </c>
      <c r="AI146" s="1">
        <v>0</v>
      </c>
      <c r="AJ146" s="1"/>
      <c r="AK146" s="1"/>
      <c r="AL146" s="1"/>
      <c r="AM146" s="1"/>
      <c r="AN146" s="1"/>
      <c r="AO146" s="1"/>
      <c r="AQ146" s="55">
        <v>65.389893652703904</v>
      </c>
      <c r="AR146" s="2">
        <v>0.30760084557037204</v>
      </c>
      <c r="AW146" s="55"/>
      <c r="AX146" s="2"/>
      <c r="BR146" s="94">
        <v>65.389899999999997</v>
      </c>
      <c r="BS146" s="1">
        <v>0</v>
      </c>
      <c r="BT146" s="15"/>
      <c r="BX146" s="15"/>
      <c r="BY146" s="15"/>
      <c r="CA146" s="94">
        <v>61.249549999999999</v>
      </c>
      <c r="CB146" s="1">
        <v>0</v>
      </c>
      <c r="CC146" s="15"/>
      <c r="CG146" s="15"/>
      <c r="CH146" s="15"/>
      <c r="CJ146" s="15"/>
      <c r="CK146" s="15"/>
    </row>
    <row r="147" spans="16:89" x14ac:dyDescent="0.25">
      <c r="P147" s="15"/>
      <c r="Q147" s="15"/>
      <c r="Y147" s="55">
        <v>65.389893652703904</v>
      </c>
      <c r="Z147" s="1">
        <v>0</v>
      </c>
      <c r="AH147" s="55">
        <v>66.823102938313497</v>
      </c>
      <c r="AI147" s="1">
        <v>0</v>
      </c>
      <c r="AJ147" s="1"/>
      <c r="AK147" s="1"/>
      <c r="AL147" s="1"/>
      <c r="AM147" s="1"/>
      <c r="AN147" s="1"/>
      <c r="AO147" s="1"/>
      <c r="AQ147" s="55"/>
      <c r="AR147" s="2"/>
      <c r="BR147" s="94">
        <v>65.389899999999997</v>
      </c>
      <c r="BS147" s="1">
        <v>0</v>
      </c>
      <c r="BT147" s="15"/>
      <c r="BX147" s="15"/>
      <c r="BY147" s="15"/>
      <c r="CA147" s="94">
        <v>61.727800000000002</v>
      </c>
      <c r="CB147" s="1">
        <v>1</v>
      </c>
      <c r="CC147" s="15"/>
      <c r="CG147" s="15"/>
      <c r="CH147" s="15"/>
      <c r="CJ147" s="15"/>
      <c r="CK147" s="15"/>
    </row>
    <row r="148" spans="16:89" x14ac:dyDescent="0.25">
      <c r="P148" s="15"/>
      <c r="Q148" s="15"/>
      <c r="Y148" s="55">
        <v>65.389893652703904</v>
      </c>
      <c r="Z148" s="1">
        <v>0</v>
      </c>
      <c r="AH148" s="55">
        <v>66.823102938313497</v>
      </c>
      <c r="AI148" s="1">
        <v>0</v>
      </c>
      <c r="AJ148" s="1"/>
      <c r="AK148" s="1"/>
      <c r="AL148" s="1"/>
      <c r="AM148" s="1"/>
      <c r="AN148" s="1"/>
      <c r="AO148" s="1"/>
      <c r="BR148" s="94">
        <v>65.389899999999997</v>
      </c>
      <c r="BS148" s="1">
        <v>0</v>
      </c>
      <c r="BT148" s="15"/>
      <c r="BX148" s="15"/>
      <c r="BY148" s="15"/>
      <c r="CA148" s="94">
        <v>62.011049999999997</v>
      </c>
      <c r="CB148" s="1">
        <v>0</v>
      </c>
      <c r="CC148" s="15"/>
      <c r="CG148" s="15"/>
      <c r="CH148" s="15"/>
      <c r="CJ148" s="15"/>
      <c r="CK148" s="15"/>
    </row>
    <row r="149" spans="16:89" x14ac:dyDescent="0.25">
      <c r="P149" s="15"/>
      <c r="Q149" s="15"/>
      <c r="Y149" s="55">
        <v>65.389893652703904</v>
      </c>
      <c r="Z149" s="1">
        <v>0</v>
      </c>
      <c r="AH149" s="55">
        <v>66.823102938313497</v>
      </c>
      <c r="AI149" s="1">
        <v>0</v>
      </c>
      <c r="AJ149" s="1"/>
      <c r="AK149" s="1"/>
      <c r="AL149" s="1"/>
      <c r="AM149" s="1"/>
      <c r="AN149" s="1"/>
      <c r="AO149" s="1"/>
      <c r="BR149" s="94">
        <v>65.389899999999997</v>
      </c>
      <c r="BS149" s="1">
        <v>0</v>
      </c>
      <c r="BT149" s="15"/>
      <c r="BX149" s="15"/>
      <c r="BY149" s="15"/>
      <c r="CA149" s="94">
        <v>62.642800000000001</v>
      </c>
      <c r="CB149" s="1">
        <v>0</v>
      </c>
      <c r="CC149" s="15"/>
      <c r="CG149" s="15"/>
      <c r="CH149" s="15"/>
      <c r="CJ149" s="15"/>
      <c r="CK149" s="15"/>
    </row>
    <row r="150" spans="16:89" x14ac:dyDescent="0.25">
      <c r="P150" s="15"/>
      <c r="Q150" s="15"/>
      <c r="Y150" s="55">
        <v>65.389893652703904</v>
      </c>
      <c r="Z150" s="1">
        <v>0</v>
      </c>
      <c r="AH150" s="55">
        <v>66.823102938313497</v>
      </c>
      <c r="AI150" s="1">
        <v>0</v>
      </c>
      <c r="AJ150" s="1"/>
      <c r="AK150" s="1"/>
      <c r="AL150" s="1"/>
      <c r="AM150" s="1"/>
      <c r="AN150" s="1"/>
      <c r="AO150" s="1"/>
      <c r="BR150" s="94">
        <v>65.389899999999997</v>
      </c>
      <c r="BS150" s="1">
        <v>0</v>
      </c>
      <c r="BT150" s="15"/>
      <c r="BX150" s="15"/>
      <c r="BY150" s="15"/>
      <c r="CA150" s="94">
        <v>62.642800000000001</v>
      </c>
      <c r="CB150" s="1">
        <v>0</v>
      </c>
      <c r="CC150" s="15"/>
      <c r="CG150" s="15"/>
      <c r="CH150" s="15"/>
      <c r="CJ150" s="15"/>
      <c r="CK150" s="15"/>
    </row>
    <row r="151" spans="16:89" x14ac:dyDescent="0.25">
      <c r="P151" s="15"/>
      <c r="Q151" s="15"/>
      <c r="Y151" s="55">
        <v>65.389893652703904</v>
      </c>
      <c r="Z151" s="1">
        <v>0</v>
      </c>
      <c r="AH151" s="55">
        <v>66.823102938313497</v>
      </c>
      <c r="AI151" s="1">
        <v>0</v>
      </c>
      <c r="AJ151" s="1"/>
      <c r="AK151" s="1"/>
      <c r="AL151" s="1"/>
      <c r="AM151" s="1"/>
      <c r="AN151" s="1"/>
      <c r="AO151" s="1"/>
      <c r="BR151" s="94">
        <v>65.389899999999997</v>
      </c>
      <c r="BS151" s="1">
        <v>0</v>
      </c>
      <c r="BT151" s="15"/>
      <c r="BX151" s="15"/>
      <c r="BY151" s="15"/>
      <c r="CA151" s="94">
        <v>63.312449999999998</v>
      </c>
      <c r="CB151" s="1">
        <v>0</v>
      </c>
      <c r="CC151" s="15"/>
      <c r="CG151" s="15"/>
      <c r="CH151" s="15"/>
      <c r="CJ151" s="15"/>
      <c r="CK151" s="15"/>
    </row>
    <row r="152" spans="16:89" x14ac:dyDescent="0.25">
      <c r="P152" s="15"/>
      <c r="Q152" s="15"/>
      <c r="Y152" s="55">
        <v>65.389893652703904</v>
      </c>
      <c r="Z152" s="1">
        <v>0</v>
      </c>
      <c r="AH152" s="55">
        <v>66.823102938313497</v>
      </c>
      <c r="AI152" s="1">
        <v>0</v>
      </c>
      <c r="AJ152" s="1"/>
      <c r="AK152" s="1"/>
      <c r="AL152" s="1"/>
      <c r="AM152" s="1"/>
      <c r="AN152" s="1"/>
      <c r="AO152" s="1"/>
      <c r="BR152" s="94">
        <v>65.389899999999997</v>
      </c>
      <c r="BS152" s="1">
        <v>0</v>
      </c>
      <c r="BT152" s="15"/>
      <c r="BX152" s="15"/>
      <c r="BY152" s="15"/>
      <c r="CA152" s="94">
        <v>63.91095</v>
      </c>
      <c r="CB152" s="1">
        <v>0</v>
      </c>
      <c r="CC152" s="15"/>
      <c r="CG152" s="15"/>
      <c r="CH152" s="15"/>
      <c r="CJ152" s="15"/>
      <c r="CK152" s="15"/>
    </row>
    <row r="153" spans="16:89" x14ac:dyDescent="0.25">
      <c r="P153" s="15"/>
      <c r="Q153" s="15"/>
      <c r="Y153" s="55">
        <v>65.389893652703904</v>
      </c>
      <c r="Z153" s="1">
        <v>0</v>
      </c>
      <c r="AH153" s="55">
        <v>66.823102938313497</v>
      </c>
      <c r="AI153" s="1">
        <v>0</v>
      </c>
      <c r="AJ153" s="1"/>
      <c r="AK153" s="1"/>
      <c r="AL153" s="1"/>
      <c r="AM153" s="1"/>
      <c r="AN153" s="1"/>
      <c r="AO153" s="1"/>
      <c r="BR153" s="94">
        <v>65.389899999999997</v>
      </c>
      <c r="BS153" s="1">
        <v>0</v>
      </c>
      <c r="BT153" s="15"/>
      <c r="BX153" s="15"/>
      <c r="BY153" s="15"/>
      <c r="CA153" s="94">
        <v>64.531350000000003</v>
      </c>
      <c r="CB153" s="1">
        <v>0</v>
      </c>
      <c r="CC153" s="15"/>
      <c r="CG153" s="15"/>
      <c r="CH153" s="15"/>
      <c r="CJ153" s="15"/>
      <c r="CK153" s="15"/>
    </row>
    <row r="154" spans="16:89" x14ac:dyDescent="0.25">
      <c r="P154" s="15"/>
      <c r="Q154" s="15"/>
      <c r="Y154" s="55">
        <v>65.389893652703904</v>
      </c>
      <c r="Z154" s="1">
        <v>0</v>
      </c>
      <c r="AH154" s="55">
        <v>66.823102938313497</v>
      </c>
      <c r="AI154" s="1">
        <v>0</v>
      </c>
      <c r="AJ154" s="1"/>
      <c r="AK154" s="1"/>
      <c r="AL154" s="1"/>
      <c r="AM154" s="1"/>
      <c r="AN154" s="1"/>
      <c r="AO154" s="1"/>
      <c r="BR154" s="94">
        <v>65.389899999999997</v>
      </c>
      <c r="BS154" s="1">
        <v>0</v>
      </c>
      <c r="BT154" s="15"/>
      <c r="BX154" s="15"/>
      <c r="BY154" s="15"/>
      <c r="CA154" s="94">
        <v>65.195499999999996</v>
      </c>
      <c r="CB154" s="1">
        <v>0</v>
      </c>
      <c r="CC154" s="15"/>
      <c r="CG154" s="15"/>
      <c r="CH154" s="15"/>
      <c r="CJ154" s="15"/>
      <c r="CK154" s="15"/>
    </row>
    <row r="155" spans="16:89" x14ac:dyDescent="0.25">
      <c r="P155" s="15"/>
      <c r="Q155" s="15"/>
      <c r="Y155" s="55">
        <v>65.389893652703904</v>
      </c>
      <c r="Z155" s="1">
        <v>0</v>
      </c>
      <c r="AH155" s="55">
        <v>66.823102938313497</v>
      </c>
      <c r="AI155" s="1">
        <v>0</v>
      </c>
      <c r="AJ155" s="1"/>
      <c r="AK155" s="1"/>
      <c r="AL155" s="1"/>
      <c r="AM155" s="1"/>
      <c r="AN155" s="1"/>
      <c r="AO155" s="1"/>
      <c r="BR155" s="94">
        <v>65.389899999999997</v>
      </c>
      <c r="BS155" s="1">
        <v>0</v>
      </c>
      <c r="BT155" s="15"/>
      <c r="BX155" s="15"/>
      <c r="BY155" s="15"/>
      <c r="CA155" s="94">
        <v>66.501949999999994</v>
      </c>
      <c r="CB155" s="1">
        <v>0</v>
      </c>
      <c r="CC155" s="15"/>
      <c r="CG155" s="15"/>
      <c r="CH155" s="15"/>
      <c r="CJ155" s="15"/>
      <c r="CK155" s="15"/>
    </row>
    <row r="156" spans="16:89" x14ac:dyDescent="0.25">
      <c r="P156" s="15"/>
      <c r="Q156" s="15"/>
      <c r="Y156" s="55">
        <v>65.389893652703904</v>
      </c>
      <c r="Z156" s="1">
        <v>0</v>
      </c>
      <c r="AH156" s="55">
        <v>66.823102938313497</v>
      </c>
      <c r="AI156" s="1">
        <v>0</v>
      </c>
      <c r="AJ156" s="1"/>
      <c r="AK156" s="1"/>
      <c r="AL156" s="1"/>
      <c r="AM156" s="1"/>
      <c r="AN156" s="1"/>
      <c r="AO156" s="1"/>
      <c r="BR156" s="94">
        <v>65.389899999999997</v>
      </c>
      <c r="BS156" s="1">
        <v>0</v>
      </c>
      <c r="BT156" s="15"/>
      <c r="BX156" s="15"/>
      <c r="BY156" s="15"/>
      <c r="CA156" s="94">
        <v>66.823099999999997</v>
      </c>
      <c r="CB156" s="1">
        <v>0</v>
      </c>
      <c r="CC156" s="15"/>
      <c r="CG156" s="15"/>
      <c r="CH156" s="15"/>
      <c r="CJ156" s="15"/>
      <c r="CK156" s="15"/>
    </row>
    <row r="157" spans="16:89" x14ac:dyDescent="0.25">
      <c r="P157" s="15"/>
      <c r="Q157" s="15"/>
      <c r="Y157" s="55">
        <v>65.389893652703904</v>
      </c>
      <c r="Z157" s="1">
        <v>0</v>
      </c>
      <c r="AH157" s="55">
        <v>66.823102938313497</v>
      </c>
      <c r="AI157" s="1">
        <v>1</v>
      </c>
      <c r="AJ157" s="1"/>
      <c r="AK157" s="1"/>
      <c r="AL157" s="1"/>
      <c r="AM157" s="1"/>
      <c r="AN157" s="1"/>
      <c r="AO157" s="1"/>
      <c r="BR157" s="94">
        <v>65.389899999999997</v>
      </c>
      <c r="BS157" s="1">
        <v>0</v>
      </c>
      <c r="BT157" s="15"/>
      <c r="BX157" s="15"/>
      <c r="BY157" s="15"/>
      <c r="CA157" s="94">
        <v>66.823099999999997</v>
      </c>
      <c r="CB157" s="1">
        <v>0</v>
      </c>
      <c r="CC157" s="15"/>
      <c r="CG157" s="15"/>
      <c r="CH157" s="15"/>
      <c r="CJ157" s="15"/>
      <c r="CK157" s="15"/>
    </row>
    <row r="158" spans="16:89" x14ac:dyDescent="0.25">
      <c r="P158" s="15"/>
      <c r="Q158" s="15"/>
      <c r="Y158" s="55">
        <v>65.389893652703904</v>
      </c>
      <c r="Z158" s="1">
        <v>0</v>
      </c>
      <c r="AH158" s="55"/>
      <c r="AI158" s="1"/>
      <c r="AJ158" s="1"/>
      <c r="AK158" s="1"/>
      <c r="AL158" s="1"/>
      <c r="AM158" s="1"/>
      <c r="AN158" s="1"/>
      <c r="AO158" s="1"/>
      <c r="BR158" s="94">
        <v>65.389899999999997</v>
      </c>
      <c r="BS158" s="1">
        <v>0</v>
      </c>
      <c r="BT158" s="15"/>
      <c r="BX158" s="15"/>
      <c r="BY158" s="15"/>
      <c r="CC158" s="15"/>
      <c r="CG158" s="15"/>
      <c r="CH158" s="15"/>
      <c r="CJ158" s="15"/>
      <c r="CK158" s="15"/>
    </row>
    <row r="159" spans="16:89" x14ac:dyDescent="0.25">
      <c r="P159" s="15"/>
      <c r="Q159" s="15"/>
      <c r="Y159" s="55">
        <v>65.389893652703904</v>
      </c>
      <c r="Z159" s="1">
        <v>0</v>
      </c>
      <c r="AH159" s="55"/>
      <c r="AI159" s="1"/>
      <c r="AJ159" s="1"/>
      <c r="AK159" s="1"/>
      <c r="AL159" s="1"/>
      <c r="AM159" s="1"/>
      <c r="AN159" s="1"/>
      <c r="AO159" s="1"/>
      <c r="BR159" s="94">
        <v>65.389899999999997</v>
      </c>
      <c r="BS159" s="1">
        <v>0</v>
      </c>
      <c r="BT159" s="15"/>
      <c r="BX159" s="15"/>
      <c r="BY159" s="15"/>
      <c r="CA159" t="s">
        <v>755</v>
      </c>
      <c r="CB159" s="1" t="s">
        <v>788</v>
      </c>
      <c r="CC159" s="15" t="s">
        <v>714</v>
      </c>
      <c r="CD159" s="1" t="s">
        <v>713</v>
      </c>
      <c r="CG159" s="15"/>
      <c r="CH159" s="15"/>
      <c r="CJ159" s="15"/>
      <c r="CK159" s="15"/>
    </row>
    <row r="160" spans="16:89" x14ac:dyDescent="0.25">
      <c r="P160" s="15"/>
      <c r="Q160" s="15"/>
      <c r="Y160" s="55">
        <v>65.389893652703904</v>
      </c>
      <c r="Z160" s="1">
        <v>0</v>
      </c>
      <c r="AH160" s="55"/>
      <c r="AI160" s="1"/>
      <c r="AJ160" s="1"/>
      <c r="AK160" s="1"/>
      <c r="AL160" s="1"/>
      <c r="AM160" s="1"/>
      <c r="AN160" s="1"/>
      <c r="AO160" s="1"/>
      <c r="BR160" s="94">
        <v>65.389899999999997</v>
      </c>
      <c r="BS160" s="1">
        <v>0</v>
      </c>
      <c r="BT160" s="15"/>
      <c r="BX160" s="15"/>
      <c r="BY160" s="15"/>
      <c r="CA160">
        <v>1</v>
      </c>
      <c r="CB160" s="1" t="s">
        <v>781</v>
      </c>
      <c r="CC160" s="15">
        <v>0.91600000000000004</v>
      </c>
      <c r="CD160" s="1">
        <v>1</v>
      </c>
      <c r="CG160" s="15"/>
      <c r="CH160" s="15"/>
      <c r="CJ160" s="15"/>
      <c r="CK160" s="15"/>
    </row>
    <row r="161" spans="16:89" x14ac:dyDescent="0.25">
      <c r="P161" s="15"/>
      <c r="Q161" s="15"/>
      <c r="BR161"/>
      <c r="BT161" s="15"/>
      <c r="BX161" s="15"/>
      <c r="BY161" s="15"/>
      <c r="CA161">
        <v>2</v>
      </c>
      <c r="CB161" s="1" t="s">
        <v>781</v>
      </c>
      <c r="CC161" s="15">
        <v>0.91600000000000004</v>
      </c>
      <c r="CD161" s="1">
        <v>1</v>
      </c>
      <c r="CG161" s="15"/>
      <c r="CH161" s="15"/>
      <c r="CJ161" s="15"/>
      <c r="CK161" s="15"/>
    </row>
    <row r="162" spans="16:89" x14ac:dyDescent="0.25">
      <c r="P162" s="15"/>
      <c r="Q162" s="15"/>
      <c r="BR162"/>
      <c r="BT162" s="15"/>
      <c r="BX162" s="15"/>
      <c r="BY162" s="15"/>
      <c r="CA162">
        <v>3</v>
      </c>
      <c r="CB162" s="1" t="s">
        <v>781</v>
      </c>
      <c r="CC162" s="15">
        <v>0.91600000000000004</v>
      </c>
      <c r="CD162" s="1">
        <v>1</v>
      </c>
      <c r="CG162" s="15"/>
      <c r="CH162" s="15"/>
      <c r="CJ162" s="15"/>
      <c r="CK162" s="15"/>
    </row>
    <row r="163" spans="16:89" x14ac:dyDescent="0.25">
      <c r="P163" s="15"/>
      <c r="Q163" s="15"/>
      <c r="BR163"/>
      <c r="BT163" s="15"/>
      <c r="BX163" s="15"/>
      <c r="BY163" s="15"/>
      <c r="CA163">
        <v>4</v>
      </c>
      <c r="CB163" s="1" t="s">
        <v>781</v>
      </c>
      <c r="CC163" s="15">
        <v>0.91600000000000004</v>
      </c>
      <c r="CD163" s="1">
        <v>1</v>
      </c>
      <c r="CG163" s="15"/>
      <c r="CH163" s="15"/>
      <c r="CJ163" s="15"/>
      <c r="CK163" s="15"/>
    </row>
    <row r="164" spans="16:89" x14ac:dyDescent="0.25">
      <c r="P164" s="15"/>
      <c r="Q164" s="15"/>
      <c r="BR164"/>
      <c r="BT164" s="15"/>
      <c r="BX164" s="15"/>
      <c r="BY164" s="15"/>
      <c r="CA164">
        <v>5</v>
      </c>
      <c r="CB164" s="1" t="s">
        <v>781</v>
      </c>
      <c r="CC164" s="15">
        <v>0.91600000000000004</v>
      </c>
      <c r="CD164" s="1">
        <v>1</v>
      </c>
      <c r="CG164" s="15"/>
      <c r="CH164" s="15"/>
      <c r="CJ164" s="15"/>
      <c r="CK164" s="15"/>
    </row>
    <row r="165" spans="16:89" x14ac:dyDescent="0.25">
      <c r="P165" s="15"/>
      <c r="Q165" s="15"/>
      <c r="BR165"/>
      <c r="BT165" s="15"/>
      <c r="BX165" s="15"/>
      <c r="BY165" s="15"/>
      <c r="CA165">
        <v>6</v>
      </c>
      <c r="CB165" s="1" t="s">
        <v>781</v>
      </c>
      <c r="CC165" s="15">
        <v>0.91600000000000004</v>
      </c>
      <c r="CD165" s="1">
        <v>1</v>
      </c>
      <c r="CG165" s="15"/>
      <c r="CH165" s="15"/>
      <c r="CJ165" s="15"/>
      <c r="CK165" s="15"/>
    </row>
    <row r="166" spans="16:89" x14ac:dyDescent="0.25">
      <c r="P166" s="15"/>
      <c r="Q166" s="15"/>
      <c r="BR166"/>
      <c r="BT166" s="15"/>
      <c r="BX166" s="15"/>
      <c r="BY166" s="15"/>
      <c r="CA166">
        <v>7</v>
      </c>
      <c r="CB166" s="1" t="s">
        <v>781</v>
      </c>
      <c r="CC166" s="15">
        <v>0.91600000000000004</v>
      </c>
      <c r="CD166" s="1">
        <v>1</v>
      </c>
      <c r="CG166" s="15"/>
      <c r="CH166" s="15"/>
      <c r="CJ166" s="15"/>
      <c r="CK166" s="15"/>
    </row>
    <row r="167" spans="16:89" x14ac:dyDescent="0.25">
      <c r="P167" s="15"/>
      <c r="Q167" s="15"/>
      <c r="BR167"/>
      <c r="BT167" s="15"/>
      <c r="BX167" s="15"/>
      <c r="BY167" s="15"/>
      <c r="CA167">
        <v>8</v>
      </c>
      <c r="CB167" s="1" t="s">
        <v>781</v>
      </c>
      <c r="CC167" s="15">
        <v>1.1167</v>
      </c>
      <c r="CD167" s="1">
        <v>1</v>
      </c>
      <c r="CG167" s="15"/>
      <c r="CH167" s="15"/>
      <c r="CJ167" s="15"/>
      <c r="CK167" s="15"/>
    </row>
    <row r="168" spans="16:89" x14ac:dyDescent="0.25">
      <c r="P168" s="15"/>
      <c r="Q168" s="15"/>
      <c r="BR168"/>
      <c r="BT168" s="15"/>
      <c r="BX168" s="15"/>
      <c r="BY168" s="15"/>
      <c r="CA168">
        <v>9</v>
      </c>
      <c r="CB168" s="1" t="s">
        <v>781</v>
      </c>
      <c r="CC168" s="15">
        <v>1.1167</v>
      </c>
      <c r="CD168" s="1">
        <v>1</v>
      </c>
      <c r="CG168" s="15"/>
      <c r="CH168" s="15"/>
      <c r="CJ168" s="15"/>
      <c r="CK168" s="15"/>
    </row>
    <row r="169" spans="16:89" x14ac:dyDescent="0.25">
      <c r="P169" s="15"/>
      <c r="Q169" s="15"/>
      <c r="BR169"/>
      <c r="BT169" s="15"/>
      <c r="BX169" s="15"/>
      <c r="BY169" s="15"/>
      <c r="CA169">
        <v>10</v>
      </c>
      <c r="CB169" s="1" t="s">
        <v>781</v>
      </c>
      <c r="CC169" s="15">
        <v>1.1167</v>
      </c>
      <c r="CD169" s="1">
        <v>1</v>
      </c>
      <c r="CG169" s="15"/>
      <c r="CH169" s="15"/>
      <c r="CJ169" s="15"/>
      <c r="CK169" s="15"/>
    </row>
    <row r="170" spans="16:89" x14ac:dyDescent="0.25">
      <c r="P170" s="15"/>
      <c r="Q170" s="15"/>
      <c r="BR170"/>
      <c r="BT170" s="15"/>
      <c r="BX170" s="15"/>
      <c r="BY170" s="15"/>
      <c r="CA170">
        <v>11</v>
      </c>
      <c r="CB170" s="1" t="s">
        <v>781</v>
      </c>
      <c r="CC170" s="15">
        <v>1.1167</v>
      </c>
      <c r="CD170" s="1">
        <v>1</v>
      </c>
      <c r="CG170" s="15"/>
      <c r="CH170" s="15"/>
      <c r="CJ170" s="15"/>
      <c r="CK170" s="15"/>
    </row>
    <row r="171" spans="16:89" x14ac:dyDescent="0.25">
      <c r="P171" s="15"/>
      <c r="Q171" s="15"/>
      <c r="BR171"/>
      <c r="BT171" s="15"/>
      <c r="BX171" s="15"/>
      <c r="BY171" s="15"/>
      <c r="CA171">
        <v>12</v>
      </c>
      <c r="CB171" s="1" t="s">
        <v>781</v>
      </c>
      <c r="CC171" s="15">
        <v>1.585</v>
      </c>
      <c r="CD171" s="1">
        <v>1</v>
      </c>
      <c r="CG171" s="15"/>
      <c r="CH171" s="15"/>
      <c r="CJ171" s="15"/>
      <c r="CK171" s="15"/>
    </row>
    <row r="172" spans="16:89" x14ac:dyDescent="0.25">
      <c r="P172" s="15"/>
      <c r="Q172" s="15"/>
      <c r="BR172"/>
      <c r="CA172">
        <v>13</v>
      </c>
      <c r="CB172" s="1" t="s">
        <v>781</v>
      </c>
      <c r="CC172">
        <v>1.585</v>
      </c>
      <c r="CD172" s="1">
        <v>1</v>
      </c>
      <c r="CJ172" s="15"/>
      <c r="CK172" s="15"/>
    </row>
    <row r="173" spans="16:89" x14ac:dyDescent="0.25">
      <c r="P173" s="15"/>
      <c r="Q173" s="15"/>
      <c r="BR173"/>
      <c r="CA173">
        <v>14</v>
      </c>
      <c r="CB173" s="1" t="s">
        <v>781</v>
      </c>
      <c r="CC173">
        <v>1.585</v>
      </c>
      <c r="CD173" s="1">
        <v>1</v>
      </c>
      <c r="CJ173" s="15"/>
      <c r="CK173" s="15"/>
    </row>
    <row r="174" spans="16:89" x14ac:dyDescent="0.25">
      <c r="P174" s="15"/>
      <c r="Q174" s="15"/>
      <c r="BR174"/>
      <c r="CA174">
        <v>15</v>
      </c>
      <c r="CB174" s="1" t="s">
        <v>781</v>
      </c>
      <c r="CC174">
        <v>1.8080499999999999</v>
      </c>
      <c r="CD174" s="1">
        <v>0</v>
      </c>
      <c r="CJ174" s="15"/>
      <c r="CK174" s="15"/>
    </row>
    <row r="175" spans="16:89" x14ac:dyDescent="0.25">
      <c r="P175" s="15"/>
      <c r="Q175" s="15"/>
      <c r="BR175"/>
      <c r="CA175">
        <v>16</v>
      </c>
      <c r="CB175" s="1" t="s">
        <v>781</v>
      </c>
      <c r="CC175">
        <v>2.0310999999999999</v>
      </c>
      <c r="CD175" s="1">
        <v>1</v>
      </c>
      <c r="CJ175" s="15"/>
      <c r="CK175" s="15"/>
    </row>
    <row r="176" spans="16:89" x14ac:dyDescent="0.25">
      <c r="P176" s="15"/>
      <c r="Q176" s="15"/>
      <c r="BR176"/>
      <c r="CA176">
        <v>17</v>
      </c>
      <c r="CB176" s="1" t="s">
        <v>781</v>
      </c>
      <c r="CC176">
        <v>2.0310999999999999</v>
      </c>
      <c r="CD176" s="1">
        <v>1</v>
      </c>
      <c r="CJ176" s="15"/>
      <c r="CK176" s="15"/>
    </row>
    <row r="177" spans="16:89" x14ac:dyDescent="0.25">
      <c r="P177" s="15"/>
      <c r="Q177" s="15"/>
      <c r="BR177"/>
      <c r="CA177">
        <v>18</v>
      </c>
      <c r="CB177" s="1" t="s">
        <v>781</v>
      </c>
      <c r="CC177">
        <v>2.0310999999999999</v>
      </c>
      <c r="CD177" s="1">
        <v>1</v>
      </c>
      <c r="CJ177" s="15"/>
      <c r="CK177" s="15"/>
    </row>
    <row r="178" spans="16:89" x14ac:dyDescent="0.25">
      <c r="P178" s="15"/>
      <c r="Q178" s="15"/>
      <c r="BR178"/>
      <c r="CA178">
        <v>19</v>
      </c>
      <c r="CB178" s="1" t="s">
        <v>781</v>
      </c>
      <c r="CC178">
        <v>2.4213</v>
      </c>
      <c r="CD178" s="1">
        <v>1</v>
      </c>
      <c r="CJ178" s="15"/>
      <c r="CK178" s="15"/>
    </row>
    <row r="179" spans="16:89" x14ac:dyDescent="0.25">
      <c r="P179" s="15"/>
      <c r="Q179" s="15"/>
      <c r="BR179"/>
      <c r="CA179">
        <v>20</v>
      </c>
      <c r="CB179" s="1" t="s">
        <v>781</v>
      </c>
      <c r="CC179">
        <v>2.4213</v>
      </c>
      <c r="CD179" s="1">
        <v>1</v>
      </c>
      <c r="CJ179" s="15"/>
      <c r="CK179" s="15"/>
    </row>
    <row r="180" spans="16:89" x14ac:dyDescent="0.25">
      <c r="P180" s="15"/>
      <c r="Q180" s="15"/>
      <c r="BR180"/>
      <c r="CA180">
        <v>21</v>
      </c>
      <c r="CB180" s="1" t="s">
        <v>781</v>
      </c>
      <c r="CC180">
        <v>2.4213</v>
      </c>
      <c r="CD180" s="1">
        <v>1</v>
      </c>
      <c r="CJ180" s="15"/>
      <c r="CK180" s="15"/>
    </row>
    <row r="181" spans="16:89" x14ac:dyDescent="0.25">
      <c r="P181" s="15"/>
      <c r="Q181" s="15"/>
      <c r="BR181"/>
      <c r="CA181">
        <v>22</v>
      </c>
      <c r="CB181" s="1" t="s">
        <v>781</v>
      </c>
      <c r="CC181">
        <v>2.4213</v>
      </c>
      <c r="CD181" s="1">
        <v>1</v>
      </c>
      <c r="CJ181" s="15"/>
      <c r="CK181" s="15"/>
    </row>
    <row r="182" spans="16:89" x14ac:dyDescent="0.25">
      <c r="P182" s="15"/>
      <c r="Q182" s="15"/>
      <c r="BR182"/>
      <c r="CA182">
        <v>23</v>
      </c>
      <c r="CB182" s="1" t="s">
        <v>781</v>
      </c>
      <c r="CC182">
        <v>2.8027000000000002</v>
      </c>
      <c r="CD182" s="1">
        <v>1</v>
      </c>
      <c r="CJ182" s="15"/>
      <c r="CK182" s="15"/>
    </row>
    <row r="183" spans="16:89" x14ac:dyDescent="0.25">
      <c r="P183" s="15"/>
      <c r="Q183" s="15"/>
      <c r="BR183"/>
      <c r="CA183">
        <v>24</v>
      </c>
      <c r="CB183" s="1" t="s">
        <v>781</v>
      </c>
      <c r="CC183">
        <v>2.8027000000000002</v>
      </c>
      <c r="CD183" s="1">
        <v>1</v>
      </c>
      <c r="CJ183" s="15"/>
      <c r="CK183" s="15"/>
    </row>
    <row r="184" spans="16:89" x14ac:dyDescent="0.25">
      <c r="P184" s="15"/>
      <c r="Q184" s="15"/>
      <c r="CA184">
        <v>25</v>
      </c>
      <c r="CB184" s="1" t="s">
        <v>781</v>
      </c>
      <c r="CC184">
        <v>2.8027000000000002</v>
      </c>
      <c r="CD184" s="1">
        <v>1</v>
      </c>
      <c r="CJ184" s="15"/>
      <c r="CK184" s="15"/>
    </row>
    <row r="185" spans="16:89" x14ac:dyDescent="0.25">
      <c r="P185" s="15"/>
      <c r="Q185" s="15"/>
      <c r="CA185">
        <v>26</v>
      </c>
      <c r="CB185" s="1" t="s">
        <v>781</v>
      </c>
      <c r="CC185">
        <v>2.8027000000000002</v>
      </c>
      <c r="CD185" s="1">
        <v>1</v>
      </c>
      <c r="CJ185" s="15"/>
      <c r="CK185" s="15"/>
    </row>
    <row r="186" spans="16:89" x14ac:dyDescent="0.25">
      <c r="P186" s="15"/>
      <c r="Q186" s="15"/>
      <c r="CA186">
        <v>27</v>
      </c>
      <c r="CB186" s="1" t="s">
        <v>781</v>
      </c>
      <c r="CC186">
        <v>3.3647</v>
      </c>
      <c r="CD186" s="1">
        <v>1</v>
      </c>
      <c r="CJ186" s="15"/>
      <c r="CK186" s="15"/>
    </row>
    <row r="187" spans="16:89" x14ac:dyDescent="0.25">
      <c r="P187" s="15"/>
      <c r="Q187" s="15"/>
      <c r="CA187">
        <v>28</v>
      </c>
      <c r="CB187" s="1" t="s">
        <v>781</v>
      </c>
      <c r="CC187">
        <v>3.3647</v>
      </c>
      <c r="CD187" s="1">
        <v>1</v>
      </c>
      <c r="CJ187" s="15"/>
      <c r="CK187" s="15"/>
    </row>
    <row r="188" spans="16:89" x14ac:dyDescent="0.25">
      <c r="P188" s="15"/>
      <c r="Q188" s="15"/>
      <c r="CA188">
        <v>29</v>
      </c>
      <c r="CB188" s="1" t="s">
        <v>781</v>
      </c>
      <c r="CC188">
        <v>3.6858499999999998</v>
      </c>
      <c r="CD188" s="1">
        <v>0</v>
      </c>
      <c r="CJ188" s="15"/>
      <c r="CK188" s="15"/>
    </row>
    <row r="189" spans="16:89" x14ac:dyDescent="0.25">
      <c r="P189" s="15"/>
      <c r="Q189" s="15"/>
      <c r="CA189">
        <v>30</v>
      </c>
      <c r="CB189" s="1" t="s">
        <v>781</v>
      </c>
      <c r="CC189">
        <v>4.0069999999999997</v>
      </c>
      <c r="CD189" s="1">
        <v>1</v>
      </c>
      <c r="CJ189" s="15"/>
      <c r="CK189" s="15"/>
    </row>
    <row r="190" spans="16:89" x14ac:dyDescent="0.25">
      <c r="P190" s="15"/>
      <c r="Q190" s="15"/>
      <c r="CA190">
        <v>31</v>
      </c>
      <c r="CB190" s="1" t="s">
        <v>781</v>
      </c>
      <c r="CC190">
        <v>4.0069999999999997</v>
      </c>
      <c r="CD190" s="1">
        <v>1</v>
      </c>
      <c r="CJ190" s="15"/>
      <c r="CK190" s="15"/>
    </row>
    <row r="191" spans="16:89" x14ac:dyDescent="0.25">
      <c r="P191" s="15"/>
      <c r="Q191" s="15"/>
      <c r="CA191">
        <v>32</v>
      </c>
      <c r="CB191" s="1" t="s">
        <v>781</v>
      </c>
      <c r="CC191">
        <v>4.4084000000000003</v>
      </c>
      <c r="CD191" s="1">
        <v>1</v>
      </c>
      <c r="CJ191" s="15"/>
      <c r="CK191" s="15"/>
    </row>
    <row r="192" spans="16:89" x14ac:dyDescent="0.25">
      <c r="P192" s="15"/>
      <c r="Q192" s="15"/>
      <c r="CA192">
        <v>33</v>
      </c>
      <c r="CB192" s="1" t="s">
        <v>781</v>
      </c>
      <c r="CC192">
        <v>4.4084000000000003</v>
      </c>
      <c r="CD192" s="1">
        <v>1</v>
      </c>
      <c r="CJ192" s="15"/>
      <c r="CK192" s="15"/>
    </row>
    <row r="193" spans="16:89" x14ac:dyDescent="0.25">
      <c r="P193" s="15"/>
      <c r="Q193" s="15"/>
      <c r="CA193">
        <v>34</v>
      </c>
      <c r="CB193" s="1" t="s">
        <v>781</v>
      </c>
      <c r="CC193">
        <v>4.4084000000000003</v>
      </c>
      <c r="CD193" s="1">
        <v>1</v>
      </c>
      <c r="CJ193" s="15"/>
      <c r="CK193" s="15"/>
    </row>
    <row r="194" spans="16:89" x14ac:dyDescent="0.25">
      <c r="P194" s="15"/>
      <c r="Q194" s="15"/>
      <c r="CA194">
        <v>35</v>
      </c>
      <c r="CB194" s="1" t="s">
        <v>781</v>
      </c>
      <c r="CC194">
        <v>4.9703999999999997</v>
      </c>
      <c r="CD194" s="1">
        <v>1</v>
      </c>
      <c r="CJ194" s="15"/>
      <c r="CK194" s="15"/>
    </row>
    <row r="195" spans="16:89" x14ac:dyDescent="0.25">
      <c r="P195" s="15"/>
      <c r="Q195" s="15"/>
      <c r="CA195">
        <v>36</v>
      </c>
      <c r="CB195" s="1" t="s">
        <v>781</v>
      </c>
      <c r="CC195">
        <v>4.9703999999999997</v>
      </c>
      <c r="CD195" s="1">
        <v>1</v>
      </c>
      <c r="CJ195" s="15"/>
      <c r="CK195" s="15"/>
    </row>
    <row r="196" spans="16:89" x14ac:dyDescent="0.25">
      <c r="P196" s="15"/>
      <c r="Q196" s="15"/>
      <c r="CA196">
        <v>37</v>
      </c>
      <c r="CB196" s="1" t="s">
        <v>781</v>
      </c>
      <c r="CC196">
        <v>5.5324</v>
      </c>
      <c r="CD196" s="1">
        <v>1</v>
      </c>
      <c r="CJ196" s="15"/>
      <c r="CK196" s="15"/>
    </row>
    <row r="197" spans="16:89" x14ac:dyDescent="0.25">
      <c r="P197" s="15"/>
      <c r="Q197" s="15"/>
      <c r="CA197">
        <v>38</v>
      </c>
      <c r="CB197" s="1" t="s">
        <v>781</v>
      </c>
      <c r="CC197">
        <v>5.5324</v>
      </c>
      <c r="CD197" s="1">
        <v>1</v>
      </c>
      <c r="CJ197" s="15"/>
      <c r="CK197" s="15"/>
    </row>
    <row r="198" spans="16:89" x14ac:dyDescent="0.25">
      <c r="P198" s="15"/>
      <c r="Q198" s="15"/>
      <c r="CA198">
        <v>39</v>
      </c>
      <c r="CB198" s="1" t="s">
        <v>781</v>
      </c>
      <c r="CC198">
        <v>5.5324</v>
      </c>
      <c r="CD198" s="1">
        <v>1</v>
      </c>
      <c r="CJ198" s="15"/>
      <c r="CK198" s="15"/>
    </row>
    <row r="199" spans="16:89" x14ac:dyDescent="0.25">
      <c r="P199" s="15"/>
      <c r="Q199" s="15"/>
      <c r="CA199">
        <v>40</v>
      </c>
      <c r="CB199" s="1" t="s">
        <v>781</v>
      </c>
      <c r="CC199">
        <v>5.5324</v>
      </c>
      <c r="CD199" s="1">
        <v>1</v>
      </c>
      <c r="CJ199" s="15"/>
      <c r="CK199" s="15"/>
    </row>
    <row r="200" spans="16:89" x14ac:dyDescent="0.25">
      <c r="P200" s="15"/>
      <c r="Q200" s="15"/>
      <c r="CA200">
        <v>41</v>
      </c>
      <c r="CB200" s="1" t="s">
        <v>781</v>
      </c>
      <c r="CC200">
        <v>5.5324</v>
      </c>
      <c r="CD200" s="1">
        <v>1</v>
      </c>
      <c r="CJ200" s="15"/>
      <c r="CK200" s="15"/>
    </row>
    <row r="201" spans="16:89" x14ac:dyDescent="0.25">
      <c r="P201" s="15"/>
      <c r="Q201" s="15"/>
      <c r="CA201">
        <v>42</v>
      </c>
      <c r="CB201" s="1" t="s">
        <v>781</v>
      </c>
      <c r="CC201">
        <v>5.5324</v>
      </c>
      <c r="CD201" s="1">
        <v>1</v>
      </c>
      <c r="CJ201" s="15"/>
      <c r="CK201" s="15"/>
    </row>
    <row r="202" spans="16:89" x14ac:dyDescent="0.25">
      <c r="P202" s="15"/>
      <c r="Q202" s="15"/>
      <c r="CA202">
        <v>43</v>
      </c>
      <c r="CB202" s="1" t="s">
        <v>781</v>
      </c>
      <c r="CC202">
        <v>5.5324</v>
      </c>
      <c r="CD202" s="1">
        <v>1</v>
      </c>
      <c r="CJ202" s="15"/>
      <c r="CK202" s="15"/>
    </row>
    <row r="203" spans="16:89" x14ac:dyDescent="0.25">
      <c r="P203" s="15"/>
      <c r="Q203" s="15"/>
      <c r="CA203">
        <v>44</v>
      </c>
      <c r="CB203" s="1" t="s">
        <v>781</v>
      </c>
      <c r="CC203">
        <v>6.0616000000000003</v>
      </c>
      <c r="CD203" s="1">
        <v>1</v>
      </c>
      <c r="CJ203" s="15"/>
      <c r="CK203" s="15"/>
    </row>
    <row r="204" spans="16:89" x14ac:dyDescent="0.25">
      <c r="P204" s="15"/>
      <c r="Q204" s="15"/>
      <c r="CA204">
        <v>45</v>
      </c>
      <c r="CB204" s="1" t="s">
        <v>781</v>
      </c>
      <c r="CC204">
        <v>6.0616000000000003</v>
      </c>
      <c r="CD204" s="1">
        <v>1</v>
      </c>
      <c r="CJ204" s="15"/>
      <c r="CK204" s="15"/>
    </row>
    <row r="205" spans="16:89" x14ac:dyDescent="0.25">
      <c r="P205" s="15"/>
      <c r="Q205" s="15"/>
      <c r="CA205">
        <v>46</v>
      </c>
      <c r="CB205" s="1" t="s">
        <v>781</v>
      </c>
      <c r="CC205">
        <v>6.0616000000000003</v>
      </c>
      <c r="CD205" s="1">
        <v>1</v>
      </c>
      <c r="CJ205" s="15"/>
      <c r="CK205" s="15"/>
    </row>
    <row r="206" spans="16:89" x14ac:dyDescent="0.25">
      <c r="P206" s="15"/>
      <c r="Q206" s="15"/>
      <c r="CA206">
        <v>47</v>
      </c>
      <c r="CB206" s="1" t="s">
        <v>781</v>
      </c>
      <c r="CC206">
        <v>6.4212999999999996</v>
      </c>
      <c r="CD206" s="1">
        <v>1</v>
      </c>
      <c r="CJ206" s="15"/>
      <c r="CK206" s="15"/>
    </row>
    <row r="207" spans="16:89" x14ac:dyDescent="0.25">
      <c r="P207" s="15"/>
      <c r="Q207" s="15"/>
      <c r="CA207">
        <v>48</v>
      </c>
      <c r="CB207" s="1" t="s">
        <v>781</v>
      </c>
      <c r="CC207">
        <v>6.4212999999999996</v>
      </c>
      <c r="CD207" s="1">
        <v>1</v>
      </c>
      <c r="CJ207" s="15"/>
      <c r="CK207" s="15"/>
    </row>
    <row r="208" spans="16:89" x14ac:dyDescent="0.25">
      <c r="P208" s="15"/>
      <c r="Q208" s="15"/>
      <c r="CA208">
        <v>49</v>
      </c>
      <c r="CB208" s="1" t="s">
        <v>781</v>
      </c>
      <c r="CC208">
        <v>6.4212999999999996</v>
      </c>
      <c r="CD208" s="1">
        <v>1</v>
      </c>
      <c r="CJ208" s="15"/>
      <c r="CK208" s="15"/>
    </row>
    <row r="209" spans="16:89" x14ac:dyDescent="0.25">
      <c r="P209" s="15"/>
      <c r="Q209" s="15"/>
      <c r="CA209">
        <v>50</v>
      </c>
      <c r="CB209" s="1" t="s">
        <v>781</v>
      </c>
      <c r="CC209">
        <v>7.0578000000000003</v>
      </c>
      <c r="CD209" s="1">
        <v>1</v>
      </c>
      <c r="CJ209" s="15"/>
      <c r="CK209" s="15"/>
    </row>
    <row r="210" spans="16:89" x14ac:dyDescent="0.25">
      <c r="P210" s="15"/>
      <c r="Q210" s="15"/>
      <c r="CA210">
        <v>51</v>
      </c>
      <c r="CB210" s="1" t="s">
        <v>781</v>
      </c>
      <c r="CC210">
        <v>7.4547999999999996</v>
      </c>
      <c r="CD210" s="1">
        <v>1</v>
      </c>
      <c r="CJ210" s="15"/>
      <c r="CK210" s="15"/>
    </row>
    <row r="211" spans="16:89" x14ac:dyDescent="0.25">
      <c r="P211" s="15"/>
      <c r="Q211" s="15"/>
      <c r="CA211">
        <v>52</v>
      </c>
      <c r="CB211" s="1" t="s">
        <v>781</v>
      </c>
      <c r="CC211">
        <v>7.4547999999999996</v>
      </c>
      <c r="CD211" s="1">
        <v>1</v>
      </c>
      <c r="CJ211" s="15"/>
      <c r="CK211" s="15"/>
    </row>
    <row r="212" spans="16:89" x14ac:dyDescent="0.25">
      <c r="P212" s="15"/>
      <c r="Q212" s="15"/>
      <c r="CA212">
        <v>53</v>
      </c>
      <c r="CB212" s="1" t="s">
        <v>781</v>
      </c>
      <c r="CC212">
        <v>7.4547999999999996</v>
      </c>
      <c r="CD212" s="1">
        <v>1</v>
      </c>
      <c r="CJ212" s="15"/>
      <c r="CK212" s="15"/>
    </row>
    <row r="213" spans="16:89" x14ac:dyDescent="0.25">
      <c r="P213" s="15"/>
      <c r="Q213" s="15"/>
      <c r="CA213">
        <v>54</v>
      </c>
      <c r="CB213" s="1" t="s">
        <v>781</v>
      </c>
      <c r="CC213">
        <v>8.0614000000000008</v>
      </c>
      <c r="CD213" s="1">
        <v>1</v>
      </c>
      <c r="CJ213" s="15"/>
      <c r="CK213" s="15"/>
    </row>
    <row r="214" spans="16:89" x14ac:dyDescent="0.25">
      <c r="P214" s="15"/>
      <c r="Q214" s="15"/>
      <c r="CA214">
        <v>55</v>
      </c>
      <c r="CB214" s="1" t="s">
        <v>781</v>
      </c>
      <c r="CC214">
        <v>8.0614000000000008</v>
      </c>
      <c r="CD214" s="1">
        <v>1</v>
      </c>
      <c r="CJ214" s="15"/>
      <c r="CK214" s="15"/>
    </row>
    <row r="215" spans="16:89" x14ac:dyDescent="0.25">
      <c r="P215" s="15"/>
      <c r="Q215" s="15"/>
      <c r="CA215">
        <v>56</v>
      </c>
      <c r="CB215" s="1" t="s">
        <v>781</v>
      </c>
      <c r="CC215">
        <v>8.4539000000000009</v>
      </c>
      <c r="CD215" s="1">
        <v>1</v>
      </c>
      <c r="CJ215" s="15"/>
      <c r="CK215" s="15"/>
    </row>
    <row r="216" spans="16:89" x14ac:dyDescent="0.25">
      <c r="P216" s="15"/>
      <c r="Q216" s="15"/>
      <c r="CA216">
        <v>57</v>
      </c>
      <c r="CB216" s="1" t="s">
        <v>781</v>
      </c>
      <c r="CC216">
        <v>8.4539000000000009</v>
      </c>
      <c r="CD216" s="1">
        <v>1</v>
      </c>
      <c r="CJ216" s="15"/>
      <c r="CK216" s="15"/>
    </row>
    <row r="217" spans="16:89" x14ac:dyDescent="0.25">
      <c r="P217" s="15"/>
      <c r="Q217" s="15"/>
      <c r="CA217">
        <v>58</v>
      </c>
      <c r="CB217" s="1" t="s">
        <v>781</v>
      </c>
      <c r="CC217">
        <v>8.4539000000000009</v>
      </c>
      <c r="CD217" s="1">
        <v>1</v>
      </c>
      <c r="CJ217" s="15"/>
      <c r="CK217" s="15"/>
    </row>
    <row r="218" spans="16:89" x14ac:dyDescent="0.25">
      <c r="P218" s="15"/>
      <c r="Q218" s="15"/>
      <c r="CA218">
        <v>59</v>
      </c>
      <c r="CB218" s="1" t="s">
        <v>781</v>
      </c>
      <c r="CC218">
        <v>8.4539000000000009</v>
      </c>
      <c r="CD218" s="1">
        <v>1</v>
      </c>
      <c r="CJ218" s="15"/>
      <c r="CK218" s="15"/>
    </row>
    <row r="219" spans="16:89" x14ac:dyDescent="0.25">
      <c r="P219" s="15"/>
      <c r="Q219" s="15"/>
      <c r="CA219">
        <v>60</v>
      </c>
      <c r="CB219" s="1" t="s">
        <v>781</v>
      </c>
      <c r="CC219">
        <v>8.7078000000000007</v>
      </c>
      <c r="CD219" s="1">
        <v>1</v>
      </c>
      <c r="CJ219" s="15"/>
      <c r="CK219" s="15"/>
    </row>
    <row r="220" spans="16:89" x14ac:dyDescent="0.25">
      <c r="P220" s="15"/>
      <c r="Q220" s="15"/>
      <c r="CA220">
        <v>61</v>
      </c>
      <c r="CB220" s="1" t="s">
        <v>781</v>
      </c>
      <c r="CC220">
        <v>8.8933999999999997</v>
      </c>
      <c r="CD220" s="1">
        <v>1</v>
      </c>
      <c r="CJ220" s="15"/>
      <c r="CK220" s="15"/>
    </row>
    <row r="221" spans="16:89" x14ac:dyDescent="0.25">
      <c r="P221" s="15"/>
      <c r="Q221" s="15"/>
      <c r="CA221">
        <v>62</v>
      </c>
      <c r="CB221" s="1" t="s">
        <v>781</v>
      </c>
      <c r="CC221">
        <v>8.8933999999999997</v>
      </c>
      <c r="CD221" s="1">
        <v>1</v>
      </c>
      <c r="CJ221" s="15"/>
      <c r="CK221" s="15"/>
    </row>
    <row r="222" spans="16:89" x14ac:dyDescent="0.25">
      <c r="P222" s="15"/>
      <c r="Q222" s="15"/>
      <c r="CA222">
        <v>63</v>
      </c>
      <c r="CB222" s="1" t="s">
        <v>781</v>
      </c>
      <c r="CC222">
        <v>9.5466999999999995</v>
      </c>
      <c r="CD222" s="1">
        <v>1</v>
      </c>
      <c r="CJ222" s="15"/>
      <c r="CK222" s="15"/>
    </row>
    <row r="223" spans="16:89" x14ac:dyDescent="0.25">
      <c r="P223" s="15"/>
      <c r="Q223" s="15"/>
      <c r="CA223">
        <v>64</v>
      </c>
      <c r="CB223" s="1" t="s">
        <v>781</v>
      </c>
      <c r="CC223">
        <v>9.5466999999999995</v>
      </c>
      <c r="CD223" s="1">
        <v>1</v>
      </c>
      <c r="CJ223" s="15"/>
      <c r="CK223" s="15"/>
    </row>
    <row r="224" spans="16:89" x14ac:dyDescent="0.25">
      <c r="P224" s="15"/>
      <c r="Q224" s="15"/>
      <c r="CA224">
        <v>65</v>
      </c>
      <c r="CB224" s="1" t="s">
        <v>781</v>
      </c>
      <c r="CC224">
        <v>9.5466999999999995</v>
      </c>
      <c r="CD224" s="1">
        <v>1</v>
      </c>
      <c r="CJ224" s="15"/>
      <c r="CK224" s="15"/>
    </row>
    <row r="225" spans="16:89" x14ac:dyDescent="0.25">
      <c r="P225" s="15"/>
      <c r="Q225" s="15"/>
      <c r="CA225">
        <v>66</v>
      </c>
      <c r="CB225" s="1" t="s">
        <v>781</v>
      </c>
      <c r="CC225">
        <v>10.0571</v>
      </c>
      <c r="CD225" s="1">
        <v>1</v>
      </c>
      <c r="CJ225" s="15"/>
      <c r="CK225" s="15"/>
    </row>
    <row r="226" spans="16:89" x14ac:dyDescent="0.25">
      <c r="P226" s="15"/>
      <c r="Q226" s="15"/>
      <c r="CA226">
        <v>67</v>
      </c>
      <c r="CB226" s="1" t="s">
        <v>781</v>
      </c>
      <c r="CC226">
        <v>10.0571</v>
      </c>
      <c r="CD226" s="1">
        <v>1</v>
      </c>
      <c r="CJ226" s="15"/>
      <c r="CK226" s="15"/>
    </row>
    <row r="227" spans="16:89" x14ac:dyDescent="0.25">
      <c r="P227" s="15"/>
      <c r="Q227" s="15"/>
      <c r="CA227">
        <v>68</v>
      </c>
      <c r="CB227" s="1" t="s">
        <v>781</v>
      </c>
      <c r="CC227">
        <v>11.317399999999999</v>
      </c>
      <c r="CD227" s="1">
        <v>1</v>
      </c>
      <c r="CJ227" s="15"/>
      <c r="CK227" s="15"/>
    </row>
    <row r="228" spans="16:89" x14ac:dyDescent="0.25">
      <c r="P228" s="15"/>
      <c r="Q228" s="15"/>
      <c r="CA228">
        <v>69</v>
      </c>
      <c r="CB228" s="1" t="s">
        <v>781</v>
      </c>
      <c r="CC228">
        <v>11.317399999999999</v>
      </c>
      <c r="CD228" s="1">
        <v>1</v>
      </c>
      <c r="CJ228" s="15"/>
      <c r="CK228" s="15"/>
    </row>
    <row r="229" spans="16:89" x14ac:dyDescent="0.25">
      <c r="P229" s="15"/>
      <c r="Q229" s="15"/>
      <c r="CA229">
        <v>70</v>
      </c>
      <c r="CB229" s="1" t="s">
        <v>781</v>
      </c>
      <c r="CC229">
        <v>11.9552</v>
      </c>
      <c r="CD229" s="1">
        <v>1</v>
      </c>
      <c r="CJ229" s="15"/>
      <c r="CK229" s="15"/>
    </row>
    <row r="230" spans="16:89" x14ac:dyDescent="0.25">
      <c r="P230" s="15"/>
      <c r="Q230" s="15"/>
      <c r="CA230">
        <v>71</v>
      </c>
      <c r="CB230" s="1" t="s">
        <v>781</v>
      </c>
      <c r="CC230">
        <v>11.9552</v>
      </c>
      <c r="CD230" s="1">
        <v>1</v>
      </c>
      <c r="CJ230" s="15"/>
      <c r="CK230" s="15"/>
    </row>
    <row r="231" spans="16:89" x14ac:dyDescent="0.25">
      <c r="P231" s="15"/>
      <c r="Q231" s="15"/>
      <c r="CA231">
        <v>72</v>
      </c>
      <c r="CB231" s="1" t="s">
        <v>781</v>
      </c>
      <c r="CC231">
        <v>12.5975</v>
      </c>
      <c r="CD231" s="1">
        <v>1</v>
      </c>
      <c r="CJ231" s="15"/>
      <c r="CK231" s="15"/>
    </row>
    <row r="232" spans="16:89" x14ac:dyDescent="0.25">
      <c r="P232" s="15"/>
      <c r="Q232" s="15"/>
      <c r="CA232">
        <v>73</v>
      </c>
      <c r="CB232" s="1" t="s">
        <v>781</v>
      </c>
      <c r="CC232">
        <v>12.5975</v>
      </c>
      <c r="CD232" s="1">
        <v>1</v>
      </c>
      <c r="CJ232" s="15"/>
      <c r="CK232" s="15"/>
    </row>
    <row r="233" spans="16:89" x14ac:dyDescent="0.25">
      <c r="P233" s="15"/>
      <c r="Q233" s="15"/>
      <c r="CA233">
        <v>74</v>
      </c>
      <c r="CB233" s="1" t="s">
        <v>781</v>
      </c>
      <c r="CC233">
        <v>12.9856</v>
      </c>
      <c r="CD233" s="1">
        <v>1</v>
      </c>
      <c r="CJ233" s="15"/>
      <c r="CK233" s="15"/>
    </row>
    <row r="234" spans="16:89" x14ac:dyDescent="0.25">
      <c r="P234" s="15"/>
      <c r="Q234" s="15"/>
      <c r="CA234">
        <v>75</v>
      </c>
      <c r="CB234" s="1" t="s">
        <v>781</v>
      </c>
      <c r="CC234">
        <v>12.9856</v>
      </c>
      <c r="CD234" s="1">
        <v>1</v>
      </c>
      <c r="CJ234" s="15"/>
      <c r="CK234" s="15"/>
    </row>
    <row r="235" spans="16:89" x14ac:dyDescent="0.25">
      <c r="P235" s="15"/>
      <c r="Q235" s="15"/>
      <c r="CA235">
        <v>76</v>
      </c>
      <c r="CB235" s="1" t="s">
        <v>781</v>
      </c>
      <c r="CC235">
        <v>13.5922</v>
      </c>
      <c r="CD235" s="1">
        <v>1</v>
      </c>
      <c r="CJ235" s="15"/>
      <c r="CK235" s="15"/>
    </row>
    <row r="236" spans="16:89" x14ac:dyDescent="0.25">
      <c r="P236" s="15"/>
      <c r="Q236" s="15"/>
      <c r="CA236">
        <v>77</v>
      </c>
      <c r="CB236" s="1" t="s">
        <v>781</v>
      </c>
      <c r="CC236">
        <v>13.8375</v>
      </c>
      <c r="CD236" s="1">
        <v>0</v>
      </c>
      <c r="CJ236" s="15"/>
      <c r="CK236" s="15"/>
    </row>
    <row r="237" spans="16:89" x14ac:dyDescent="0.25">
      <c r="P237" s="15"/>
      <c r="Q237" s="15"/>
      <c r="CA237">
        <v>78</v>
      </c>
      <c r="CB237" s="1" t="s">
        <v>781</v>
      </c>
      <c r="CC237">
        <v>14.082800000000001</v>
      </c>
      <c r="CD237" s="1">
        <v>1</v>
      </c>
      <c r="CJ237" s="15"/>
      <c r="CK237" s="15"/>
    </row>
    <row r="238" spans="16:89" x14ac:dyDescent="0.25">
      <c r="P238" s="15"/>
      <c r="Q238" s="15"/>
      <c r="CA238">
        <v>79</v>
      </c>
      <c r="CB238" s="1" t="s">
        <v>781</v>
      </c>
      <c r="CC238">
        <v>14.7004</v>
      </c>
      <c r="CD238" s="1">
        <v>1</v>
      </c>
      <c r="CJ238" s="15"/>
      <c r="CK238" s="15"/>
    </row>
    <row r="239" spans="16:89" x14ac:dyDescent="0.25">
      <c r="P239" s="15"/>
      <c r="Q239" s="15"/>
      <c r="CA239">
        <v>80</v>
      </c>
      <c r="CB239" s="1" t="s">
        <v>781</v>
      </c>
      <c r="CC239">
        <v>14.7004</v>
      </c>
      <c r="CD239" s="1">
        <v>1</v>
      </c>
      <c r="CJ239" s="15"/>
      <c r="CK239" s="15"/>
    </row>
    <row r="240" spans="16:89" x14ac:dyDescent="0.25">
      <c r="P240" s="15"/>
      <c r="Q240" s="15"/>
      <c r="CA240">
        <v>81</v>
      </c>
      <c r="CB240" s="1" t="s">
        <v>781</v>
      </c>
      <c r="CC240">
        <v>14.973649999999999</v>
      </c>
      <c r="CD240" s="1">
        <v>0</v>
      </c>
      <c r="CJ240" s="15"/>
      <c r="CK240" s="15"/>
    </row>
    <row r="241" spans="16:89" x14ac:dyDescent="0.25">
      <c r="P241" s="15"/>
      <c r="Q241" s="15"/>
      <c r="CA241">
        <v>82</v>
      </c>
      <c r="CB241" s="1" t="s">
        <v>781</v>
      </c>
      <c r="CC241">
        <v>15.2469</v>
      </c>
      <c r="CD241" s="1">
        <v>1</v>
      </c>
      <c r="CJ241" s="15"/>
      <c r="CK241" s="15"/>
    </row>
    <row r="242" spans="16:89" x14ac:dyDescent="0.25">
      <c r="P242" s="15"/>
      <c r="Q242" s="15"/>
      <c r="CA242">
        <v>83</v>
      </c>
      <c r="CB242" s="1" t="s">
        <v>781</v>
      </c>
      <c r="CC242">
        <v>15.2469</v>
      </c>
      <c r="CD242" s="1">
        <v>1</v>
      </c>
      <c r="CJ242" s="15"/>
      <c r="CK242" s="15"/>
    </row>
    <row r="243" spans="16:89" x14ac:dyDescent="0.25">
      <c r="P243" s="15"/>
      <c r="Q243" s="15"/>
      <c r="CA243">
        <v>84</v>
      </c>
      <c r="CB243" s="1" t="s">
        <v>781</v>
      </c>
      <c r="CC243">
        <v>15.889200000000001</v>
      </c>
      <c r="CD243" s="1">
        <v>1</v>
      </c>
      <c r="CJ243" s="15"/>
      <c r="CK243" s="15"/>
    </row>
    <row r="244" spans="16:89" x14ac:dyDescent="0.25">
      <c r="P244" s="15"/>
      <c r="Q244" s="15"/>
      <c r="CA244">
        <v>85</v>
      </c>
      <c r="CB244" s="1" t="s">
        <v>781</v>
      </c>
      <c r="CC244">
        <v>16.226400000000002</v>
      </c>
      <c r="CD244" s="1">
        <v>0</v>
      </c>
      <c r="CJ244" s="15"/>
      <c r="CK244" s="15"/>
    </row>
    <row r="245" spans="16:89" x14ac:dyDescent="0.25">
      <c r="P245" s="15"/>
      <c r="Q245" s="15"/>
      <c r="CA245">
        <v>86</v>
      </c>
      <c r="CB245" s="1" t="s">
        <v>781</v>
      </c>
      <c r="CC245">
        <v>16.563600000000001</v>
      </c>
      <c r="CD245" s="1">
        <v>1</v>
      </c>
      <c r="CJ245" s="15"/>
      <c r="CK245" s="15"/>
    </row>
    <row r="246" spans="16:89" x14ac:dyDescent="0.25">
      <c r="P246" s="15"/>
      <c r="Q246" s="15"/>
      <c r="CA246">
        <v>87</v>
      </c>
      <c r="CB246" s="1" t="s">
        <v>781</v>
      </c>
      <c r="CC246">
        <v>16.563600000000001</v>
      </c>
      <c r="CD246" s="1">
        <v>1</v>
      </c>
      <c r="CJ246" s="15"/>
      <c r="CK246" s="15"/>
    </row>
    <row r="247" spans="16:89" x14ac:dyDescent="0.25">
      <c r="P247" s="15"/>
      <c r="Q247" s="15"/>
      <c r="CA247">
        <v>88</v>
      </c>
      <c r="CB247" s="1" t="s">
        <v>781</v>
      </c>
      <c r="CC247">
        <v>17.1738</v>
      </c>
      <c r="CD247" s="1">
        <v>1</v>
      </c>
      <c r="CJ247" s="15"/>
      <c r="CK247" s="15"/>
    </row>
    <row r="248" spans="16:89" x14ac:dyDescent="0.25">
      <c r="P248" s="15"/>
      <c r="Q248" s="15"/>
      <c r="CA248">
        <v>89</v>
      </c>
      <c r="CB248" s="1" t="s">
        <v>781</v>
      </c>
      <c r="CC248">
        <v>17.816099999999999</v>
      </c>
      <c r="CD248" s="1">
        <v>1</v>
      </c>
      <c r="CJ248" s="15"/>
      <c r="CK248" s="15"/>
    </row>
    <row r="249" spans="16:89" x14ac:dyDescent="0.25">
      <c r="CA249">
        <v>90</v>
      </c>
      <c r="CB249" s="1" t="s">
        <v>781</v>
      </c>
      <c r="CC249">
        <v>17.816099999999999</v>
      </c>
      <c r="CD249" s="1">
        <v>1</v>
      </c>
      <c r="CJ249" s="15"/>
      <c r="CK249" s="15"/>
    </row>
    <row r="250" spans="16:89" x14ac:dyDescent="0.25">
      <c r="CA250">
        <v>91</v>
      </c>
      <c r="CB250" s="1" t="s">
        <v>781</v>
      </c>
      <c r="CC250">
        <v>18.458400000000001</v>
      </c>
      <c r="CD250" s="1">
        <v>1</v>
      </c>
      <c r="CJ250" s="15"/>
      <c r="CK250" s="15"/>
    </row>
    <row r="251" spans="16:89" x14ac:dyDescent="0.25">
      <c r="CA251">
        <v>92</v>
      </c>
      <c r="CB251" s="1" t="s">
        <v>781</v>
      </c>
      <c r="CC251">
        <v>18.458400000000001</v>
      </c>
      <c r="CD251" s="1">
        <v>1</v>
      </c>
      <c r="CJ251" s="15"/>
      <c r="CK251" s="15"/>
    </row>
    <row r="252" spans="16:89" x14ac:dyDescent="0.25">
      <c r="CA252">
        <v>93</v>
      </c>
      <c r="CB252" s="1" t="s">
        <v>781</v>
      </c>
      <c r="CC252">
        <v>19.742899999999999</v>
      </c>
      <c r="CD252" s="1">
        <v>1</v>
      </c>
      <c r="CJ252" s="15"/>
      <c r="CK252" s="15"/>
    </row>
    <row r="253" spans="16:89" x14ac:dyDescent="0.25">
      <c r="CA253">
        <v>94</v>
      </c>
      <c r="CB253" s="1" t="s">
        <v>781</v>
      </c>
      <c r="CC253">
        <v>19.742899999999999</v>
      </c>
      <c r="CD253" s="1">
        <v>1</v>
      </c>
      <c r="CJ253" s="15"/>
      <c r="CK253" s="15"/>
    </row>
    <row r="254" spans="16:89" x14ac:dyDescent="0.25">
      <c r="CA254">
        <v>95</v>
      </c>
      <c r="CB254" s="1" t="s">
        <v>781</v>
      </c>
      <c r="CC254">
        <v>20.385200000000001</v>
      </c>
      <c r="CD254" s="1">
        <v>1</v>
      </c>
      <c r="CJ254" s="15"/>
      <c r="CK254" s="15"/>
    </row>
    <row r="255" spans="16:89" x14ac:dyDescent="0.25">
      <c r="CA255">
        <v>96</v>
      </c>
      <c r="CB255" s="1" t="s">
        <v>781</v>
      </c>
      <c r="CC255">
        <v>21.0275</v>
      </c>
      <c r="CD255" s="1">
        <v>1</v>
      </c>
      <c r="CJ255" s="15"/>
      <c r="CK255" s="15"/>
    </row>
    <row r="256" spans="16:89" x14ac:dyDescent="0.25">
      <c r="CA256">
        <v>97</v>
      </c>
      <c r="CB256" s="1" t="s">
        <v>781</v>
      </c>
      <c r="CC256">
        <v>21.348649999999999</v>
      </c>
      <c r="CD256" s="1">
        <v>0</v>
      </c>
      <c r="CJ256" s="15"/>
      <c r="CK256" s="15"/>
    </row>
    <row r="257" spans="79:89" x14ac:dyDescent="0.25">
      <c r="CA257">
        <v>98</v>
      </c>
      <c r="CB257" s="1" t="s">
        <v>781</v>
      </c>
      <c r="CC257">
        <v>21.669799999999999</v>
      </c>
      <c r="CD257" s="1">
        <v>1</v>
      </c>
      <c r="CJ257" s="15"/>
      <c r="CK257" s="15"/>
    </row>
    <row r="258" spans="79:89" x14ac:dyDescent="0.25">
      <c r="CA258">
        <v>99</v>
      </c>
      <c r="CB258" s="1" t="s">
        <v>781</v>
      </c>
      <c r="CC258">
        <v>21.669799999999999</v>
      </c>
      <c r="CD258" s="1">
        <v>1</v>
      </c>
      <c r="CJ258" s="15"/>
      <c r="CK258" s="15"/>
    </row>
    <row r="259" spans="79:89" x14ac:dyDescent="0.25">
      <c r="CA259">
        <v>100</v>
      </c>
      <c r="CB259" s="1" t="s">
        <v>781</v>
      </c>
      <c r="CC259">
        <v>22.344899999999999</v>
      </c>
      <c r="CD259" s="1">
        <v>1</v>
      </c>
      <c r="CJ259" s="15"/>
      <c r="CK259" s="15"/>
    </row>
    <row r="260" spans="79:89" x14ac:dyDescent="0.25">
      <c r="CA260">
        <v>101</v>
      </c>
      <c r="CB260" s="1" t="s">
        <v>781</v>
      </c>
      <c r="CC260">
        <v>22.9544</v>
      </c>
      <c r="CD260" s="1">
        <v>1</v>
      </c>
      <c r="CJ260" s="15"/>
      <c r="CK260" s="15"/>
    </row>
    <row r="261" spans="79:89" x14ac:dyDescent="0.25">
      <c r="CA261">
        <v>102</v>
      </c>
      <c r="CB261" s="1" t="s">
        <v>781</v>
      </c>
      <c r="CC261">
        <v>22.9544</v>
      </c>
      <c r="CD261" s="1">
        <v>1</v>
      </c>
      <c r="CJ261" s="15"/>
      <c r="CK261" s="15"/>
    </row>
    <row r="262" spans="79:89" x14ac:dyDescent="0.25">
      <c r="CA262">
        <v>103</v>
      </c>
      <c r="CB262" s="1" t="s">
        <v>781</v>
      </c>
      <c r="CC262">
        <v>23.596599999999999</v>
      </c>
      <c r="CD262" s="1">
        <v>1</v>
      </c>
      <c r="CJ262" s="15"/>
      <c r="CK262" s="15"/>
    </row>
    <row r="263" spans="79:89" x14ac:dyDescent="0.25">
      <c r="CA263">
        <v>104</v>
      </c>
      <c r="CB263" s="1" t="s">
        <v>781</v>
      </c>
      <c r="CC263">
        <v>24.8812</v>
      </c>
      <c r="CD263" s="1">
        <v>1</v>
      </c>
    </row>
    <row r="264" spans="79:89" x14ac:dyDescent="0.25">
      <c r="CA264">
        <v>105</v>
      </c>
      <c r="CB264" s="1" t="s">
        <v>781</v>
      </c>
      <c r="CC264">
        <v>25.523499999999999</v>
      </c>
      <c r="CD264" s="1">
        <v>1</v>
      </c>
    </row>
    <row r="265" spans="79:89" x14ac:dyDescent="0.25">
      <c r="CA265">
        <v>106</v>
      </c>
      <c r="CB265" s="1" t="s">
        <v>781</v>
      </c>
      <c r="CC265">
        <v>26.8081</v>
      </c>
      <c r="CD265" s="1">
        <v>1</v>
      </c>
    </row>
    <row r="266" spans="79:89" x14ac:dyDescent="0.25">
      <c r="CA266">
        <v>107</v>
      </c>
      <c r="CB266" s="1" t="s">
        <v>781</v>
      </c>
      <c r="CC266">
        <v>29.377199999999998</v>
      </c>
      <c r="CD266" s="1">
        <v>1</v>
      </c>
    </row>
    <row r="267" spans="79:89" x14ac:dyDescent="0.25">
      <c r="CA267">
        <v>108</v>
      </c>
      <c r="CB267" s="1" t="s">
        <v>781</v>
      </c>
      <c r="CC267">
        <v>30.019500000000001</v>
      </c>
      <c r="CD267" s="1">
        <v>1</v>
      </c>
    </row>
    <row r="268" spans="79:89" x14ac:dyDescent="0.25">
      <c r="CA268">
        <v>109</v>
      </c>
      <c r="CB268" s="1" t="s">
        <v>781</v>
      </c>
      <c r="CC268">
        <v>31.183599999999998</v>
      </c>
      <c r="CD268" s="1">
        <v>1</v>
      </c>
    </row>
    <row r="269" spans="79:89" x14ac:dyDescent="0.25">
      <c r="CA269">
        <v>110</v>
      </c>
      <c r="CB269" s="1" t="s">
        <v>781</v>
      </c>
      <c r="CC269">
        <v>31.183599999999998</v>
      </c>
      <c r="CD269" s="1">
        <v>1</v>
      </c>
    </row>
    <row r="270" spans="79:89" x14ac:dyDescent="0.25">
      <c r="CA270">
        <v>111</v>
      </c>
      <c r="CB270" s="1" t="s">
        <v>781</v>
      </c>
      <c r="CC270">
        <v>31.183599999999998</v>
      </c>
      <c r="CD270" s="1">
        <v>1</v>
      </c>
    </row>
    <row r="271" spans="79:89" x14ac:dyDescent="0.25">
      <c r="CA271">
        <v>112</v>
      </c>
      <c r="CB271" s="1" t="s">
        <v>781</v>
      </c>
      <c r="CC271">
        <v>31.491399999999999</v>
      </c>
      <c r="CD271" s="1">
        <v>1</v>
      </c>
    </row>
    <row r="272" spans="79:89" x14ac:dyDescent="0.25">
      <c r="CA272">
        <v>113</v>
      </c>
      <c r="CB272" s="1" t="s">
        <v>781</v>
      </c>
      <c r="CC272">
        <v>32.781300000000002</v>
      </c>
      <c r="CD272" s="1">
        <v>1</v>
      </c>
    </row>
    <row r="273" spans="79:82" x14ac:dyDescent="0.25">
      <c r="CA273">
        <v>114</v>
      </c>
      <c r="CB273" s="1" t="s">
        <v>781</v>
      </c>
      <c r="CC273">
        <v>33.311199999999999</v>
      </c>
      <c r="CD273" s="1">
        <v>1</v>
      </c>
    </row>
    <row r="274" spans="79:82" x14ac:dyDescent="0.25">
      <c r="CA274">
        <v>115</v>
      </c>
      <c r="CB274" s="1" t="s">
        <v>781</v>
      </c>
      <c r="CC274">
        <v>33.311199999999999</v>
      </c>
      <c r="CD274" s="1">
        <v>1</v>
      </c>
    </row>
    <row r="275" spans="79:82" x14ac:dyDescent="0.25">
      <c r="CA275">
        <v>116</v>
      </c>
      <c r="CB275" s="1" t="s">
        <v>781</v>
      </c>
      <c r="CC275">
        <v>35.238</v>
      </c>
      <c r="CD275" s="1">
        <v>1</v>
      </c>
    </row>
    <row r="276" spans="79:82" x14ac:dyDescent="0.25">
      <c r="CA276">
        <v>117</v>
      </c>
      <c r="CB276" s="1" t="s">
        <v>781</v>
      </c>
      <c r="CC276">
        <v>37.164900000000003</v>
      </c>
      <c r="CD276" s="1">
        <v>1</v>
      </c>
    </row>
    <row r="277" spans="79:82" x14ac:dyDescent="0.25">
      <c r="CA277">
        <v>118</v>
      </c>
      <c r="CB277" s="1" t="s">
        <v>781</v>
      </c>
      <c r="CC277">
        <v>37.807200000000002</v>
      </c>
      <c r="CD277" s="1">
        <v>1</v>
      </c>
    </row>
    <row r="278" spans="79:82" x14ac:dyDescent="0.25">
      <c r="CA278">
        <v>119</v>
      </c>
      <c r="CB278" s="1" t="s">
        <v>781</v>
      </c>
      <c r="CC278">
        <v>43.587699999999998</v>
      </c>
      <c r="CD278" s="1">
        <v>1</v>
      </c>
    </row>
    <row r="279" spans="79:82" x14ac:dyDescent="0.25">
      <c r="CA279">
        <v>120</v>
      </c>
      <c r="CB279" s="1" t="s">
        <v>781</v>
      </c>
      <c r="CC279">
        <v>44.872300000000003</v>
      </c>
      <c r="CD279" s="1">
        <v>1</v>
      </c>
    </row>
    <row r="280" spans="79:82" x14ac:dyDescent="0.25">
      <c r="CA280">
        <v>121</v>
      </c>
      <c r="CB280" s="1" t="s">
        <v>781</v>
      </c>
      <c r="CC280">
        <v>45.514600000000002</v>
      </c>
      <c r="CD280" s="1">
        <v>1</v>
      </c>
    </row>
    <row r="281" spans="79:82" x14ac:dyDescent="0.25">
      <c r="CA281">
        <v>122</v>
      </c>
      <c r="CB281" s="1" t="s">
        <v>781</v>
      </c>
      <c r="CC281">
        <v>46.134599999999999</v>
      </c>
      <c r="CD281" s="1">
        <v>1</v>
      </c>
    </row>
    <row r="282" spans="79:82" x14ac:dyDescent="0.25">
      <c r="CA282">
        <v>123</v>
      </c>
      <c r="CB282" s="1" t="s">
        <v>781</v>
      </c>
      <c r="CC282">
        <v>46.134599999999999</v>
      </c>
      <c r="CD282" s="1">
        <v>1</v>
      </c>
    </row>
    <row r="283" spans="79:82" x14ac:dyDescent="0.25">
      <c r="CA283">
        <v>124</v>
      </c>
      <c r="CB283" s="1" t="s">
        <v>781</v>
      </c>
      <c r="CC283">
        <v>52.579700000000003</v>
      </c>
      <c r="CD283" s="1">
        <v>1</v>
      </c>
    </row>
    <row r="284" spans="79:82" x14ac:dyDescent="0.25">
      <c r="CA284">
        <v>125</v>
      </c>
      <c r="CB284" s="1" t="s">
        <v>781</v>
      </c>
      <c r="CC284">
        <v>53.222000000000001</v>
      </c>
      <c r="CD284" s="1">
        <v>1</v>
      </c>
    </row>
    <row r="285" spans="79:82" x14ac:dyDescent="0.25">
      <c r="CA285">
        <v>126</v>
      </c>
      <c r="CB285" s="1" t="s">
        <v>781</v>
      </c>
      <c r="CC285">
        <v>54.827750000000002</v>
      </c>
      <c r="CD285" s="1">
        <v>0</v>
      </c>
    </row>
    <row r="286" spans="79:82" x14ac:dyDescent="0.25">
      <c r="CA286">
        <v>127</v>
      </c>
      <c r="CB286" s="1" t="s">
        <v>781</v>
      </c>
      <c r="CC286">
        <v>55.474649999999997</v>
      </c>
      <c r="CD286" s="1">
        <v>0</v>
      </c>
    </row>
    <row r="287" spans="79:82" x14ac:dyDescent="0.25">
      <c r="CA287">
        <v>128</v>
      </c>
      <c r="CB287" s="1" t="s">
        <v>781</v>
      </c>
      <c r="CC287">
        <v>55.474649999999997</v>
      </c>
      <c r="CD287" s="1">
        <v>0</v>
      </c>
    </row>
    <row r="288" spans="79:82" x14ac:dyDescent="0.25">
      <c r="CA288">
        <v>129</v>
      </c>
      <c r="CB288" s="1" t="s">
        <v>781</v>
      </c>
      <c r="CC288">
        <v>56.09375</v>
      </c>
      <c r="CD288" s="1">
        <v>0</v>
      </c>
    </row>
    <row r="289" spans="79:82" x14ac:dyDescent="0.25">
      <c r="CA289">
        <v>130</v>
      </c>
      <c r="CB289" s="1" t="s">
        <v>781</v>
      </c>
      <c r="CC289">
        <v>56.707299999999996</v>
      </c>
      <c r="CD289" s="1">
        <v>0</v>
      </c>
    </row>
    <row r="290" spans="79:82" x14ac:dyDescent="0.25">
      <c r="CA290">
        <v>131</v>
      </c>
      <c r="CB290" s="1" t="s">
        <v>781</v>
      </c>
      <c r="CC290">
        <v>57.174900000000001</v>
      </c>
      <c r="CD290" s="1">
        <v>0</v>
      </c>
    </row>
    <row r="291" spans="79:82" x14ac:dyDescent="0.25">
      <c r="CA291">
        <v>132</v>
      </c>
      <c r="CB291" s="1" t="s">
        <v>781</v>
      </c>
      <c r="CC291">
        <v>57.322299999999998</v>
      </c>
      <c r="CD291" s="1">
        <v>1</v>
      </c>
    </row>
    <row r="292" spans="79:82" x14ac:dyDescent="0.25">
      <c r="CA292">
        <v>133</v>
      </c>
      <c r="CB292" s="1" t="s">
        <v>781</v>
      </c>
      <c r="CC292">
        <v>57.534500000000001</v>
      </c>
      <c r="CD292" s="1">
        <v>0</v>
      </c>
    </row>
    <row r="293" spans="79:82" x14ac:dyDescent="0.25">
      <c r="CA293">
        <v>134</v>
      </c>
      <c r="CB293" s="1" t="s">
        <v>781</v>
      </c>
      <c r="CC293">
        <v>58.0535</v>
      </c>
      <c r="CD293" s="1">
        <v>0</v>
      </c>
    </row>
    <row r="294" spans="79:82" x14ac:dyDescent="0.25">
      <c r="CA294">
        <v>135</v>
      </c>
      <c r="CB294" s="1" t="s">
        <v>781</v>
      </c>
      <c r="CC294">
        <v>58.0535</v>
      </c>
      <c r="CD294" s="1">
        <v>0</v>
      </c>
    </row>
    <row r="295" spans="79:82" x14ac:dyDescent="0.25">
      <c r="CA295">
        <v>136</v>
      </c>
      <c r="CB295" s="1" t="s">
        <v>781</v>
      </c>
      <c r="CC295">
        <v>58.680100000000003</v>
      </c>
      <c r="CD295" s="1">
        <v>0</v>
      </c>
    </row>
    <row r="296" spans="79:82" x14ac:dyDescent="0.25">
      <c r="CA296">
        <v>137</v>
      </c>
      <c r="CB296" s="1" t="s">
        <v>781</v>
      </c>
      <c r="CC296">
        <v>59.32235</v>
      </c>
      <c r="CD296" s="1">
        <v>0</v>
      </c>
    </row>
    <row r="297" spans="79:82" x14ac:dyDescent="0.25">
      <c r="CA297">
        <v>138</v>
      </c>
      <c r="CB297" s="1" t="s">
        <v>781</v>
      </c>
      <c r="CC297">
        <v>59.644799999999996</v>
      </c>
      <c r="CD297" s="1">
        <v>1</v>
      </c>
    </row>
    <row r="298" spans="79:82" x14ac:dyDescent="0.25">
      <c r="CA298">
        <v>139</v>
      </c>
      <c r="CB298" s="1" t="s">
        <v>781</v>
      </c>
      <c r="CC298">
        <v>60.632350000000002</v>
      </c>
      <c r="CD298" s="1">
        <v>0</v>
      </c>
    </row>
    <row r="299" spans="79:82" x14ac:dyDescent="0.25">
      <c r="CA299">
        <v>140</v>
      </c>
      <c r="CB299" s="1" t="s">
        <v>781</v>
      </c>
      <c r="CC299">
        <v>61.249549999999999</v>
      </c>
      <c r="CD299" s="1">
        <v>0</v>
      </c>
    </row>
    <row r="300" spans="79:82" x14ac:dyDescent="0.25">
      <c r="CA300">
        <v>141</v>
      </c>
      <c r="CB300" s="1" t="s">
        <v>781</v>
      </c>
      <c r="CC300">
        <v>61.727800000000002</v>
      </c>
      <c r="CD300" s="1">
        <v>1</v>
      </c>
    </row>
    <row r="301" spans="79:82" x14ac:dyDescent="0.25">
      <c r="CA301">
        <v>142</v>
      </c>
      <c r="CB301" s="1" t="s">
        <v>781</v>
      </c>
      <c r="CC301">
        <v>62.011049999999997</v>
      </c>
      <c r="CD301" s="1">
        <v>0</v>
      </c>
    </row>
    <row r="302" spans="79:82" x14ac:dyDescent="0.25">
      <c r="CA302">
        <v>143</v>
      </c>
      <c r="CB302" s="1" t="s">
        <v>781</v>
      </c>
      <c r="CC302">
        <v>62.642800000000001</v>
      </c>
      <c r="CD302" s="1">
        <v>0</v>
      </c>
    </row>
    <row r="303" spans="79:82" x14ac:dyDescent="0.25">
      <c r="CA303">
        <v>144</v>
      </c>
      <c r="CB303" s="1" t="s">
        <v>781</v>
      </c>
      <c r="CC303">
        <v>62.642800000000001</v>
      </c>
      <c r="CD303" s="1">
        <v>0</v>
      </c>
    </row>
    <row r="304" spans="79:82" x14ac:dyDescent="0.25">
      <c r="CA304">
        <v>145</v>
      </c>
      <c r="CB304" s="1" t="s">
        <v>781</v>
      </c>
      <c r="CC304">
        <v>63.312449999999998</v>
      </c>
      <c r="CD304" s="1">
        <v>0</v>
      </c>
    </row>
    <row r="305" spans="79:82" x14ac:dyDescent="0.25">
      <c r="CA305">
        <v>146</v>
      </c>
      <c r="CB305" s="1" t="s">
        <v>781</v>
      </c>
      <c r="CC305">
        <v>63.91095</v>
      </c>
      <c r="CD305" s="1">
        <v>0</v>
      </c>
    </row>
    <row r="306" spans="79:82" x14ac:dyDescent="0.25">
      <c r="CA306">
        <v>147</v>
      </c>
      <c r="CB306" s="1" t="s">
        <v>781</v>
      </c>
      <c r="CC306">
        <v>64.531350000000003</v>
      </c>
      <c r="CD306" s="1">
        <v>0</v>
      </c>
    </row>
    <row r="307" spans="79:82" x14ac:dyDescent="0.25">
      <c r="CA307">
        <v>148</v>
      </c>
      <c r="CB307" s="1" t="s">
        <v>781</v>
      </c>
      <c r="CC307">
        <v>65.195499999999996</v>
      </c>
      <c r="CD307" s="1">
        <v>0</v>
      </c>
    </row>
    <row r="308" spans="79:82" x14ac:dyDescent="0.25">
      <c r="CA308">
        <v>149</v>
      </c>
      <c r="CB308" s="1" t="s">
        <v>781</v>
      </c>
      <c r="CC308">
        <v>66.501949999999994</v>
      </c>
      <c r="CD308" s="1">
        <v>0</v>
      </c>
    </row>
    <row r="309" spans="79:82" x14ac:dyDescent="0.25">
      <c r="CA309">
        <v>150</v>
      </c>
      <c r="CB309" s="1" t="s">
        <v>781</v>
      </c>
      <c r="CC309">
        <v>66.823099999999997</v>
      </c>
      <c r="CD309" s="1">
        <v>0</v>
      </c>
    </row>
    <row r="310" spans="79:82" x14ac:dyDescent="0.25">
      <c r="CA310">
        <v>151</v>
      </c>
      <c r="CB310" s="1" t="s">
        <v>781</v>
      </c>
      <c r="CC310">
        <v>66.823099999999997</v>
      </c>
      <c r="CD310" s="1">
        <v>0</v>
      </c>
    </row>
  </sheetData>
  <sortState xmlns:xlrd2="http://schemas.microsoft.com/office/spreadsheetml/2017/richdata2" ref="S129:T218">
    <sortCondition ref="S129:S218"/>
    <sortCondition descending="1" ref="T129:T218"/>
  </sortState>
  <mergeCells count="22">
    <mergeCell ref="M4:P4"/>
    <mergeCell ref="M5:N5"/>
    <mergeCell ref="O5:P5"/>
    <mergeCell ref="S4:V4"/>
    <mergeCell ref="S5:T5"/>
    <mergeCell ref="U5:V5"/>
    <mergeCell ref="CA5:CH5"/>
    <mergeCell ref="Y5:AF5"/>
    <mergeCell ref="AH5:AO5"/>
    <mergeCell ref="AQ5:AR5"/>
    <mergeCell ref="AS5:AT5"/>
    <mergeCell ref="AQ4:AT4"/>
    <mergeCell ref="AW4:AZ4"/>
    <mergeCell ref="AW5:AX5"/>
    <mergeCell ref="AY5:AZ5"/>
    <mergeCell ref="BR5:BY5"/>
    <mergeCell ref="CJ4:CM4"/>
    <mergeCell ref="CP4:CS4"/>
    <mergeCell ref="CJ5:CK5"/>
    <mergeCell ref="CL5:CM5"/>
    <mergeCell ref="CP5:CQ5"/>
    <mergeCell ref="CR5:CS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7EAF5-AAC8-4B40-A507-2BC50DAFD283}">
  <sheetPr codeName="Sheet8"/>
  <dimension ref="A1:L208"/>
  <sheetViews>
    <sheetView workbookViewId="0">
      <selection activeCell="J2" sqref="J2"/>
    </sheetView>
  </sheetViews>
  <sheetFormatPr defaultRowHeight="15" x14ac:dyDescent="0.25"/>
  <cols>
    <col min="1" max="3" width="9.140625" style="1"/>
    <col min="6" max="6" width="10.7109375" customWidth="1"/>
    <col min="7" max="7" width="14.5703125" customWidth="1"/>
    <col min="16" max="16" width="17" customWidth="1"/>
  </cols>
  <sheetData>
    <row r="1" spans="1:12" ht="16.5" customHeight="1" x14ac:dyDescent="0.25">
      <c r="A1" s="112" t="s">
        <v>756</v>
      </c>
      <c r="B1" s="112"/>
      <c r="C1" s="112"/>
      <c r="D1" s="112"/>
      <c r="E1" s="112"/>
      <c r="F1" s="112"/>
      <c r="G1" s="112"/>
      <c r="H1" s="112"/>
      <c r="I1" s="4" t="s">
        <v>761</v>
      </c>
      <c r="J1" s="4" t="s">
        <v>762</v>
      </c>
      <c r="K1" s="4"/>
      <c r="L1" s="4" t="s">
        <v>764</v>
      </c>
    </row>
    <row r="2" spans="1:12" x14ac:dyDescent="0.25">
      <c r="I2" s="1">
        <v>0.42212820242825372</v>
      </c>
      <c r="J2" s="1">
        <v>8.0719500888051365E-3</v>
      </c>
      <c r="K2" s="1"/>
      <c r="L2" s="1">
        <f>SUM(G4:G208)</f>
        <v>-372.17525828030091</v>
      </c>
    </row>
    <row r="3" spans="1:12" x14ac:dyDescent="0.25">
      <c r="A3" s="58" t="s">
        <v>755</v>
      </c>
      <c r="B3" s="58" t="s">
        <v>714</v>
      </c>
      <c r="C3" s="58" t="s">
        <v>713</v>
      </c>
      <c r="D3" s="58" t="s">
        <v>719</v>
      </c>
      <c r="F3" s="60" t="s">
        <v>760</v>
      </c>
      <c r="G3" s="60" t="s">
        <v>763</v>
      </c>
    </row>
    <row r="4" spans="1:12" x14ac:dyDescent="0.25">
      <c r="A4" s="1">
        <v>1</v>
      </c>
      <c r="B4" s="55">
        <v>0.32854209445585214</v>
      </c>
      <c r="C4" s="1">
        <v>0</v>
      </c>
      <c r="D4" s="1">
        <v>1</v>
      </c>
      <c r="F4" s="55">
        <f t="shared" ref="F4:F67" si="0">IF(C4=0,Theta+(1-Theta)*EXP(-Lambda*B4),(1-Theta)*Lambda*EXP(-Lambda*B4))</f>
        <v>0.99846952849847814</v>
      </c>
      <c r="G4" s="55">
        <f>LN(F4)</f>
        <v>-1.5316438693667449E-3</v>
      </c>
    </row>
    <row r="5" spans="1:12" x14ac:dyDescent="0.25">
      <c r="A5" s="1">
        <v>2</v>
      </c>
      <c r="B5" s="55">
        <v>0.98562628336755642</v>
      </c>
      <c r="C5" s="1">
        <v>0</v>
      </c>
      <c r="D5" s="1">
        <v>1</v>
      </c>
      <c r="F5" s="55">
        <f t="shared" si="0"/>
        <v>0.99542073494704986</v>
      </c>
      <c r="G5" s="55">
        <f t="shared" ref="G5:G68" si="1">LN(F5)</f>
        <v>-4.5897820060553426E-3</v>
      </c>
    </row>
    <row r="6" spans="1:12" x14ac:dyDescent="0.25">
      <c r="A6" s="1">
        <v>3</v>
      </c>
      <c r="B6" s="55">
        <v>1.1498973305954825</v>
      </c>
      <c r="C6" s="1">
        <v>0</v>
      </c>
      <c r="D6" s="1">
        <v>1</v>
      </c>
      <c r="F6" s="55">
        <f t="shared" si="0"/>
        <v>0.99466105987492548</v>
      </c>
      <c r="G6" s="55">
        <f t="shared" si="1"/>
        <v>-5.353243197450082E-3</v>
      </c>
    </row>
    <row r="7" spans="1:12" x14ac:dyDescent="0.25">
      <c r="A7" s="1">
        <v>4</v>
      </c>
      <c r="B7" s="55">
        <v>3.2525667351129361</v>
      </c>
      <c r="C7" s="1">
        <v>0</v>
      </c>
      <c r="D7" s="1">
        <v>1</v>
      </c>
      <c r="F7" s="55">
        <f t="shared" si="0"/>
        <v>0.98502566473719577</v>
      </c>
      <c r="G7" s="55">
        <f t="shared" si="1"/>
        <v>-1.508758257873153E-2</v>
      </c>
    </row>
    <row r="8" spans="1:12" x14ac:dyDescent="0.25">
      <c r="A8" s="1">
        <v>5</v>
      </c>
      <c r="B8" s="55">
        <v>6.0780287474332653</v>
      </c>
      <c r="C8" s="1">
        <v>1</v>
      </c>
      <c r="D8" s="1">
        <v>1</v>
      </c>
      <c r="F8" s="55">
        <f t="shared" si="0"/>
        <v>4.441225343671841E-3</v>
      </c>
      <c r="G8" s="55">
        <f t="shared" si="1"/>
        <v>-5.4168249623085423</v>
      </c>
    </row>
    <row r="9" spans="1:12" x14ac:dyDescent="0.25">
      <c r="A9" s="1">
        <v>6</v>
      </c>
      <c r="B9" s="55">
        <v>6.7022587268993838</v>
      </c>
      <c r="C9" s="1">
        <v>1</v>
      </c>
      <c r="D9" s="1">
        <v>1</v>
      </c>
      <c r="F9" s="55">
        <f t="shared" si="0"/>
        <v>4.4189033897264795E-3</v>
      </c>
      <c r="G9" s="55">
        <f t="shared" si="1"/>
        <v>-5.4218637155467286</v>
      </c>
    </row>
    <row r="10" spans="1:12" x14ac:dyDescent="0.25">
      <c r="A10" s="1">
        <v>7</v>
      </c>
      <c r="B10" s="55">
        <v>6.8993839835728954</v>
      </c>
      <c r="C10" s="1">
        <v>1</v>
      </c>
      <c r="D10" s="1">
        <v>1</v>
      </c>
      <c r="F10" s="55">
        <f t="shared" si="0"/>
        <v>4.4118776869857745E-3</v>
      </c>
      <c r="G10" s="55">
        <f t="shared" si="1"/>
        <v>-5.4234549007798396</v>
      </c>
    </row>
    <row r="11" spans="1:12" x14ac:dyDescent="0.25">
      <c r="A11" s="1">
        <v>8</v>
      </c>
      <c r="B11" s="55">
        <v>7.6221765913757702</v>
      </c>
      <c r="C11" s="1">
        <v>0</v>
      </c>
      <c r="D11" s="1">
        <v>1</v>
      </c>
      <c r="F11" s="55">
        <f t="shared" si="0"/>
        <v>0.96551761414079551</v>
      </c>
      <c r="G11" s="55">
        <f t="shared" si="1"/>
        <v>-3.5090933736949277E-2</v>
      </c>
    </row>
    <row r="12" spans="1:12" x14ac:dyDescent="0.25">
      <c r="A12" s="1">
        <v>9</v>
      </c>
      <c r="B12" s="55">
        <v>7.6221765913757702</v>
      </c>
      <c r="C12" s="1">
        <v>1</v>
      </c>
      <c r="D12" s="1">
        <v>1</v>
      </c>
      <c r="F12" s="55">
        <f t="shared" si="0"/>
        <v>4.3862122101288228E-3</v>
      </c>
      <c r="G12" s="55">
        <f t="shared" si="1"/>
        <v>-5.4292892466345819</v>
      </c>
    </row>
    <row r="13" spans="1:12" x14ac:dyDescent="0.25">
      <c r="A13" s="1">
        <v>10</v>
      </c>
      <c r="B13" s="55">
        <v>9.1663244353182751</v>
      </c>
      <c r="C13" s="1">
        <v>1</v>
      </c>
      <c r="D13" s="1">
        <v>1</v>
      </c>
      <c r="F13" s="55">
        <f t="shared" si="0"/>
        <v>4.3318805202478636E-3</v>
      </c>
      <c r="G13" s="55">
        <f t="shared" si="1"/>
        <v>-5.4417535309606215</v>
      </c>
    </row>
    <row r="14" spans="1:12" x14ac:dyDescent="0.25">
      <c r="A14" s="1">
        <v>11</v>
      </c>
      <c r="B14" s="55">
        <v>9.6919917864476393</v>
      </c>
      <c r="C14" s="1">
        <v>1</v>
      </c>
      <c r="D14" s="1">
        <v>1</v>
      </c>
      <c r="F14" s="55">
        <f t="shared" si="0"/>
        <v>4.3135385967900302E-3</v>
      </c>
      <c r="G14" s="55">
        <f t="shared" si="1"/>
        <v>-5.4459966915822529</v>
      </c>
    </row>
    <row r="15" spans="1:12" x14ac:dyDescent="0.25">
      <c r="A15" s="1">
        <v>12</v>
      </c>
      <c r="B15" s="55">
        <v>11.663244353182751</v>
      </c>
      <c r="C15" s="1">
        <v>0</v>
      </c>
      <c r="D15" s="1">
        <v>1</v>
      </c>
      <c r="F15" s="55">
        <f t="shared" si="0"/>
        <v>0.94807860377219422</v>
      </c>
      <c r="G15" s="55">
        <f t="shared" si="1"/>
        <v>-5.3317864792891773E-2</v>
      </c>
    </row>
    <row r="16" spans="1:12" x14ac:dyDescent="0.25">
      <c r="A16" s="1">
        <v>13</v>
      </c>
      <c r="B16" s="55">
        <v>12.681724845995893</v>
      </c>
      <c r="C16" s="1">
        <v>1</v>
      </c>
      <c r="D16" s="1">
        <v>1</v>
      </c>
      <c r="F16" s="55">
        <f t="shared" si="0"/>
        <v>4.2106861329568495E-3</v>
      </c>
      <c r="G16" s="55">
        <f t="shared" si="1"/>
        <v>-5.4701296676177771</v>
      </c>
    </row>
    <row r="17" spans="1:7" x14ac:dyDescent="0.25">
      <c r="A17" s="1">
        <v>14</v>
      </c>
      <c r="B17" s="55">
        <v>13.995893223819301</v>
      </c>
      <c r="C17" s="1">
        <v>1</v>
      </c>
      <c r="D17" s="1">
        <v>1</v>
      </c>
      <c r="F17" s="55">
        <f t="shared" si="0"/>
        <v>4.1662556626478244E-3</v>
      </c>
      <c r="G17" s="55">
        <f t="shared" si="1"/>
        <v>-5.4807375691718532</v>
      </c>
    </row>
    <row r="18" spans="1:7" x14ac:dyDescent="0.25">
      <c r="A18" s="1">
        <v>15</v>
      </c>
      <c r="B18" s="55">
        <v>15.408624229979466</v>
      </c>
      <c r="C18" s="1">
        <v>1</v>
      </c>
      <c r="D18" s="1">
        <v>1</v>
      </c>
      <c r="F18" s="55">
        <f t="shared" si="0"/>
        <v>4.1190156529946724E-3</v>
      </c>
      <c r="G18" s="55">
        <f t="shared" si="1"/>
        <v>-5.4921410633424852</v>
      </c>
    </row>
    <row r="19" spans="1:7" x14ac:dyDescent="0.25">
      <c r="A19" s="1">
        <v>16</v>
      </c>
      <c r="B19" s="55">
        <v>16.197125256673512</v>
      </c>
      <c r="C19" s="1">
        <v>0</v>
      </c>
      <c r="D19" s="1">
        <v>1</v>
      </c>
      <c r="F19" s="55">
        <f t="shared" si="0"/>
        <v>0.92917822060561761</v>
      </c>
      <c r="G19" s="55">
        <f t="shared" si="1"/>
        <v>-7.3454717226679928E-2</v>
      </c>
    </row>
    <row r="20" spans="1:7" x14ac:dyDescent="0.25">
      <c r="A20" s="1">
        <v>17</v>
      </c>
      <c r="B20" s="55">
        <v>17.37987679671458</v>
      </c>
      <c r="C20" s="1">
        <v>1</v>
      </c>
      <c r="D20" s="1">
        <v>1</v>
      </c>
      <c r="F20" s="55">
        <f t="shared" si="0"/>
        <v>4.0539931701457175E-3</v>
      </c>
      <c r="G20" s="55">
        <f t="shared" si="1"/>
        <v>-5.5080529156736002</v>
      </c>
    </row>
    <row r="21" spans="1:7" x14ac:dyDescent="0.25">
      <c r="A21" s="1">
        <v>18</v>
      </c>
      <c r="B21" s="55">
        <v>20.402464065708418</v>
      </c>
      <c r="C21" s="1">
        <v>1</v>
      </c>
      <c r="D21" s="1">
        <v>1</v>
      </c>
      <c r="F21" s="55">
        <f t="shared" si="0"/>
        <v>3.9562799996604439E-3</v>
      </c>
      <c r="G21" s="55">
        <f t="shared" si="1"/>
        <v>-5.532451089247977</v>
      </c>
    </row>
    <row r="22" spans="1:7" x14ac:dyDescent="0.25">
      <c r="A22" s="1">
        <v>19</v>
      </c>
      <c r="B22" s="55">
        <v>20.6652977412731</v>
      </c>
      <c r="C22" s="1">
        <v>1</v>
      </c>
      <c r="D22" s="1">
        <v>1</v>
      </c>
      <c r="F22" s="55">
        <f t="shared" si="0"/>
        <v>3.9478953314276309E-3</v>
      </c>
      <c r="G22" s="55">
        <f t="shared" si="1"/>
        <v>-5.5345726695587922</v>
      </c>
    </row>
    <row r="23" spans="1:7" x14ac:dyDescent="0.25">
      <c r="A23" s="1">
        <v>20</v>
      </c>
      <c r="B23" s="55">
        <v>21.650924024640656</v>
      </c>
      <c r="C23" s="1">
        <v>1</v>
      </c>
      <c r="D23" s="1">
        <v>1</v>
      </c>
      <c r="F23" s="55">
        <f t="shared" si="0"/>
        <v>3.9166107814636447E-3</v>
      </c>
      <c r="G23" s="55">
        <f t="shared" si="1"/>
        <v>-5.5425285957243497</v>
      </c>
    </row>
    <row r="24" spans="1:7" x14ac:dyDescent="0.25">
      <c r="A24" s="1">
        <v>21</v>
      </c>
      <c r="B24" s="55">
        <v>21.913757700205338</v>
      </c>
      <c r="C24" s="1">
        <v>1</v>
      </c>
      <c r="D24" s="1">
        <v>1</v>
      </c>
      <c r="F24" s="55">
        <f t="shared" si="0"/>
        <v>3.9083101854485878E-3</v>
      </c>
      <c r="G24" s="55">
        <f t="shared" si="1"/>
        <v>-5.544650176035165</v>
      </c>
    </row>
    <row r="25" spans="1:7" x14ac:dyDescent="0.25">
      <c r="A25" s="1">
        <v>22</v>
      </c>
      <c r="B25" s="55">
        <v>23.589322381930184</v>
      </c>
      <c r="C25" s="1">
        <v>1</v>
      </c>
      <c r="D25" s="1">
        <v>1</v>
      </c>
      <c r="F25" s="55">
        <f t="shared" si="0"/>
        <v>3.8558058619089226E-3</v>
      </c>
      <c r="G25" s="55">
        <f t="shared" si="1"/>
        <v>-5.5581752505166122</v>
      </c>
    </row>
    <row r="26" spans="1:7" x14ac:dyDescent="0.25">
      <c r="A26" s="1">
        <v>23</v>
      </c>
      <c r="B26" s="55">
        <v>24.706365503080082</v>
      </c>
      <c r="C26" s="1">
        <v>1</v>
      </c>
      <c r="D26" s="1">
        <v>1</v>
      </c>
      <c r="F26" s="55">
        <f t="shared" si="0"/>
        <v>3.8211954249978376E-3</v>
      </c>
      <c r="G26" s="55">
        <f t="shared" si="1"/>
        <v>-5.5671919668375773</v>
      </c>
    </row>
    <row r="27" spans="1:7" x14ac:dyDescent="0.25">
      <c r="A27" s="1">
        <v>24</v>
      </c>
      <c r="B27" s="55">
        <v>25.593429158110883</v>
      </c>
      <c r="C27" s="1">
        <v>1</v>
      </c>
      <c r="D27" s="1">
        <v>1</v>
      </c>
      <c r="F27" s="55">
        <f t="shared" si="0"/>
        <v>3.7939321148792319E-3</v>
      </c>
      <c r="G27" s="55">
        <f t="shared" si="1"/>
        <v>-5.5743523003865789</v>
      </c>
    </row>
    <row r="28" spans="1:7" x14ac:dyDescent="0.25">
      <c r="A28" s="1">
        <v>25</v>
      </c>
      <c r="B28" s="55">
        <v>26.053388090349078</v>
      </c>
      <c r="C28" s="1">
        <v>1</v>
      </c>
      <c r="D28" s="1">
        <v>1</v>
      </c>
      <c r="F28" s="55">
        <f t="shared" si="0"/>
        <v>3.7798722510868602E-3</v>
      </c>
      <c r="G28" s="55">
        <f t="shared" si="1"/>
        <v>-5.578065065930506</v>
      </c>
    </row>
    <row r="29" spans="1:7" x14ac:dyDescent="0.25">
      <c r="A29" s="1">
        <v>26</v>
      </c>
      <c r="B29" s="55">
        <v>26.84188911704312</v>
      </c>
      <c r="C29" s="1">
        <v>1</v>
      </c>
      <c r="D29" s="1">
        <v>1</v>
      </c>
      <c r="F29" s="55">
        <f t="shared" si="0"/>
        <v>3.7558907424531385E-3</v>
      </c>
      <c r="G29" s="55">
        <f t="shared" si="1"/>
        <v>-5.5844298068629517</v>
      </c>
    </row>
    <row r="30" spans="1:7" x14ac:dyDescent="0.25">
      <c r="A30" s="1">
        <v>27</v>
      </c>
      <c r="B30" s="55">
        <v>27.137577002053387</v>
      </c>
      <c r="C30" s="1">
        <v>0</v>
      </c>
      <c r="D30" s="1">
        <v>1</v>
      </c>
      <c r="F30" s="55">
        <f t="shared" si="0"/>
        <v>0.88632048731625823</v>
      </c>
      <c r="G30" s="55">
        <f t="shared" si="1"/>
        <v>-0.12067666995010111</v>
      </c>
    </row>
    <row r="31" spans="1:7" x14ac:dyDescent="0.25">
      <c r="A31" s="1">
        <v>28</v>
      </c>
      <c r="B31" s="55">
        <v>27.367556468172484</v>
      </c>
      <c r="C31" s="1">
        <v>1</v>
      </c>
      <c r="D31" s="1">
        <v>1</v>
      </c>
      <c r="F31" s="55">
        <f t="shared" si="0"/>
        <v>3.7399876582863301E-3</v>
      </c>
      <c r="G31" s="55">
        <f t="shared" si="1"/>
        <v>-5.5886729674845821</v>
      </c>
    </row>
    <row r="32" spans="1:7" x14ac:dyDescent="0.25">
      <c r="A32" s="1">
        <v>29</v>
      </c>
      <c r="B32" s="55">
        <v>28.188911704312115</v>
      </c>
      <c r="C32" s="1">
        <v>1</v>
      </c>
      <c r="D32" s="1">
        <v>1</v>
      </c>
      <c r="F32" s="55">
        <f t="shared" si="0"/>
        <v>3.7152737864802289E-3</v>
      </c>
      <c r="G32" s="55">
        <f t="shared" si="1"/>
        <v>-5.5953029059558803</v>
      </c>
    </row>
    <row r="33" spans="1:7" x14ac:dyDescent="0.25">
      <c r="A33" s="1">
        <v>30</v>
      </c>
      <c r="B33" s="55">
        <v>28.550308008213552</v>
      </c>
      <c r="C33" s="1">
        <v>1</v>
      </c>
      <c r="D33" s="1">
        <v>1</v>
      </c>
      <c r="F33" s="55">
        <f t="shared" si="0"/>
        <v>3.7044514833121673E-3</v>
      </c>
      <c r="G33" s="55">
        <f t="shared" si="1"/>
        <v>-5.5982200788832515</v>
      </c>
    </row>
    <row r="34" spans="1:7" x14ac:dyDescent="0.25">
      <c r="A34" s="1">
        <v>31</v>
      </c>
      <c r="B34" s="55">
        <v>28.648870636550306</v>
      </c>
      <c r="C34" s="1">
        <v>1</v>
      </c>
      <c r="D34" s="1">
        <v>1</v>
      </c>
      <c r="F34" s="55">
        <f t="shared" si="0"/>
        <v>3.7015054211517037E-3</v>
      </c>
      <c r="G34" s="55">
        <f t="shared" si="1"/>
        <v>-5.5990156714998074</v>
      </c>
    </row>
    <row r="35" spans="1:7" x14ac:dyDescent="0.25">
      <c r="A35" s="1">
        <v>32</v>
      </c>
      <c r="B35" s="55">
        <v>31.770020533880903</v>
      </c>
      <c r="C35" s="1">
        <v>1</v>
      </c>
      <c r="D35" s="1">
        <v>1</v>
      </c>
      <c r="F35" s="55">
        <f t="shared" si="0"/>
        <v>3.6094154762248095E-3</v>
      </c>
      <c r="G35" s="55">
        <f t="shared" si="1"/>
        <v>-5.6242094376907392</v>
      </c>
    </row>
    <row r="36" spans="1:7" x14ac:dyDescent="0.25">
      <c r="A36" s="1">
        <v>33</v>
      </c>
      <c r="B36" s="55">
        <v>32.098562628336758</v>
      </c>
      <c r="C36" s="1">
        <v>1</v>
      </c>
      <c r="D36" s="1">
        <v>1</v>
      </c>
      <c r="F36" s="55">
        <f t="shared" si="0"/>
        <v>3.5998560764639517E-3</v>
      </c>
      <c r="G36" s="55">
        <f t="shared" si="1"/>
        <v>-5.6268614130792578</v>
      </c>
    </row>
    <row r="37" spans="1:7" x14ac:dyDescent="0.25">
      <c r="A37" s="1">
        <v>34</v>
      </c>
      <c r="B37" s="55">
        <v>32.262833675564679</v>
      </c>
      <c r="C37" s="1">
        <v>1</v>
      </c>
      <c r="D37" s="1">
        <v>1</v>
      </c>
      <c r="F37" s="55">
        <f t="shared" si="0"/>
        <v>3.5950858749186606E-3</v>
      </c>
      <c r="G37" s="55">
        <f t="shared" si="1"/>
        <v>-5.628187400773518</v>
      </c>
    </row>
    <row r="38" spans="1:7" x14ac:dyDescent="0.25">
      <c r="A38" s="1">
        <v>35</v>
      </c>
      <c r="B38" s="55">
        <v>34.201232032854207</v>
      </c>
      <c r="C38" s="1">
        <v>1</v>
      </c>
      <c r="D38" s="1">
        <v>1</v>
      </c>
      <c r="F38" s="55">
        <f t="shared" si="0"/>
        <v>3.5392725915433191E-3</v>
      </c>
      <c r="G38" s="55">
        <f t="shared" si="1"/>
        <v>-5.6438340555657804</v>
      </c>
    </row>
    <row r="39" spans="1:7" x14ac:dyDescent="0.25">
      <c r="A39" s="1">
        <v>36</v>
      </c>
      <c r="B39" s="55">
        <v>34.661190965092402</v>
      </c>
      <c r="C39" s="1">
        <v>1</v>
      </c>
      <c r="D39" s="1">
        <v>1</v>
      </c>
      <c r="F39" s="55">
        <f t="shared" si="0"/>
        <v>3.5261564658314185E-3</v>
      </c>
      <c r="G39" s="55">
        <f t="shared" si="1"/>
        <v>-5.6475468211097075</v>
      </c>
    </row>
    <row r="40" spans="1:7" x14ac:dyDescent="0.25">
      <c r="A40" s="1">
        <v>37</v>
      </c>
      <c r="B40" s="55">
        <v>34.891170431211499</v>
      </c>
      <c r="C40" s="1">
        <v>1</v>
      </c>
      <c r="D40" s="1">
        <v>1</v>
      </c>
      <c r="F40" s="55">
        <f t="shared" si="0"/>
        <v>3.5196166418034348E-3</v>
      </c>
      <c r="G40" s="55">
        <f t="shared" si="1"/>
        <v>-5.6494032038816711</v>
      </c>
    </row>
    <row r="41" spans="1:7" x14ac:dyDescent="0.25">
      <c r="A41" s="1">
        <v>38</v>
      </c>
      <c r="B41" s="55">
        <v>35.318275154004105</v>
      </c>
      <c r="C41" s="1">
        <v>1</v>
      </c>
      <c r="D41" s="1">
        <v>1</v>
      </c>
      <c r="F41" s="55">
        <f t="shared" si="0"/>
        <v>3.5075034166606148E-3</v>
      </c>
      <c r="G41" s="55">
        <f t="shared" si="1"/>
        <v>-5.6528507718867456</v>
      </c>
    </row>
    <row r="42" spans="1:7" x14ac:dyDescent="0.25">
      <c r="A42" s="1">
        <v>39</v>
      </c>
      <c r="B42" s="55">
        <v>37.979466119096507</v>
      </c>
      <c r="C42" s="1">
        <v>1</v>
      </c>
      <c r="D42" s="1">
        <v>1</v>
      </c>
      <c r="F42" s="55">
        <f t="shared" si="0"/>
        <v>3.432962209650729E-3</v>
      </c>
      <c r="G42" s="55">
        <f t="shared" si="1"/>
        <v>-5.6743317725337503</v>
      </c>
    </row>
    <row r="43" spans="1:7" x14ac:dyDescent="0.25">
      <c r="A43" s="1">
        <v>40</v>
      </c>
      <c r="B43" s="55">
        <v>40.344969199178642</v>
      </c>
      <c r="C43" s="1">
        <v>1</v>
      </c>
      <c r="D43" s="1">
        <v>1</v>
      </c>
      <c r="F43" s="55">
        <f t="shared" si="0"/>
        <v>3.3680343109033883E-3</v>
      </c>
      <c r="G43" s="55">
        <f t="shared" si="1"/>
        <v>-5.6934259953310882</v>
      </c>
    </row>
    <row r="44" spans="1:7" x14ac:dyDescent="0.25">
      <c r="A44" s="1">
        <v>41</v>
      </c>
      <c r="B44" s="55">
        <v>41.133470225872692</v>
      </c>
      <c r="C44" s="1">
        <v>1</v>
      </c>
      <c r="D44" s="1">
        <v>1</v>
      </c>
      <c r="F44" s="55">
        <f t="shared" si="0"/>
        <v>3.346665719972206E-3</v>
      </c>
      <c r="G44" s="55">
        <f t="shared" si="1"/>
        <v>-5.6997907362635347</v>
      </c>
    </row>
    <row r="45" spans="1:7" x14ac:dyDescent="0.25">
      <c r="A45" s="1">
        <v>42</v>
      </c>
      <c r="B45" s="55">
        <v>41.757700205338807</v>
      </c>
      <c r="C45" s="1">
        <v>1</v>
      </c>
      <c r="D45" s="1">
        <v>1</v>
      </c>
      <c r="F45" s="55">
        <f t="shared" si="0"/>
        <v>3.3298451102775906E-3</v>
      </c>
      <c r="G45" s="55">
        <f t="shared" si="1"/>
        <v>-5.7048294895017211</v>
      </c>
    </row>
    <row r="46" spans="1:7" x14ac:dyDescent="0.25">
      <c r="A46" s="1">
        <v>43</v>
      </c>
      <c r="B46" s="55">
        <v>43.104722792607802</v>
      </c>
      <c r="C46" s="1">
        <v>1</v>
      </c>
      <c r="D46" s="1">
        <v>1</v>
      </c>
      <c r="F46" s="55">
        <f t="shared" si="0"/>
        <v>3.2938354972417176E-3</v>
      </c>
      <c r="G46" s="55">
        <f t="shared" si="1"/>
        <v>-5.7157025885946497</v>
      </c>
    </row>
    <row r="47" spans="1:7" x14ac:dyDescent="0.25">
      <c r="A47" s="1">
        <v>44</v>
      </c>
      <c r="B47" s="55">
        <v>46.882956878850102</v>
      </c>
      <c r="C47" s="1">
        <v>0</v>
      </c>
      <c r="D47" s="1">
        <v>1</v>
      </c>
      <c r="F47" s="55">
        <f t="shared" si="0"/>
        <v>0.8179306245144119</v>
      </c>
      <c r="G47" s="55">
        <f t="shared" si="1"/>
        <v>-0.20097775708313123</v>
      </c>
    </row>
    <row r="48" spans="1:7" x14ac:dyDescent="0.25">
      <c r="A48" s="1">
        <v>45</v>
      </c>
      <c r="B48" s="55">
        <v>47.145790554414788</v>
      </c>
      <c r="C48" s="1">
        <v>1</v>
      </c>
      <c r="D48" s="1">
        <v>1</v>
      </c>
      <c r="F48" s="55">
        <f t="shared" si="0"/>
        <v>3.1881263498959238E-3</v>
      </c>
      <c r="G48" s="55">
        <f t="shared" si="1"/>
        <v>-5.7483218858734348</v>
      </c>
    </row>
    <row r="49" spans="1:7" x14ac:dyDescent="0.25">
      <c r="A49" s="1">
        <v>46</v>
      </c>
      <c r="B49" s="55">
        <v>49.248459958932237</v>
      </c>
      <c r="C49" s="1">
        <v>0</v>
      </c>
      <c r="D49" s="1">
        <v>1</v>
      </c>
      <c r="F49" s="55">
        <f t="shared" si="0"/>
        <v>0.81044478050689017</v>
      </c>
      <c r="G49" s="55">
        <f t="shared" si="1"/>
        <v>-0.21017207028543361</v>
      </c>
    </row>
    <row r="50" spans="1:7" x14ac:dyDescent="0.25">
      <c r="A50" s="1">
        <v>47</v>
      </c>
      <c r="B50" s="55">
        <v>49.478439425051334</v>
      </c>
      <c r="C50" s="1">
        <v>1</v>
      </c>
      <c r="D50" s="1">
        <v>1</v>
      </c>
      <c r="F50" s="55">
        <f t="shared" si="0"/>
        <v>3.1286586546186912E-3</v>
      </c>
      <c r="G50" s="55">
        <f t="shared" si="1"/>
        <v>-5.767150911131921</v>
      </c>
    </row>
    <row r="51" spans="1:7" x14ac:dyDescent="0.25">
      <c r="A51" s="1">
        <v>48</v>
      </c>
      <c r="B51" s="55">
        <v>49.544147843942504</v>
      </c>
      <c r="C51" s="1">
        <v>0</v>
      </c>
      <c r="D51" s="1">
        <v>1</v>
      </c>
      <c r="F51" s="55">
        <f t="shared" si="0"/>
        <v>0.80951906028339882</v>
      </c>
      <c r="G51" s="55">
        <f t="shared" si="1"/>
        <v>-0.21131496039315875</v>
      </c>
    </row>
    <row r="52" spans="1:7" x14ac:dyDescent="0.25">
      <c r="A52" s="1">
        <v>49</v>
      </c>
      <c r="B52" s="55">
        <v>49.609856262833674</v>
      </c>
      <c r="C52" s="1">
        <v>0</v>
      </c>
      <c r="D52" s="1">
        <v>1</v>
      </c>
      <c r="F52" s="55">
        <f t="shared" si="0"/>
        <v>0.80931364455980503</v>
      </c>
      <c r="G52" s="55">
        <f t="shared" si="1"/>
        <v>-0.21156874291692632</v>
      </c>
    </row>
    <row r="53" spans="1:7" x14ac:dyDescent="0.25">
      <c r="A53" s="1">
        <v>50</v>
      </c>
      <c r="B53" s="55">
        <v>49.675564681724843</v>
      </c>
      <c r="C53" s="1">
        <v>0</v>
      </c>
      <c r="D53" s="1">
        <v>1</v>
      </c>
      <c r="F53" s="55">
        <f t="shared" si="0"/>
        <v>0.8091083377588113</v>
      </c>
      <c r="G53" s="55">
        <f t="shared" si="1"/>
        <v>-0.21182245524206528</v>
      </c>
    </row>
    <row r="54" spans="1:7" x14ac:dyDescent="0.25">
      <c r="A54" s="1">
        <v>51</v>
      </c>
      <c r="B54" s="55">
        <v>49.80698151950719</v>
      </c>
      <c r="C54" s="1">
        <v>1</v>
      </c>
      <c r="D54" s="1">
        <v>1</v>
      </c>
      <c r="F54" s="55">
        <f t="shared" si="0"/>
        <v>3.1203725210350755E-3</v>
      </c>
      <c r="G54" s="55">
        <f t="shared" si="1"/>
        <v>-5.7698028865204396</v>
      </c>
    </row>
    <row r="55" spans="1:7" x14ac:dyDescent="0.25">
      <c r="A55" s="1">
        <v>52</v>
      </c>
      <c r="B55" s="55">
        <v>50.102669404517457</v>
      </c>
      <c r="C55" s="1">
        <v>0</v>
      </c>
      <c r="D55" s="1">
        <v>1</v>
      </c>
      <c r="F55" s="55">
        <f t="shared" si="0"/>
        <v>0.80777649455481493</v>
      </c>
      <c r="G55" s="55">
        <f t="shared" si="1"/>
        <v>-0.21346987437618875</v>
      </c>
    </row>
    <row r="56" spans="1:7" x14ac:dyDescent="0.25">
      <c r="A56" s="1">
        <v>53</v>
      </c>
      <c r="B56" s="55">
        <v>50.661190965092402</v>
      </c>
      <c r="C56" s="1">
        <v>0</v>
      </c>
      <c r="D56" s="1">
        <v>1</v>
      </c>
      <c r="F56" s="55">
        <f t="shared" si="0"/>
        <v>0.80604176725415688</v>
      </c>
      <c r="G56" s="55">
        <f t="shared" si="1"/>
        <v>-0.21561971740355335</v>
      </c>
    </row>
    <row r="57" spans="1:7" x14ac:dyDescent="0.25">
      <c r="A57" s="1">
        <v>54</v>
      </c>
      <c r="B57" s="55">
        <v>50.858316221765911</v>
      </c>
      <c r="C57" s="1">
        <v>1</v>
      </c>
      <c r="D57" s="1">
        <v>1</v>
      </c>
      <c r="F57" s="55">
        <f t="shared" si="0"/>
        <v>3.0940040811977278E-3</v>
      </c>
      <c r="G57" s="55">
        <f t="shared" si="1"/>
        <v>-5.7782892077637005</v>
      </c>
    </row>
    <row r="58" spans="1:7" x14ac:dyDescent="0.25">
      <c r="A58" s="1">
        <v>55</v>
      </c>
      <c r="B58" s="55">
        <v>51.154004106776178</v>
      </c>
      <c r="C58" s="1">
        <v>0</v>
      </c>
      <c r="D58" s="1">
        <v>1</v>
      </c>
      <c r="F58" s="55">
        <f t="shared" si="0"/>
        <v>0.80451760680318773</v>
      </c>
      <c r="G58" s="55">
        <f t="shared" si="1"/>
        <v>-0.21751242739056356</v>
      </c>
    </row>
    <row r="59" spans="1:7" x14ac:dyDescent="0.25">
      <c r="A59" s="1">
        <v>56</v>
      </c>
      <c r="B59" s="55">
        <v>51.252566735112936</v>
      </c>
      <c r="C59" s="1">
        <v>1</v>
      </c>
      <c r="D59" s="1">
        <v>1</v>
      </c>
      <c r="F59" s="55">
        <f t="shared" si="0"/>
        <v>3.0841734646159026E-3</v>
      </c>
      <c r="G59" s="55">
        <f t="shared" si="1"/>
        <v>-5.7814715782299242</v>
      </c>
    </row>
    <row r="60" spans="1:7" x14ac:dyDescent="0.25">
      <c r="A60" s="1">
        <v>57</v>
      </c>
      <c r="B60" s="55">
        <v>51.351129363449694</v>
      </c>
      <c r="C60" s="1">
        <v>0</v>
      </c>
      <c r="D60" s="1">
        <v>1</v>
      </c>
      <c r="F60" s="55">
        <f t="shared" si="0"/>
        <v>0.80390963825321227</v>
      </c>
      <c r="G60" s="55">
        <f t="shared" si="1"/>
        <v>-0.21826840635174916</v>
      </c>
    </row>
    <row r="61" spans="1:7" x14ac:dyDescent="0.25">
      <c r="A61" s="1">
        <v>58</v>
      </c>
      <c r="B61" s="55">
        <v>52.041067761806978</v>
      </c>
      <c r="C61" s="1">
        <v>1</v>
      </c>
      <c r="D61" s="1">
        <v>1</v>
      </c>
      <c r="F61" s="55">
        <f t="shared" si="0"/>
        <v>3.0646058370199397E-3</v>
      </c>
      <c r="G61" s="55">
        <f t="shared" si="1"/>
        <v>-5.7878363191623698</v>
      </c>
    </row>
    <row r="62" spans="1:7" x14ac:dyDescent="0.25">
      <c r="A62" s="1">
        <v>59</v>
      </c>
      <c r="B62" s="55">
        <v>52.73100616016427</v>
      </c>
      <c r="C62" s="1">
        <v>0</v>
      </c>
      <c r="D62" s="1">
        <v>1</v>
      </c>
      <c r="F62" s="55">
        <f t="shared" si="0"/>
        <v>0.79968083790804667</v>
      </c>
      <c r="G62" s="55">
        <f t="shared" si="1"/>
        <v>-0.22354258353191842</v>
      </c>
    </row>
    <row r="63" spans="1:7" x14ac:dyDescent="0.25">
      <c r="A63" s="1">
        <v>60</v>
      </c>
      <c r="B63" s="55">
        <v>53.256673511293634</v>
      </c>
      <c r="C63" s="1">
        <v>1</v>
      </c>
      <c r="D63" s="1">
        <v>1</v>
      </c>
      <c r="F63" s="55">
        <f t="shared" si="0"/>
        <v>3.0346820286931264E-3</v>
      </c>
      <c r="G63" s="55">
        <f t="shared" si="1"/>
        <v>-5.7976486280998909</v>
      </c>
    </row>
    <row r="64" spans="1:7" x14ac:dyDescent="0.25">
      <c r="A64" s="1">
        <v>61</v>
      </c>
      <c r="B64" s="55">
        <v>53.453798767967143</v>
      </c>
      <c r="C64" s="1">
        <v>0</v>
      </c>
      <c r="D64" s="1">
        <v>1</v>
      </c>
      <c r="F64" s="55">
        <f t="shared" si="0"/>
        <v>0.79748447864433192</v>
      </c>
      <c r="G64" s="55">
        <f t="shared" si="1"/>
        <v>-0.22629290702747892</v>
      </c>
    </row>
    <row r="65" spans="1:7" x14ac:dyDescent="0.25">
      <c r="A65" s="1">
        <v>62</v>
      </c>
      <c r="B65" s="55">
        <v>53.68377823408624</v>
      </c>
      <c r="C65" s="1">
        <v>0</v>
      </c>
      <c r="D65" s="1">
        <v>1</v>
      </c>
      <c r="F65" s="55">
        <f t="shared" si="0"/>
        <v>0.79678832008811384</v>
      </c>
      <c r="G65" s="55">
        <f t="shared" si="1"/>
        <v>-0.22716623134313929</v>
      </c>
    </row>
    <row r="66" spans="1:7" x14ac:dyDescent="0.25">
      <c r="A66" s="1">
        <v>63</v>
      </c>
      <c r="B66" s="55">
        <v>53.913757700205338</v>
      </c>
      <c r="C66" s="1">
        <v>0</v>
      </c>
      <c r="D66" s="1">
        <v>1</v>
      </c>
      <c r="F66" s="55">
        <f t="shared" si="0"/>
        <v>0.7960934526698521</v>
      </c>
      <c r="G66" s="55">
        <f t="shared" si="1"/>
        <v>-0.22803869717735648</v>
      </c>
    </row>
    <row r="67" spans="1:7" x14ac:dyDescent="0.25">
      <c r="A67" s="1">
        <v>64</v>
      </c>
      <c r="B67" s="55">
        <v>53.913757700205338</v>
      </c>
      <c r="C67" s="1">
        <v>0</v>
      </c>
      <c r="D67" s="1">
        <v>1</v>
      </c>
      <c r="F67" s="55">
        <f t="shared" si="0"/>
        <v>0.7960934526698521</v>
      </c>
      <c r="G67" s="55">
        <f t="shared" si="1"/>
        <v>-0.22803869717735648</v>
      </c>
    </row>
    <row r="68" spans="1:7" x14ac:dyDescent="0.25">
      <c r="A68" s="1">
        <v>65</v>
      </c>
      <c r="B68" s="55">
        <v>54.143737166324435</v>
      </c>
      <c r="C68" s="1">
        <v>0</v>
      </c>
      <c r="D68" s="1">
        <v>1</v>
      </c>
      <c r="F68" s="55">
        <f t="shared" ref="F68:F131" si="2">IF(C68=0,Theta+(1-Theta)*EXP(-Lambda*B68),(1-Theta)*Lambda*EXP(-Lambda*B68))</f>
        <v>0.79539987399492396</v>
      </c>
      <c r="G68" s="55">
        <f t="shared" si="1"/>
        <v>-0.22891030462580356</v>
      </c>
    </row>
    <row r="69" spans="1:7" x14ac:dyDescent="0.25">
      <c r="A69" s="1">
        <v>66</v>
      </c>
      <c r="B69" s="55">
        <v>54.275154004106774</v>
      </c>
      <c r="C69" s="1">
        <v>0</v>
      </c>
      <c r="D69" s="1">
        <v>1</v>
      </c>
      <c r="F69" s="55">
        <f t="shared" si="2"/>
        <v>0.7950041210229728</v>
      </c>
      <c r="G69" s="55">
        <f t="shared" ref="G69:G132" si="3">LN(F69)</f>
        <v>-0.22940798066454501</v>
      </c>
    </row>
    <row r="70" spans="1:7" x14ac:dyDescent="0.25">
      <c r="A70" s="1">
        <v>67</v>
      </c>
      <c r="B70" s="55">
        <v>54.340862422997944</v>
      </c>
      <c r="C70" s="1">
        <v>0</v>
      </c>
      <c r="D70" s="1">
        <v>1</v>
      </c>
      <c r="F70" s="55">
        <f t="shared" si="2"/>
        <v>0.79480640191041296</v>
      </c>
      <c r="G70" s="55">
        <f t="shared" si="3"/>
        <v>-0.22965671359306331</v>
      </c>
    </row>
    <row r="71" spans="1:7" x14ac:dyDescent="0.25">
      <c r="A71" s="1">
        <v>68</v>
      </c>
      <c r="B71" s="55">
        <v>54.340862422997944</v>
      </c>
      <c r="C71" s="1">
        <v>0</v>
      </c>
      <c r="D71" s="1">
        <v>1</v>
      </c>
      <c r="F71" s="55">
        <f t="shared" si="2"/>
        <v>0.79480640191041296</v>
      </c>
      <c r="G71" s="55">
        <f t="shared" si="3"/>
        <v>-0.22965671359306331</v>
      </c>
    </row>
    <row r="72" spans="1:7" x14ac:dyDescent="0.25">
      <c r="A72" s="1">
        <v>69</v>
      </c>
      <c r="B72" s="55">
        <v>54.767967145790557</v>
      </c>
      <c r="C72" s="1">
        <v>1</v>
      </c>
      <c r="D72" s="1">
        <v>1</v>
      </c>
      <c r="F72" s="55">
        <f t="shared" si="2"/>
        <v>2.9978865710609663E-3</v>
      </c>
      <c r="G72" s="55">
        <f t="shared" si="3"/>
        <v>-5.8098477148870789</v>
      </c>
    </row>
    <row r="73" spans="1:7" x14ac:dyDescent="0.25">
      <c r="A73" s="1">
        <v>70</v>
      </c>
      <c r="B73" s="55">
        <v>55.129363449691994</v>
      </c>
      <c r="C73" s="1">
        <v>0</v>
      </c>
      <c r="D73" s="1">
        <v>1</v>
      </c>
      <c r="F73" s="55">
        <f t="shared" si="2"/>
        <v>0.79244193431341636</v>
      </c>
      <c r="G73" s="55">
        <f t="shared" si="3"/>
        <v>-0.23263604492015891</v>
      </c>
    </row>
    <row r="74" spans="1:7" x14ac:dyDescent="0.25">
      <c r="A74" s="1">
        <v>71</v>
      </c>
      <c r="B74" s="55">
        <v>55.359342915811091</v>
      </c>
      <c r="C74" s="1">
        <v>0</v>
      </c>
      <c r="D74" s="1">
        <v>1</v>
      </c>
      <c r="F74" s="55">
        <f t="shared" si="2"/>
        <v>0.79175512796629544</v>
      </c>
      <c r="G74" s="55">
        <f t="shared" si="3"/>
        <v>-0.23350311683501498</v>
      </c>
    </row>
    <row r="75" spans="1:7" x14ac:dyDescent="0.25">
      <c r="A75" s="1">
        <v>72</v>
      </c>
      <c r="B75" s="55">
        <v>55.523613963039011</v>
      </c>
      <c r="C75" s="1">
        <v>1</v>
      </c>
      <c r="D75" s="1">
        <v>1</v>
      </c>
      <c r="F75" s="55">
        <f t="shared" si="2"/>
        <v>2.9796564859492689E-3</v>
      </c>
      <c r="G75" s="55">
        <f t="shared" si="3"/>
        <v>-5.8159472582806728</v>
      </c>
    </row>
    <row r="76" spans="1:7" x14ac:dyDescent="0.25">
      <c r="A76" s="1">
        <v>73</v>
      </c>
      <c r="B76" s="55">
        <v>56.180698151950722</v>
      </c>
      <c r="C76" s="1">
        <v>0</v>
      </c>
      <c r="D76" s="1">
        <v>1</v>
      </c>
      <c r="F76" s="55">
        <f t="shared" si="2"/>
        <v>0.7893126299453217</v>
      </c>
      <c r="G76" s="55">
        <f t="shared" si="3"/>
        <v>-0.23659280094474211</v>
      </c>
    </row>
    <row r="77" spans="1:7" x14ac:dyDescent="0.25">
      <c r="A77" s="1">
        <v>74</v>
      </c>
      <c r="B77" s="55">
        <v>56.180698151950722</v>
      </c>
      <c r="C77" s="1">
        <v>0</v>
      </c>
      <c r="D77" s="1">
        <v>1</v>
      </c>
      <c r="F77" s="55">
        <f t="shared" si="2"/>
        <v>0.7893126299453217</v>
      </c>
      <c r="G77" s="55">
        <f t="shared" si="3"/>
        <v>-0.23659280094474211</v>
      </c>
    </row>
    <row r="78" spans="1:7" x14ac:dyDescent="0.25">
      <c r="A78" s="1">
        <v>75</v>
      </c>
      <c r="B78" s="55">
        <v>56.706365503080079</v>
      </c>
      <c r="C78" s="1">
        <v>1</v>
      </c>
      <c r="D78" s="1">
        <v>1</v>
      </c>
      <c r="F78" s="55">
        <f t="shared" si="2"/>
        <v>2.9513447363067294E-3</v>
      </c>
      <c r="G78" s="55">
        <f t="shared" si="3"/>
        <v>-5.8254943696793413</v>
      </c>
    </row>
    <row r="79" spans="1:7" x14ac:dyDescent="0.25">
      <c r="A79" s="1">
        <v>76</v>
      </c>
      <c r="B79" s="55">
        <v>57.330595482546201</v>
      </c>
      <c r="C79" s="1">
        <v>0</v>
      </c>
      <c r="D79" s="1">
        <v>1</v>
      </c>
      <c r="F79" s="55">
        <f t="shared" si="2"/>
        <v>0.78592022408365647</v>
      </c>
      <c r="G79" s="55">
        <f t="shared" si="3"/>
        <v>-0.24089998778077878</v>
      </c>
    </row>
    <row r="80" spans="1:7" x14ac:dyDescent="0.25">
      <c r="A80" s="1">
        <v>77</v>
      </c>
      <c r="B80" s="55">
        <v>57.889117043121146</v>
      </c>
      <c r="C80" s="1">
        <v>0</v>
      </c>
      <c r="D80" s="1">
        <v>1</v>
      </c>
      <c r="F80" s="55">
        <f t="shared" si="2"/>
        <v>0.78428381089420018</v>
      </c>
      <c r="G80" s="55">
        <f t="shared" si="3"/>
        <v>-0.24298432044767487</v>
      </c>
    </row>
    <row r="81" spans="1:7" x14ac:dyDescent="0.25">
      <c r="A81" s="1">
        <v>78</v>
      </c>
      <c r="B81" s="55">
        <v>58.447638603696099</v>
      </c>
      <c r="C81" s="1">
        <v>0</v>
      </c>
      <c r="D81" s="1">
        <v>1</v>
      </c>
      <c r="F81" s="55">
        <f t="shared" si="2"/>
        <v>0.78265475863617495</v>
      </c>
      <c r="G81" s="55">
        <f t="shared" si="3"/>
        <v>-0.2450636015077296</v>
      </c>
    </row>
    <row r="82" spans="1:7" x14ac:dyDescent="0.25">
      <c r="A82" s="1">
        <v>79</v>
      </c>
      <c r="B82" s="55">
        <v>58.710472279260777</v>
      </c>
      <c r="C82" s="1">
        <v>0</v>
      </c>
      <c r="D82" s="1">
        <v>1</v>
      </c>
      <c r="F82" s="55">
        <f t="shared" si="2"/>
        <v>0.78189068340308188</v>
      </c>
      <c r="G82" s="55">
        <f t="shared" si="3"/>
        <v>-0.24604033925315705</v>
      </c>
    </row>
    <row r="83" spans="1:7" x14ac:dyDescent="0.25">
      <c r="A83" s="1">
        <v>80</v>
      </c>
      <c r="B83" s="55">
        <v>58.710472279260777</v>
      </c>
      <c r="C83" s="1">
        <v>0</v>
      </c>
      <c r="D83" s="1">
        <v>1</v>
      </c>
      <c r="F83" s="55">
        <f t="shared" si="2"/>
        <v>0.78189068340308188</v>
      </c>
      <c r="G83" s="55">
        <f t="shared" si="3"/>
        <v>-0.24604033925315705</v>
      </c>
    </row>
    <row r="84" spans="1:7" x14ac:dyDescent="0.25">
      <c r="A84" s="1">
        <v>81</v>
      </c>
      <c r="B84" s="55">
        <v>58.907597535934293</v>
      </c>
      <c r="C84" s="1">
        <v>0</v>
      </c>
      <c r="D84" s="1">
        <v>1</v>
      </c>
      <c r="F84" s="55">
        <f t="shared" si="2"/>
        <v>0.78131868985045883</v>
      </c>
      <c r="G84" s="55">
        <f t="shared" si="3"/>
        <v>-0.24677215878793968</v>
      </c>
    </row>
    <row r="85" spans="1:7" x14ac:dyDescent="0.25">
      <c r="A85" s="1">
        <v>82</v>
      </c>
      <c r="B85" s="55">
        <v>59.26899383983573</v>
      </c>
      <c r="C85" s="1">
        <v>0</v>
      </c>
      <c r="D85" s="1">
        <v>1</v>
      </c>
      <c r="F85" s="55">
        <f t="shared" si="2"/>
        <v>0.78027239593690867</v>
      </c>
      <c r="G85" s="55">
        <f t="shared" si="3"/>
        <v>-0.24811219470341295</v>
      </c>
    </row>
    <row r="86" spans="1:7" x14ac:dyDescent="0.25">
      <c r="A86" s="1">
        <v>83</v>
      </c>
      <c r="B86" s="55">
        <v>59.531827515400408</v>
      </c>
      <c r="C86" s="1">
        <v>0</v>
      </c>
      <c r="D86" s="1">
        <v>1</v>
      </c>
      <c r="F86" s="55">
        <f t="shared" si="2"/>
        <v>0.77951336971977137</v>
      </c>
      <c r="G86" s="55">
        <f t="shared" si="3"/>
        <v>-0.24908543897036584</v>
      </c>
    </row>
    <row r="87" spans="1:7" x14ac:dyDescent="0.25">
      <c r="A87" s="1">
        <v>84</v>
      </c>
      <c r="B87" s="55">
        <v>60.320328542094458</v>
      </c>
      <c r="C87" s="1">
        <v>0</v>
      </c>
      <c r="D87" s="1">
        <v>1</v>
      </c>
      <c r="F87" s="55">
        <f t="shared" si="2"/>
        <v>0.77724592920706581</v>
      </c>
      <c r="G87" s="55">
        <f t="shared" si="3"/>
        <v>-0.25199846748758969</v>
      </c>
    </row>
    <row r="88" spans="1:7" x14ac:dyDescent="0.25">
      <c r="A88" s="1">
        <v>85</v>
      </c>
      <c r="B88" s="55">
        <v>60.418891170431209</v>
      </c>
      <c r="C88" s="1">
        <v>0</v>
      </c>
      <c r="D88" s="1">
        <v>1</v>
      </c>
      <c r="F88" s="55">
        <f t="shared" si="2"/>
        <v>0.77696351252484286</v>
      </c>
      <c r="G88" s="55">
        <f t="shared" si="3"/>
        <v>-0.25236188914460472</v>
      </c>
    </row>
    <row r="89" spans="1:7" x14ac:dyDescent="0.25">
      <c r="A89" s="1">
        <v>86</v>
      </c>
      <c r="B89" s="55">
        <v>60.418891170431209</v>
      </c>
      <c r="C89" s="1">
        <v>0</v>
      </c>
      <c r="D89" s="1">
        <v>1</v>
      </c>
      <c r="F89" s="55">
        <f t="shared" si="2"/>
        <v>0.77696351252484286</v>
      </c>
      <c r="G89" s="55">
        <f t="shared" si="3"/>
        <v>-0.25236188914460472</v>
      </c>
    </row>
    <row r="90" spans="1:7" x14ac:dyDescent="0.25">
      <c r="A90" s="1">
        <v>87</v>
      </c>
      <c r="B90" s="55">
        <v>60.911704312114992</v>
      </c>
      <c r="C90" s="1">
        <v>0</v>
      </c>
      <c r="D90" s="1">
        <v>1</v>
      </c>
      <c r="F90" s="55">
        <f t="shared" si="2"/>
        <v>0.77555479453254728</v>
      </c>
      <c r="G90" s="55">
        <f t="shared" si="3"/>
        <v>-0.25417664182417826</v>
      </c>
    </row>
    <row r="91" spans="1:7" x14ac:dyDescent="0.25">
      <c r="A91" s="1">
        <v>88</v>
      </c>
      <c r="B91" s="55">
        <v>60.977412731006162</v>
      </c>
      <c r="C91" s="1">
        <v>0</v>
      </c>
      <c r="D91" s="1">
        <v>1</v>
      </c>
      <c r="F91" s="55">
        <f t="shared" si="2"/>
        <v>0.77536738851177445</v>
      </c>
      <c r="G91" s="55">
        <f t="shared" si="3"/>
        <v>-0.25441831226223605</v>
      </c>
    </row>
    <row r="92" spans="1:7" x14ac:dyDescent="0.25">
      <c r="A92" s="1">
        <v>89</v>
      </c>
      <c r="B92" s="55">
        <v>61.108829568788501</v>
      </c>
      <c r="C92" s="1">
        <v>0</v>
      </c>
      <c r="D92" s="1">
        <v>1</v>
      </c>
      <c r="F92" s="55">
        <f t="shared" si="2"/>
        <v>0.77499287453616139</v>
      </c>
      <c r="G92" s="55">
        <f t="shared" si="3"/>
        <v>-0.25490144381794499</v>
      </c>
    </row>
    <row r="93" spans="1:7" x14ac:dyDescent="0.25">
      <c r="A93" s="1">
        <v>90</v>
      </c>
      <c r="B93" s="55">
        <v>61.24024640657084</v>
      </c>
      <c r="C93" s="1">
        <v>0</v>
      </c>
      <c r="D93" s="1">
        <v>1</v>
      </c>
      <c r="F93" s="55">
        <f t="shared" si="2"/>
        <v>0.77461875763064536</v>
      </c>
      <c r="G93" s="55">
        <f t="shared" si="3"/>
        <v>-0.25538429630177878</v>
      </c>
    </row>
    <row r="94" spans="1:7" x14ac:dyDescent="0.25">
      <c r="A94" s="1">
        <v>91</v>
      </c>
      <c r="B94" s="55">
        <v>62.390143737166326</v>
      </c>
      <c r="C94" s="1">
        <v>0</v>
      </c>
      <c r="D94" s="1">
        <v>1</v>
      </c>
      <c r="F94" s="55">
        <f t="shared" si="2"/>
        <v>0.77136210801253302</v>
      </c>
      <c r="G94" s="55">
        <f t="shared" si="3"/>
        <v>-0.25959735547679991</v>
      </c>
    </row>
    <row r="95" spans="1:7" x14ac:dyDescent="0.25">
      <c r="A95" s="1">
        <v>92</v>
      </c>
      <c r="B95" s="55">
        <v>62.882956878850102</v>
      </c>
      <c r="C95" s="1">
        <v>0</v>
      </c>
      <c r="D95" s="1">
        <v>1</v>
      </c>
      <c r="F95" s="55">
        <f t="shared" si="2"/>
        <v>0.76997562794046159</v>
      </c>
      <c r="G95" s="55">
        <f t="shared" si="3"/>
        <v>-0.261396416660718</v>
      </c>
    </row>
    <row r="96" spans="1:7" x14ac:dyDescent="0.25">
      <c r="A96" s="1">
        <v>93</v>
      </c>
      <c r="B96" s="55">
        <v>63.04722792607803</v>
      </c>
      <c r="C96" s="1">
        <v>0</v>
      </c>
      <c r="D96" s="1">
        <v>1</v>
      </c>
      <c r="F96" s="55">
        <f t="shared" si="2"/>
        <v>0.76951469219984892</v>
      </c>
      <c r="G96" s="55">
        <f t="shared" si="3"/>
        <v>-0.26199523270828395</v>
      </c>
    </row>
    <row r="97" spans="1:7" x14ac:dyDescent="0.25">
      <c r="A97" s="1">
        <v>94</v>
      </c>
      <c r="B97" s="55">
        <v>63.080082135523611</v>
      </c>
      <c r="C97" s="1">
        <v>0</v>
      </c>
      <c r="D97" s="1">
        <v>1</v>
      </c>
      <c r="F97" s="55">
        <f t="shared" si="2"/>
        <v>0.76942257837245109</v>
      </c>
      <c r="G97" s="55">
        <f t="shared" si="3"/>
        <v>-0.26211494366631871</v>
      </c>
    </row>
    <row r="98" spans="1:7" x14ac:dyDescent="0.25">
      <c r="A98" s="1">
        <v>95</v>
      </c>
      <c r="B98" s="55">
        <v>63.310061601642708</v>
      </c>
      <c r="C98" s="1">
        <v>0</v>
      </c>
      <c r="D98" s="1">
        <v>1</v>
      </c>
      <c r="F98" s="55">
        <f t="shared" si="2"/>
        <v>0.76877846512149595</v>
      </c>
      <c r="G98" s="55">
        <f t="shared" si="3"/>
        <v>-0.26295243274660157</v>
      </c>
    </row>
    <row r="99" spans="1:7" x14ac:dyDescent="0.25">
      <c r="A99" s="1">
        <v>96</v>
      </c>
      <c r="B99" s="55">
        <v>63.507186858316224</v>
      </c>
      <c r="C99" s="1">
        <v>1</v>
      </c>
      <c r="D99" s="1">
        <v>1</v>
      </c>
      <c r="F99" s="55">
        <f t="shared" si="2"/>
        <v>2.7936947943153017E-3</v>
      </c>
      <c r="G99" s="55">
        <f t="shared" si="3"/>
        <v>-5.880390260221688</v>
      </c>
    </row>
    <row r="100" spans="1:7" x14ac:dyDescent="0.25">
      <c r="A100" s="1">
        <v>97</v>
      </c>
      <c r="B100" s="55">
        <v>63.802874743326491</v>
      </c>
      <c r="C100" s="1">
        <v>0</v>
      </c>
      <c r="D100" s="1">
        <v>1</v>
      </c>
      <c r="F100" s="55">
        <f t="shared" si="2"/>
        <v>0.76740224227051468</v>
      </c>
      <c r="G100" s="55">
        <f t="shared" si="3"/>
        <v>-0.2647441792677489</v>
      </c>
    </row>
    <row r="101" spans="1:7" x14ac:dyDescent="0.25">
      <c r="A101" s="1">
        <v>98</v>
      </c>
      <c r="B101" s="55">
        <v>64.22997946611909</v>
      </c>
      <c r="C101" s="1">
        <v>0</v>
      </c>
      <c r="D101" s="1">
        <v>1</v>
      </c>
      <c r="F101" s="55">
        <f t="shared" si="2"/>
        <v>0.76621393609793176</v>
      </c>
      <c r="G101" s="55">
        <f t="shared" si="3"/>
        <v>-0.26629385829064156</v>
      </c>
    </row>
    <row r="102" spans="1:7" x14ac:dyDescent="0.25">
      <c r="A102" s="1">
        <v>99</v>
      </c>
      <c r="B102" s="55">
        <v>64.262833675564679</v>
      </c>
      <c r="C102" s="1">
        <v>0</v>
      </c>
      <c r="D102" s="1">
        <v>1</v>
      </c>
      <c r="F102" s="55">
        <f t="shared" si="2"/>
        <v>0.76612269750686801</v>
      </c>
      <c r="G102" s="55">
        <f t="shared" si="3"/>
        <v>-0.26641294255603165</v>
      </c>
    </row>
    <row r="103" spans="1:7" x14ac:dyDescent="0.25">
      <c r="A103" s="1">
        <v>100</v>
      </c>
      <c r="B103" s="55">
        <v>64.328542094455855</v>
      </c>
      <c r="C103" s="1">
        <v>0</v>
      </c>
      <c r="D103" s="1">
        <v>1</v>
      </c>
      <c r="F103" s="55">
        <f t="shared" si="2"/>
        <v>0.7659402928974508</v>
      </c>
      <c r="G103" s="55">
        <f t="shared" si="3"/>
        <v>-0.26665105888861262</v>
      </c>
    </row>
    <row r="104" spans="1:7" x14ac:dyDescent="0.25">
      <c r="A104" s="1">
        <v>101</v>
      </c>
      <c r="B104" s="55">
        <v>64.492813141683783</v>
      </c>
      <c r="C104" s="1">
        <v>0</v>
      </c>
      <c r="D104" s="1">
        <v>1</v>
      </c>
      <c r="F104" s="55">
        <f t="shared" si="2"/>
        <v>0.76548470441546435</v>
      </c>
      <c r="G104" s="55">
        <f t="shared" si="3"/>
        <v>-0.26724604525258872</v>
      </c>
    </row>
    <row r="105" spans="1:7" x14ac:dyDescent="0.25">
      <c r="A105" s="1">
        <v>102</v>
      </c>
      <c r="B105" s="55">
        <v>64.722792607802873</v>
      </c>
      <c r="C105" s="1">
        <v>0</v>
      </c>
      <c r="D105" s="1">
        <v>1</v>
      </c>
      <c r="F105" s="55">
        <f t="shared" si="2"/>
        <v>0.76484789458481184</v>
      </c>
      <c r="G105" s="55">
        <f t="shared" si="3"/>
        <v>-0.26807829553311624</v>
      </c>
    </row>
    <row r="106" spans="1:7" x14ac:dyDescent="0.25">
      <c r="A106" s="1">
        <v>103</v>
      </c>
      <c r="B106" s="55">
        <v>65.872689938398352</v>
      </c>
      <c r="C106" s="1">
        <v>0</v>
      </c>
      <c r="D106" s="1">
        <v>1</v>
      </c>
      <c r="F106" s="55">
        <f t="shared" si="2"/>
        <v>0.76168151767596015</v>
      </c>
      <c r="G106" s="55">
        <f t="shared" si="3"/>
        <v>-0.27222676646918997</v>
      </c>
    </row>
    <row r="107" spans="1:7" x14ac:dyDescent="0.25">
      <c r="A107" s="1">
        <v>104</v>
      </c>
      <c r="B107" s="55">
        <v>65.938398357289529</v>
      </c>
      <c r="C107" s="1">
        <v>0</v>
      </c>
      <c r="D107" s="1">
        <v>1</v>
      </c>
      <c r="F107" s="55">
        <f t="shared" si="2"/>
        <v>0.76150146802188079</v>
      </c>
      <c r="G107" s="55">
        <f t="shared" si="3"/>
        <v>-0.27246317884591498</v>
      </c>
    </row>
    <row r="108" spans="1:7" x14ac:dyDescent="0.25">
      <c r="A108" s="1">
        <v>105</v>
      </c>
      <c r="B108" s="55">
        <v>66.069815195071868</v>
      </c>
      <c r="C108" s="1">
        <v>0</v>
      </c>
      <c r="D108" s="1">
        <v>1</v>
      </c>
      <c r="F108" s="55">
        <f t="shared" si="2"/>
        <v>0.76114165507948472</v>
      </c>
      <c r="G108" s="55">
        <f t="shared" si="3"/>
        <v>-0.27293579510593613</v>
      </c>
    </row>
    <row r="109" spans="1:7" x14ac:dyDescent="0.25">
      <c r="A109" s="1">
        <v>106</v>
      </c>
      <c r="B109" s="55">
        <v>66.496919917864474</v>
      </c>
      <c r="C109" s="1">
        <v>0</v>
      </c>
      <c r="D109" s="1">
        <v>1</v>
      </c>
      <c r="F109" s="55">
        <f t="shared" si="2"/>
        <v>0.75997489554390496</v>
      </c>
      <c r="G109" s="55">
        <f t="shared" si="3"/>
        <v>-0.27446987842640713</v>
      </c>
    </row>
    <row r="110" spans="1:7" x14ac:dyDescent="0.25">
      <c r="A110" s="1">
        <v>107</v>
      </c>
      <c r="B110" s="55">
        <v>66.628336755646814</v>
      </c>
      <c r="C110" s="1">
        <v>0</v>
      </c>
      <c r="D110" s="1">
        <v>1</v>
      </c>
      <c r="F110" s="55">
        <f t="shared" si="2"/>
        <v>0.75961670111596136</v>
      </c>
      <c r="G110" s="55">
        <f t="shared" si="3"/>
        <v>-0.27494131356116969</v>
      </c>
    </row>
    <row r="111" spans="1:7" x14ac:dyDescent="0.25">
      <c r="A111" s="1">
        <v>108</v>
      </c>
      <c r="B111" s="55">
        <v>66.956878850102669</v>
      </c>
      <c r="C111" s="1">
        <v>0</v>
      </c>
      <c r="D111" s="1">
        <v>1</v>
      </c>
      <c r="F111" s="55">
        <f t="shared" si="2"/>
        <v>0.75872287564895746</v>
      </c>
      <c r="G111" s="55">
        <f t="shared" si="3"/>
        <v>-0.27611868598027045</v>
      </c>
    </row>
    <row r="112" spans="1:7" x14ac:dyDescent="0.25">
      <c r="A112" s="1">
        <v>109</v>
      </c>
      <c r="B112" s="55">
        <v>67.548254620123203</v>
      </c>
      <c r="C112" s="1">
        <v>0</v>
      </c>
      <c r="D112" s="1">
        <v>1</v>
      </c>
      <c r="F112" s="55">
        <f t="shared" si="2"/>
        <v>0.7571199510968516</v>
      </c>
      <c r="G112" s="55">
        <f t="shared" si="3"/>
        <v>-0.27823358222318573</v>
      </c>
    </row>
    <row r="113" spans="1:7" x14ac:dyDescent="0.25">
      <c r="A113" s="1">
        <v>110</v>
      </c>
      <c r="B113" s="55">
        <v>67.646817248459953</v>
      </c>
      <c r="C113" s="1">
        <v>0</v>
      </c>
      <c r="D113" s="1">
        <v>1</v>
      </c>
      <c r="F113" s="55">
        <f t="shared" si="2"/>
        <v>0.75685354012635686</v>
      </c>
      <c r="G113" s="55">
        <f t="shared" si="3"/>
        <v>-0.27858551833671602</v>
      </c>
    </row>
    <row r="114" spans="1:7" x14ac:dyDescent="0.25">
      <c r="A114" s="1">
        <v>111</v>
      </c>
      <c r="B114" s="55">
        <v>67.71252566735113</v>
      </c>
      <c r="C114" s="1">
        <v>1</v>
      </c>
      <c r="D114" s="1">
        <v>1</v>
      </c>
      <c r="F114" s="55">
        <f t="shared" si="2"/>
        <v>2.7004535321849691E-3</v>
      </c>
      <c r="G114" s="55">
        <f t="shared" si="3"/>
        <v>-5.9143355451947333</v>
      </c>
    </row>
    <row r="115" spans="1:7" x14ac:dyDescent="0.25">
      <c r="A115" s="1">
        <v>112</v>
      </c>
      <c r="B115" s="55">
        <v>67.745379876796719</v>
      </c>
      <c r="C115" s="1">
        <v>1</v>
      </c>
      <c r="D115" s="1">
        <v>1</v>
      </c>
      <c r="F115" s="55">
        <f t="shared" si="2"/>
        <v>2.6997374735071456E-3</v>
      </c>
      <c r="G115" s="55">
        <f t="shared" si="3"/>
        <v>-5.9146007427335849</v>
      </c>
    </row>
    <row r="116" spans="1:7" x14ac:dyDescent="0.25">
      <c r="A116" s="1">
        <v>113</v>
      </c>
      <c r="B116" s="55">
        <v>68.172484599589325</v>
      </c>
      <c r="C116" s="1">
        <v>0</v>
      </c>
      <c r="D116" s="1">
        <v>1</v>
      </c>
      <c r="F116" s="55">
        <f t="shared" si="2"/>
        <v>0.75543625576342044</v>
      </c>
      <c r="G116" s="55">
        <f t="shared" si="3"/>
        <v>-0.28045987440487613</v>
      </c>
    </row>
    <row r="117" spans="1:7" x14ac:dyDescent="0.25">
      <c r="A117" s="1">
        <v>114</v>
      </c>
      <c r="B117" s="55">
        <v>68.50102669404518</v>
      </c>
      <c r="C117" s="1">
        <v>0</v>
      </c>
      <c r="D117" s="1">
        <v>1</v>
      </c>
      <c r="F117" s="55">
        <f t="shared" si="2"/>
        <v>0.75455350204711047</v>
      </c>
      <c r="G117" s="55">
        <f t="shared" si="3"/>
        <v>-0.28162909268905251</v>
      </c>
    </row>
    <row r="118" spans="1:7" x14ac:dyDescent="0.25">
      <c r="A118" s="1">
        <v>115</v>
      </c>
      <c r="B118" s="55">
        <v>69.059548254620125</v>
      </c>
      <c r="C118" s="1">
        <v>0</v>
      </c>
      <c r="D118" s="1">
        <v>1</v>
      </c>
      <c r="F118" s="55">
        <f t="shared" si="2"/>
        <v>0.75305818298450444</v>
      </c>
      <c r="G118" s="55">
        <f t="shared" si="3"/>
        <v>-0.28361278592756639</v>
      </c>
    </row>
    <row r="119" spans="1:7" x14ac:dyDescent="0.25">
      <c r="A119" s="1">
        <v>116</v>
      </c>
      <c r="B119" s="55">
        <v>69.092402464065714</v>
      </c>
      <c r="C119" s="1">
        <v>1</v>
      </c>
      <c r="D119" s="1">
        <v>1</v>
      </c>
      <c r="F119" s="55">
        <f t="shared" si="2"/>
        <v>2.6705419708636809E-3</v>
      </c>
      <c r="G119" s="55">
        <f t="shared" si="3"/>
        <v>-5.9254738418265136</v>
      </c>
    </row>
    <row r="120" spans="1:7" x14ac:dyDescent="0.25">
      <c r="A120" s="1">
        <v>117</v>
      </c>
      <c r="B120" s="55">
        <v>69.125256673511288</v>
      </c>
      <c r="C120" s="1">
        <v>0</v>
      </c>
      <c r="D120" s="1">
        <v>1</v>
      </c>
      <c r="F120" s="55">
        <f t="shared" si="2"/>
        <v>0.75288270589195971</v>
      </c>
      <c r="G120" s="55">
        <f t="shared" si="3"/>
        <v>-0.28384583238328731</v>
      </c>
    </row>
    <row r="121" spans="1:7" x14ac:dyDescent="0.25">
      <c r="A121" s="1">
        <v>118</v>
      </c>
      <c r="B121" s="55">
        <v>69.256673511293641</v>
      </c>
      <c r="C121" s="1">
        <v>1</v>
      </c>
      <c r="D121" s="1">
        <v>1</v>
      </c>
      <c r="F121" s="55">
        <f t="shared" si="2"/>
        <v>2.6670032117673188E-3</v>
      </c>
      <c r="G121" s="55">
        <f t="shared" si="3"/>
        <v>-5.9267998295207729</v>
      </c>
    </row>
    <row r="122" spans="1:7" x14ac:dyDescent="0.25">
      <c r="A122" s="1">
        <v>119</v>
      </c>
      <c r="B122" s="55">
        <v>69.388090349075981</v>
      </c>
      <c r="C122" s="1">
        <v>0</v>
      </c>
      <c r="D122" s="1">
        <v>1</v>
      </c>
      <c r="F122" s="55">
        <f t="shared" si="2"/>
        <v>0.75218172750360246</v>
      </c>
      <c r="G122" s="55">
        <f t="shared" si="3"/>
        <v>-0.28477732531274436</v>
      </c>
    </row>
    <row r="123" spans="1:7" x14ac:dyDescent="0.25">
      <c r="A123" s="1">
        <v>120</v>
      </c>
      <c r="B123" s="55">
        <v>70.636550308008211</v>
      </c>
      <c r="C123" s="1">
        <v>0</v>
      </c>
      <c r="D123" s="1">
        <v>1</v>
      </c>
      <c r="F123" s="55">
        <f t="shared" si="2"/>
        <v>0.74887231429120082</v>
      </c>
      <c r="G123" s="55">
        <f t="shared" si="3"/>
        <v>-0.28918678490903132</v>
      </c>
    </row>
    <row r="124" spans="1:7" x14ac:dyDescent="0.25">
      <c r="A124" s="1">
        <v>121</v>
      </c>
      <c r="B124" s="55">
        <v>70.833675564681727</v>
      </c>
      <c r="C124" s="1">
        <v>0</v>
      </c>
      <c r="D124" s="1">
        <v>1</v>
      </c>
      <c r="F124" s="55">
        <f t="shared" si="2"/>
        <v>0.74835281730297476</v>
      </c>
      <c r="G124" s="55">
        <f t="shared" si="3"/>
        <v>-0.28988073132779124</v>
      </c>
    </row>
    <row r="125" spans="1:7" x14ac:dyDescent="0.25">
      <c r="A125" s="1">
        <v>122</v>
      </c>
      <c r="B125" s="55">
        <v>71.129363449691994</v>
      </c>
      <c r="C125" s="1">
        <v>0</v>
      </c>
      <c r="D125" s="1">
        <v>1</v>
      </c>
      <c r="F125" s="55">
        <f t="shared" si="2"/>
        <v>0.74757512008261795</v>
      </c>
      <c r="G125" s="55">
        <f t="shared" si="3"/>
        <v>-0.29092048367278595</v>
      </c>
    </row>
    <row r="126" spans="1:7" x14ac:dyDescent="0.25">
      <c r="A126" s="1">
        <v>123</v>
      </c>
      <c r="B126" s="55">
        <v>72.57494866529774</v>
      </c>
      <c r="C126" s="1">
        <v>0</v>
      </c>
      <c r="D126" s="1">
        <v>1</v>
      </c>
      <c r="F126" s="55">
        <f t="shared" si="2"/>
        <v>0.74379965056601405</v>
      </c>
      <c r="G126" s="55">
        <f t="shared" si="3"/>
        <v>-0.29598356728690284</v>
      </c>
    </row>
    <row r="127" spans="1:7" x14ac:dyDescent="0.25">
      <c r="A127" s="1">
        <v>124</v>
      </c>
      <c r="B127" s="55">
        <v>73.166324435318273</v>
      </c>
      <c r="C127" s="1">
        <v>0</v>
      </c>
      <c r="D127" s="1">
        <v>1</v>
      </c>
      <c r="F127" s="55">
        <f t="shared" si="2"/>
        <v>0.74226779310375002</v>
      </c>
      <c r="G127" s="55">
        <f t="shared" si="3"/>
        <v>-0.29804519377816463</v>
      </c>
    </row>
    <row r="128" spans="1:7" x14ac:dyDescent="0.25">
      <c r="A128" s="1">
        <v>125</v>
      </c>
      <c r="B128" s="55">
        <v>73.166324435318273</v>
      </c>
      <c r="C128" s="1">
        <v>0</v>
      </c>
      <c r="D128" s="1">
        <v>1</v>
      </c>
      <c r="F128" s="55">
        <f t="shared" si="2"/>
        <v>0.74226779310375002</v>
      </c>
      <c r="G128" s="55">
        <f t="shared" si="3"/>
        <v>-0.29804519377816463</v>
      </c>
    </row>
    <row r="129" spans="1:7" x14ac:dyDescent="0.25">
      <c r="A129" s="1">
        <v>126</v>
      </c>
      <c r="B129" s="55">
        <v>74.119096509240251</v>
      </c>
      <c r="C129" s="1">
        <v>1</v>
      </c>
      <c r="D129" s="1">
        <v>1</v>
      </c>
      <c r="F129" s="55">
        <f t="shared" si="2"/>
        <v>2.5643530221104664E-3</v>
      </c>
      <c r="G129" s="55">
        <f t="shared" si="3"/>
        <v>-5.9660490652708562</v>
      </c>
    </row>
    <row r="130" spans="1:7" x14ac:dyDescent="0.25">
      <c r="A130" s="1">
        <v>127</v>
      </c>
      <c r="B130" s="55">
        <v>74.381930184804929</v>
      </c>
      <c r="C130" s="1">
        <v>0</v>
      </c>
      <c r="D130" s="1">
        <v>1</v>
      </c>
      <c r="F130" s="55">
        <f t="shared" si="2"/>
        <v>0.73914184599711874</v>
      </c>
      <c r="G130" s="55">
        <f t="shared" si="3"/>
        <v>-0.30226543329012495</v>
      </c>
    </row>
    <row r="131" spans="1:7" x14ac:dyDescent="0.25">
      <c r="A131" s="1">
        <v>128</v>
      </c>
      <c r="B131" s="55">
        <v>76.845995893223815</v>
      </c>
      <c r="C131" s="1">
        <v>0</v>
      </c>
      <c r="D131" s="1">
        <v>1</v>
      </c>
      <c r="F131" s="55">
        <f t="shared" si="2"/>
        <v>0.73289879551736137</v>
      </c>
      <c r="G131" s="55">
        <f t="shared" si="3"/>
        <v>-0.31074765549913647</v>
      </c>
    </row>
    <row r="132" spans="1:7" x14ac:dyDescent="0.25">
      <c r="A132" s="1">
        <v>129</v>
      </c>
      <c r="B132" s="55">
        <v>77.568788501026688</v>
      </c>
      <c r="C132" s="1">
        <v>0</v>
      </c>
      <c r="D132" s="1">
        <v>1</v>
      </c>
      <c r="F132" s="55">
        <f t="shared" ref="F132:F195" si="4">IF(C132=0,Theta+(1-Theta)*EXP(-Lambda*B132),(1-Theta)*Lambda*EXP(-Lambda*B132))</f>
        <v>0.73109093137636805</v>
      </c>
      <c r="G132" s="55">
        <f t="shared" si="3"/>
        <v>-0.31321743384081563</v>
      </c>
    </row>
    <row r="133" spans="1:7" x14ac:dyDescent="0.25">
      <c r="A133" s="1">
        <v>130</v>
      </c>
      <c r="B133" s="55">
        <v>78.422997946611915</v>
      </c>
      <c r="C133" s="1">
        <v>0</v>
      </c>
      <c r="D133" s="1">
        <v>1</v>
      </c>
      <c r="F133" s="55">
        <f t="shared" si="4"/>
        <v>0.72896791897899327</v>
      </c>
      <c r="G133" s="55">
        <f t="shared" ref="G133:G196" si="5">LN(F133)</f>
        <v>-0.3161255548293368</v>
      </c>
    </row>
    <row r="134" spans="1:7" x14ac:dyDescent="0.25">
      <c r="A134" s="1">
        <v>131</v>
      </c>
      <c r="B134" s="55">
        <v>78.455852156057489</v>
      </c>
      <c r="C134" s="1">
        <v>1</v>
      </c>
      <c r="D134" s="1">
        <v>1</v>
      </c>
      <c r="F134" s="55">
        <f t="shared" si="4"/>
        <v>2.4761381244434596E-3</v>
      </c>
      <c r="G134" s="55">
        <f t="shared" si="5"/>
        <v>-6.0010551403993091</v>
      </c>
    </row>
    <row r="135" spans="1:7" x14ac:dyDescent="0.25">
      <c r="A135" s="1">
        <v>132</v>
      </c>
      <c r="B135" s="55">
        <v>78.948665297741272</v>
      </c>
      <c r="C135" s="1">
        <v>0</v>
      </c>
      <c r="D135" s="1">
        <v>1</v>
      </c>
      <c r="F135" s="55">
        <f t="shared" si="4"/>
        <v>0.72766870710819243</v>
      </c>
      <c r="G135" s="55">
        <f t="shared" si="5"/>
        <v>-0.3179094070160175</v>
      </c>
    </row>
    <row r="136" spans="1:7" x14ac:dyDescent="0.25">
      <c r="A136" s="1">
        <v>133</v>
      </c>
      <c r="B136" s="55">
        <v>79.704312114989733</v>
      </c>
      <c r="C136" s="1">
        <v>0</v>
      </c>
      <c r="D136" s="1">
        <v>1</v>
      </c>
      <c r="F136" s="55">
        <f t="shared" si="4"/>
        <v>0.72581072173304362</v>
      </c>
      <c r="G136" s="55">
        <f t="shared" si="5"/>
        <v>-0.32046601201544034</v>
      </c>
    </row>
    <row r="137" spans="1:7" x14ac:dyDescent="0.25">
      <c r="A137" s="1">
        <v>134</v>
      </c>
      <c r="B137" s="55">
        <v>79.704312114989733</v>
      </c>
      <c r="C137" s="1">
        <v>0</v>
      </c>
      <c r="D137" s="1">
        <v>1</v>
      </c>
      <c r="F137" s="55">
        <f t="shared" si="4"/>
        <v>0.72581072173304362</v>
      </c>
      <c r="G137" s="55">
        <f t="shared" si="5"/>
        <v>-0.32046601201544034</v>
      </c>
    </row>
    <row r="138" spans="1:7" x14ac:dyDescent="0.25">
      <c r="A138" s="1">
        <v>135</v>
      </c>
      <c r="B138" s="55">
        <v>79.868583162217661</v>
      </c>
      <c r="C138" s="1">
        <v>0</v>
      </c>
      <c r="D138" s="1">
        <v>1</v>
      </c>
      <c r="F138" s="55">
        <f t="shared" si="4"/>
        <v>0.72540830930540889</v>
      </c>
      <c r="G138" s="55">
        <f t="shared" si="5"/>
        <v>-0.32102059740791655</v>
      </c>
    </row>
    <row r="139" spans="1:7" x14ac:dyDescent="0.25">
      <c r="A139" s="1">
        <v>136</v>
      </c>
      <c r="B139" s="55">
        <v>80.821355236139624</v>
      </c>
      <c r="C139" s="1">
        <v>0</v>
      </c>
      <c r="D139" s="1">
        <v>1</v>
      </c>
      <c r="F139" s="55">
        <f t="shared" si="4"/>
        <v>0.72308481045747075</v>
      </c>
      <c r="G139" s="55">
        <f t="shared" si="5"/>
        <v>-0.32422876016559038</v>
      </c>
    </row>
    <row r="140" spans="1:7" x14ac:dyDescent="0.25">
      <c r="A140" s="1">
        <v>137</v>
      </c>
      <c r="B140" s="55">
        <v>81.051334702258728</v>
      </c>
      <c r="C140" s="1">
        <v>1</v>
      </c>
      <c r="D140" s="1">
        <v>1</v>
      </c>
      <c r="F140" s="55">
        <f t="shared" si="4"/>
        <v>2.4248011790643075E-3</v>
      </c>
      <c r="G140" s="55">
        <f t="shared" si="5"/>
        <v>-6.0220057459686105</v>
      </c>
    </row>
    <row r="141" spans="1:7" x14ac:dyDescent="0.25">
      <c r="A141" s="1">
        <v>138</v>
      </c>
      <c r="B141" s="55">
        <v>81.872689938398352</v>
      </c>
      <c r="C141" s="1">
        <v>0</v>
      </c>
      <c r="D141" s="1">
        <v>1</v>
      </c>
      <c r="F141" s="55">
        <f t="shared" si="4"/>
        <v>0.72054160250426191</v>
      </c>
      <c r="G141" s="55">
        <f t="shared" si="5"/>
        <v>-0.32775212405162374</v>
      </c>
    </row>
    <row r="142" spans="1:7" x14ac:dyDescent="0.25">
      <c r="A142" s="1">
        <v>139</v>
      </c>
      <c r="B142" s="55">
        <v>81.905544147843941</v>
      </c>
      <c r="C142" s="1">
        <v>0</v>
      </c>
      <c r="D142" s="1">
        <v>1</v>
      </c>
      <c r="F142" s="55">
        <f t="shared" si="4"/>
        <v>0.72046247449774137</v>
      </c>
      <c r="G142" s="55">
        <f t="shared" si="5"/>
        <v>-0.32786194748358061</v>
      </c>
    </row>
    <row r="143" spans="1:7" x14ac:dyDescent="0.25">
      <c r="A143" s="1">
        <v>140</v>
      </c>
      <c r="B143" s="55">
        <v>82.82546201232033</v>
      </c>
      <c r="C143" s="1">
        <v>0</v>
      </c>
      <c r="D143" s="1">
        <v>1</v>
      </c>
      <c r="F143" s="55">
        <f t="shared" si="4"/>
        <v>0.71825538861959459</v>
      </c>
      <c r="G143" s="55">
        <f t="shared" si="5"/>
        <v>-0.33093007872192948</v>
      </c>
    </row>
    <row r="144" spans="1:7" x14ac:dyDescent="0.25">
      <c r="A144" s="1">
        <v>141</v>
      </c>
      <c r="B144" s="55">
        <v>83.515400410677614</v>
      </c>
      <c r="C144" s="1">
        <v>0</v>
      </c>
      <c r="D144" s="1">
        <v>1</v>
      </c>
      <c r="F144" s="55">
        <f t="shared" si="4"/>
        <v>0.71661079613968848</v>
      </c>
      <c r="G144" s="55">
        <f t="shared" si="5"/>
        <v>-0.33322240844234258</v>
      </c>
    </row>
    <row r="145" spans="1:7" x14ac:dyDescent="0.25">
      <c r="A145" s="1">
        <v>142</v>
      </c>
      <c r="B145" s="55">
        <v>84.073921971252574</v>
      </c>
      <c r="C145" s="1">
        <v>0</v>
      </c>
      <c r="D145" s="1">
        <v>1</v>
      </c>
      <c r="F145" s="55">
        <f t="shared" si="4"/>
        <v>0.71528615136539719</v>
      </c>
      <c r="G145" s="55">
        <f t="shared" si="5"/>
        <v>-0.3350726046516147</v>
      </c>
    </row>
    <row r="146" spans="1:7" x14ac:dyDescent="0.25">
      <c r="A146" s="1">
        <v>143</v>
      </c>
      <c r="B146" s="55">
        <v>84.271047227926076</v>
      </c>
      <c r="C146" s="1">
        <v>1</v>
      </c>
      <c r="D146" s="1">
        <v>1</v>
      </c>
      <c r="F146" s="55">
        <f t="shared" si="4"/>
        <v>2.3625940147709995E-3</v>
      </c>
      <c r="G146" s="55">
        <f t="shared" si="5"/>
        <v>-6.0479951047760974</v>
      </c>
    </row>
    <row r="147" spans="1:7" x14ac:dyDescent="0.25">
      <c r="A147" s="1">
        <v>144</v>
      </c>
      <c r="B147" s="55">
        <v>84.435318275154003</v>
      </c>
      <c r="C147" s="1">
        <v>0</v>
      </c>
      <c r="D147" s="1">
        <v>1</v>
      </c>
      <c r="F147" s="55">
        <f t="shared" si="4"/>
        <v>0.71443220509337002</v>
      </c>
      <c r="G147" s="55">
        <f t="shared" si="5"/>
        <v>-0.33626717051798555</v>
      </c>
    </row>
    <row r="148" spans="1:7" x14ac:dyDescent="0.25">
      <c r="A148" s="1">
        <v>145</v>
      </c>
      <c r="B148" s="55">
        <v>87.392197125256672</v>
      </c>
      <c r="C148" s="1">
        <v>0</v>
      </c>
      <c r="D148" s="1">
        <v>1</v>
      </c>
      <c r="F148" s="55">
        <f t="shared" si="4"/>
        <v>0.70753815797389796</v>
      </c>
      <c r="G148" s="55">
        <f t="shared" si="5"/>
        <v>-0.34596371738709375</v>
      </c>
    </row>
    <row r="149" spans="1:7" x14ac:dyDescent="0.25">
      <c r="A149" s="1">
        <v>146</v>
      </c>
      <c r="B149" s="55">
        <v>87.589322381930188</v>
      </c>
      <c r="C149" s="1">
        <v>0</v>
      </c>
      <c r="D149" s="1">
        <v>1</v>
      </c>
      <c r="F149" s="55">
        <f t="shared" si="4"/>
        <v>0.70708437898620535</v>
      </c>
      <c r="G149" s="55">
        <f t="shared" si="5"/>
        <v>-0.34660527227739274</v>
      </c>
    </row>
    <row r="150" spans="1:7" x14ac:dyDescent="0.25">
      <c r="A150" s="1">
        <v>147</v>
      </c>
      <c r="B150" s="55">
        <v>87.917864476386043</v>
      </c>
      <c r="C150" s="1">
        <v>0</v>
      </c>
      <c r="D150" s="1">
        <v>1</v>
      </c>
      <c r="F150" s="55">
        <f t="shared" si="4"/>
        <v>0.70632968337856861</v>
      </c>
      <c r="G150" s="55">
        <f t="shared" si="5"/>
        <v>-0.34767317686311133</v>
      </c>
    </row>
    <row r="151" spans="1:7" x14ac:dyDescent="0.25">
      <c r="A151" s="1">
        <v>148</v>
      </c>
      <c r="B151" s="55">
        <v>89.954825462012323</v>
      </c>
      <c r="C151" s="1">
        <v>0</v>
      </c>
      <c r="D151" s="1">
        <v>1</v>
      </c>
      <c r="F151" s="55">
        <f t="shared" si="4"/>
        <v>0.70169497920575563</v>
      </c>
      <c r="G151" s="55">
        <f t="shared" si="5"/>
        <v>-0.35425647193581766</v>
      </c>
    </row>
    <row r="152" spans="1:7" x14ac:dyDescent="0.25">
      <c r="A152" s="1">
        <v>149</v>
      </c>
      <c r="B152" s="55">
        <v>91.400410677618069</v>
      </c>
      <c r="C152" s="1">
        <v>1</v>
      </c>
      <c r="D152" s="1">
        <v>1</v>
      </c>
      <c r="F152" s="55">
        <f t="shared" si="4"/>
        <v>2.2304699613650658E-3</v>
      </c>
      <c r="G152" s="55">
        <f t="shared" si="5"/>
        <v>-6.1055429707069635</v>
      </c>
    </row>
    <row r="153" spans="1:7" x14ac:dyDescent="0.25">
      <c r="A153" s="1">
        <v>150</v>
      </c>
      <c r="B153" s="55">
        <v>91.564681724845997</v>
      </c>
      <c r="C153" s="1">
        <v>0</v>
      </c>
      <c r="D153" s="1">
        <v>1</v>
      </c>
      <c r="F153" s="55">
        <f t="shared" si="4"/>
        <v>0.69808560071807824</v>
      </c>
      <c r="G153" s="55">
        <f t="shared" si="5"/>
        <v>-0.35941354660716562</v>
      </c>
    </row>
    <row r="154" spans="1:7" x14ac:dyDescent="0.25">
      <c r="A154" s="1">
        <v>151</v>
      </c>
      <c r="B154" s="55">
        <v>98.03696098562628</v>
      </c>
      <c r="C154" s="1">
        <v>0</v>
      </c>
      <c r="D154" s="1">
        <v>1</v>
      </c>
      <c r="F154" s="55">
        <f t="shared" si="4"/>
        <v>0.68403863492845063</v>
      </c>
      <c r="G154" s="55">
        <f t="shared" si="5"/>
        <v>-0.37974087914121279</v>
      </c>
    </row>
    <row r="155" spans="1:7" x14ac:dyDescent="0.25">
      <c r="A155" s="1">
        <v>152</v>
      </c>
      <c r="B155" s="55">
        <v>99.613963039014379</v>
      </c>
      <c r="C155" s="1">
        <v>0</v>
      </c>
      <c r="D155" s="1">
        <v>1</v>
      </c>
      <c r="F155" s="55">
        <f t="shared" si="4"/>
        <v>0.68072578101896353</v>
      </c>
      <c r="G155" s="55">
        <f t="shared" si="5"/>
        <v>-0.38459572497048611</v>
      </c>
    </row>
    <row r="156" spans="1:7" x14ac:dyDescent="0.25">
      <c r="A156" s="1">
        <v>153</v>
      </c>
      <c r="B156" s="55">
        <v>99.876796714579058</v>
      </c>
      <c r="C156" s="1">
        <v>0</v>
      </c>
      <c r="D156" s="1">
        <v>1</v>
      </c>
      <c r="F156" s="55">
        <f t="shared" si="4"/>
        <v>0.68017772706361213</v>
      </c>
      <c r="G156" s="55">
        <f t="shared" si="5"/>
        <v>-0.38540115163258798</v>
      </c>
    </row>
    <row r="157" spans="1:7" x14ac:dyDescent="0.25">
      <c r="A157" s="1">
        <v>154</v>
      </c>
      <c r="B157" s="55">
        <v>99.94250513347022</v>
      </c>
      <c r="C157" s="1">
        <v>1</v>
      </c>
      <c r="D157" s="1">
        <v>1</v>
      </c>
      <c r="F157" s="55">
        <f t="shared" si="4"/>
        <v>2.0818583829728247E-3</v>
      </c>
      <c r="G157" s="55">
        <f t="shared" si="5"/>
        <v>-6.1744943308084608</v>
      </c>
    </row>
    <row r="158" spans="1:7" x14ac:dyDescent="0.25">
      <c r="A158" s="1">
        <v>155</v>
      </c>
      <c r="B158" s="55">
        <v>100.76386036960986</v>
      </c>
      <c r="C158" s="1">
        <v>0</v>
      </c>
      <c r="D158" s="1">
        <v>1</v>
      </c>
      <c r="F158" s="55">
        <f t="shared" si="4"/>
        <v>0.67833660578254162</v>
      </c>
      <c r="G158" s="55">
        <f t="shared" si="5"/>
        <v>-0.3881116455357409</v>
      </c>
    </row>
    <row r="159" spans="1:7" x14ac:dyDescent="0.25">
      <c r="A159" s="1">
        <v>156</v>
      </c>
      <c r="B159" s="55">
        <v>101.15811088295688</v>
      </c>
      <c r="C159" s="1">
        <v>0</v>
      </c>
      <c r="D159" s="1">
        <v>1</v>
      </c>
      <c r="F159" s="55">
        <f t="shared" si="4"/>
        <v>0.67752255172433151</v>
      </c>
      <c r="G159" s="55">
        <f t="shared" si="5"/>
        <v>-0.38931244010429017</v>
      </c>
    </row>
    <row r="160" spans="1:7" x14ac:dyDescent="0.25">
      <c r="A160" s="1">
        <v>157</v>
      </c>
      <c r="B160" s="55">
        <v>101.88090349075975</v>
      </c>
      <c r="C160" s="1">
        <v>0</v>
      </c>
      <c r="D160" s="1">
        <v>1</v>
      </c>
      <c r="F160" s="55">
        <f t="shared" si="4"/>
        <v>0.67603683107967494</v>
      </c>
      <c r="G160" s="55">
        <f t="shared" si="5"/>
        <v>-0.39150772057769079</v>
      </c>
    </row>
    <row r="161" spans="1:7" x14ac:dyDescent="0.25">
      <c r="A161" s="1">
        <v>158</v>
      </c>
      <c r="B161" s="55">
        <v>103.29363449691992</v>
      </c>
      <c r="C161" s="1">
        <v>0</v>
      </c>
      <c r="D161" s="1">
        <v>1</v>
      </c>
      <c r="F161" s="55">
        <f t="shared" si="4"/>
        <v>0.67315783203598956</v>
      </c>
      <c r="G161" s="55">
        <f t="shared" si="5"/>
        <v>-0.3957754567200405</v>
      </c>
    </row>
    <row r="162" spans="1:7" x14ac:dyDescent="0.25">
      <c r="A162" s="1">
        <v>159</v>
      </c>
      <c r="B162" s="55">
        <v>103.5564681724846</v>
      </c>
      <c r="C162" s="1">
        <v>0</v>
      </c>
      <c r="D162" s="1">
        <v>1</v>
      </c>
      <c r="F162" s="55">
        <f t="shared" si="4"/>
        <v>0.67262581707217317</v>
      </c>
      <c r="G162" s="55">
        <f t="shared" si="5"/>
        <v>-0.39656609642187218</v>
      </c>
    </row>
    <row r="163" spans="1:7" x14ac:dyDescent="0.25">
      <c r="A163" s="1">
        <v>160</v>
      </c>
      <c r="B163" s="55">
        <v>103.62217659137578</v>
      </c>
      <c r="C163" s="1">
        <v>0</v>
      </c>
      <c r="D163" s="1">
        <v>1</v>
      </c>
      <c r="F163" s="55">
        <f t="shared" si="4"/>
        <v>0.67249298959902237</v>
      </c>
      <c r="G163" s="55">
        <f t="shared" si="5"/>
        <v>-0.39676359194854799</v>
      </c>
    </row>
    <row r="164" spans="1:7" x14ac:dyDescent="0.25">
      <c r="A164" s="1">
        <v>161</v>
      </c>
      <c r="B164" s="55">
        <v>104.47638603696099</v>
      </c>
      <c r="C164" s="1">
        <v>0</v>
      </c>
      <c r="D164" s="1">
        <v>1</v>
      </c>
      <c r="F164" s="55">
        <f t="shared" si="4"/>
        <v>0.67077262821809058</v>
      </c>
      <c r="G164" s="55">
        <f t="shared" si="5"/>
        <v>-0.39932505454944145</v>
      </c>
    </row>
    <row r="165" spans="1:7" x14ac:dyDescent="0.25">
      <c r="A165" s="1">
        <v>162</v>
      </c>
      <c r="B165" s="55">
        <v>104.54209445585215</v>
      </c>
      <c r="C165" s="1">
        <v>0</v>
      </c>
      <c r="D165" s="1">
        <v>1</v>
      </c>
      <c r="F165" s="55">
        <f t="shared" si="4"/>
        <v>0.67064078340656352</v>
      </c>
      <c r="G165" s="55">
        <f t="shared" si="5"/>
        <v>-0.3995216305055323</v>
      </c>
    </row>
    <row r="166" spans="1:7" x14ac:dyDescent="0.25">
      <c r="A166" s="1">
        <v>163</v>
      </c>
      <c r="B166" s="55">
        <v>104.64065708418892</v>
      </c>
      <c r="C166" s="1">
        <v>0</v>
      </c>
      <c r="D166" s="1">
        <v>1</v>
      </c>
      <c r="F166" s="55">
        <f t="shared" si="4"/>
        <v>0.67044314726136967</v>
      </c>
      <c r="G166" s="55">
        <f t="shared" si="5"/>
        <v>-0.39981637141190673</v>
      </c>
    </row>
    <row r="167" spans="1:7" x14ac:dyDescent="0.25">
      <c r="A167" s="1">
        <v>164</v>
      </c>
      <c r="B167" s="55">
        <v>105.10061601642711</v>
      </c>
      <c r="C167" s="1">
        <v>0</v>
      </c>
      <c r="D167" s="1">
        <v>1</v>
      </c>
      <c r="F167" s="55">
        <f t="shared" si="4"/>
        <v>0.6695229214385956</v>
      </c>
      <c r="G167" s="55">
        <f t="shared" si="5"/>
        <v>-0.40118987778484877</v>
      </c>
    </row>
    <row r="168" spans="1:7" x14ac:dyDescent="0.25">
      <c r="A168" s="1">
        <v>165</v>
      </c>
      <c r="B168" s="55">
        <v>106.05338809034907</v>
      </c>
      <c r="C168" s="1">
        <v>0</v>
      </c>
      <c r="D168" s="1">
        <v>1</v>
      </c>
      <c r="F168" s="55">
        <f t="shared" si="4"/>
        <v>0.66762757343662671</v>
      </c>
      <c r="G168" s="55">
        <f t="shared" si="5"/>
        <v>-0.40402478571569916</v>
      </c>
    </row>
    <row r="169" spans="1:7" x14ac:dyDescent="0.25">
      <c r="A169" s="1">
        <v>166</v>
      </c>
      <c r="B169" s="55">
        <v>106.08624229979466</v>
      </c>
      <c r="C169" s="1">
        <v>0</v>
      </c>
      <c r="D169" s="1">
        <v>1</v>
      </c>
      <c r="F169" s="55">
        <f t="shared" si="4"/>
        <v>0.66756247623983533</v>
      </c>
      <c r="G169" s="55">
        <f t="shared" si="5"/>
        <v>-0.40412229572464314</v>
      </c>
    </row>
    <row r="170" spans="1:7" x14ac:dyDescent="0.25">
      <c r="A170" s="1">
        <v>167</v>
      </c>
      <c r="B170" s="55">
        <v>107.69609856262834</v>
      </c>
      <c r="C170" s="1">
        <v>0</v>
      </c>
      <c r="D170" s="1">
        <v>1</v>
      </c>
      <c r="F170" s="55">
        <f t="shared" si="4"/>
        <v>0.66439376929173011</v>
      </c>
      <c r="G170" s="55">
        <f t="shared" si="5"/>
        <v>-0.40888027923439657</v>
      </c>
    </row>
    <row r="171" spans="1:7" x14ac:dyDescent="0.25">
      <c r="A171" s="1">
        <v>168</v>
      </c>
      <c r="B171" s="55">
        <v>108.32032854209446</v>
      </c>
      <c r="C171" s="1">
        <v>0</v>
      </c>
      <c r="D171" s="1">
        <v>1</v>
      </c>
      <c r="F171" s="55">
        <f t="shared" si="4"/>
        <v>0.66317612316760832</v>
      </c>
      <c r="G171" s="55">
        <f t="shared" si="5"/>
        <v>-0.41071467827054275</v>
      </c>
    </row>
    <row r="172" spans="1:7" x14ac:dyDescent="0.25">
      <c r="A172" s="1">
        <v>169</v>
      </c>
      <c r="B172" s="55">
        <v>109.3388090349076</v>
      </c>
      <c r="C172" s="1">
        <v>0</v>
      </c>
      <c r="D172" s="1">
        <v>1</v>
      </c>
      <c r="F172" s="55">
        <f t="shared" si="4"/>
        <v>0.66120256195351612</v>
      </c>
      <c r="G172" s="55">
        <f t="shared" si="5"/>
        <v>-0.41369503833993715</v>
      </c>
    </row>
    <row r="173" spans="1:7" x14ac:dyDescent="0.25">
      <c r="A173" s="1">
        <v>170</v>
      </c>
      <c r="B173" s="55">
        <v>109.40451745379877</v>
      </c>
      <c r="C173" s="1">
        <v>0</v>
      </c>
      <c r="D173" s="1">
        <v>1</v>
      </c>
      <c r="F173" s="55">
        <f t="shared" si="4"/>
        <v>0.6610757917121467</v>
      </c>
      <c r="G173" s="55">
        <f t="shared" si="5"/>
        <v>-0.41388678350676433</v>
      </c>
    </row>
    <row r="174" spans="1:7" x14ac:dyDescent="0.25">
      <c r="A174" s="1">
        <v>171</v>
      </c>
      <c r="B174" s="55">
        <v>109.66735112936345</v>
      </c>
      <c r="C174" s="1">
        <v>1</v>
      </c>
      <c r="D174" s="1">
        <v>1</v>
      </c>
      <c r="F174" s="55">
        <f t="shared" si="4"/>
        <v>1.9246853054230692E-3</v>
      </c>
      <c r="G174" s="55">
        <f t="shared" si="5"/>
        <v>-6.2529928023086274</v>
      </c>
    </row>
    <row r="175" spans="1:7" x14ac:dyDescent="0.25">
      <c r="A175" s="1">
        <v>172</v>
      </c>
      <c r="B175" s="55">
        <v>111.14579055441479</v>
      </c>
      <c r="C175" s="1">
        <v>0</v>
      </c>
      <c r="D175" s="1">
        <v>1</v>
      </c>
      <c r="F175" s="55">
        <f t="shared" si="4"/>
        <v>0.65774076374124335</v>
      </c>
      <c r="G175" s="55">
        <f t="shared" si="5"/>
        <v>-0.41894440136292227</v>
      </c>
    </row>
    <row r="176" spans="1:7" x14ac:dyDescent="0.25">
      <c r="A176" s="1">
        <v>173</v>
      </c>
      <c r="B176" s="55">
        <v>111.17864476386038</v>
      </c>
      <c r="C176" s="1">
        <v>0</v>
      </c>
      <c r="D176" s="1">
        <v>1</v>
      </c>
      <c r="F176" s="55">
        <f t="shared" si="4"/>
        <v>0.65767828815441265</v>
      </c>
      <c r="G176" s="55">
        <f t="shared" si="5"/>
        <v>-0.41903939099651111</v>
      </c>
    </row>
    <row r="177" spans="1:7" x14ac:dyDescent="0.25">
      <c r="A177" s="1">
        <v>174</v>
      </c>
      <c r="B177" s="55">
        <v>111.21149897330595</v>
      </c>
      <c r="C177" s="1">
        <v>0</v>
      </c>
      <c r="D177" s="1">
        <v>1</v>
      </c>
      <c r="F177" s="55">
        <f t="shared" si="4"/>
        <v>0.65761582913375705</v>
      </c>
      <c r="G177" s="55">
        <f t="shared" si="5"/>
        <v>-0.41913436446272156</v>
      </c>
    </row>
    <row r="178" spans="1:7" x14ac:dyDescent="0.25">
      <c r="A178" s="1">
        <v>175</v>
      </c>
      <c r="B178" s="55">
        <v>111.31006160164272</v>
      </c>
      <c r="C178" s="1">
        <v>0</v>
      </c>
      <c r="D178" s="1">
        <v>1</v>
      </c>
      <c r="F178" s="55">
        <f t="shared" si="4"/>
        <v>0.65742855142491952</v>
      </c>
      <c r="G178" s="55">
        <f t="shared" si="5"/>
        <v>-0.41941918786925031</v>
      </c>
    </row>
    <row r="179" spans="1:7" x14ac:dyDescent="0.25">
      <c r="A179" s="1">
        <v>176</v>
      </c>
      <c r="B179" s="55">
        <v>111.77002053388091</v>
      </c>
      <c r="C179" s="1">
        <v>0</v>
      </c>
      <c r="D179" s="1">
        <v>1</v>
      </c>
      <c r="F179" s="55">
        <f t="shared" si="4"/>
        <v>0.65655655615536368</v>
      </c>
      <c r="G179" s="55">
        <f t="shared" si="5"/>
        <v>-0.42074644095991981</v>
      </c>
    </row>
    <row r="180" spans="1:7" x14ac:dyDescent="0.25">
      <c r="A180" s="1">
        <v>177</v>
      </c>
      <c r="B180" s="55">
        <v>113.05133470225873</v>
      </c>
      <c r="C180" s="1">
        <v>0</v>
      </c>
      <c r="D180" s="1">
        <v>1</v>
      </c>
      <c r="F180" s="55">
        <f t="shared" si="4"/>
        <v>0.65414442854333288</v>
      </c>
      <c r="G180" s="55">
        <f t="shared" si="5"/>
        <v>-0.42442711315495235</v>
      </c>
    </row>
    <row r="181" spans="1:7" x14ac:dyDescent="0.25">
      <c r="A181" s="1">
        <v>178</v>
      </c>
      <c r="B181" s="55">
        <v>113.60985626283367</v>
      </c>
      <c r="C181" s="1">
        <v>0</v>
      </c>
      <c r="D181" s="1">
        <v>1</v>
      </c>
      <c r="F181" s="55">
        <f t="shared" si="4"/>
        <v>0.65310077065645866</v>
      </c>
      <c r="G181" s="55">
        <f t="shared" si="5"/>
        <v>-0.42602384207658184</v>
      </c>
    </row>
    <row r="182" spans="1:7" x14ac:dyDescent="0.25">
      <c r="A182" s="1">
        <v>179</v>
      </c>
      <c r="B182" s="55">
        <v>113.64271047227926</v>
      </c>
      <c r="C182" s="1">
        <v>0</v>
      </c>
      <c r="D182" s="1">
        <v>1</v>
      </c>
      <c r="F182" s="55">
        <f t="shared" si="4"/>
        <v>0.65303952542122401</v>
      </c>
      <c r="G182" s="55">
        <f t="shared" si="5"/>
        <v>-0.4261176225616698</v>
      </c>
    </row>
    <row r="183" spans="1:7" x14ac:dyDescent="0.25">
      <c r="A183" s="1">
        <v>180</v>
      </c>
      <c r="B183" s="55">
        <v>113.64271047227926</v>
      </c>
      <c r="C183" s="1">
        <v>0</v>
      </c>
      <c r="D183" s="1">
        <v>1</v>
      </c>
      <c r="F183" s="55">
        <f t="shared" si="4"/>
        <v>0.65303952542122401</v>
      </c>
      <c r="G183" s="55">
        <f t="shared" si="5"/>
        <v>-0.4261176225616698</v>
      </c>
    </row>
    <row r="184" spans="1:7" x14ac:dyDescent="0.25">
      <c r="A184" s="1">
        <v>181</v>
      </c>
      <c r="B184" s="55">
        <v>114.20123203285421</v>
      </c>
      <c r="C184" s="1">
        <v>0</v>
      </c>
      <c r="D184" s="1">
        <v>1</v>
      </c>
      <c r="F184" s="55">
        <f t="shared" si="4"/>
        <v>0.6520008376214721</v>
      </c>
      <c r="G184" s="55">
        <f t="shared" si="5"/>
        <v>-0.42770943236079995</v>
      </c>
    </row>
    <row r="185" spans="1:7" x14ac:dyDescent="0.25">
      <c r="A185" s="1">
        <v>182</v>
      </c>
      <c r="B185" s="55">
        <v>115.74537987679672</v>
      </c>
      <c r="C185" s="1">
        <v>0</v>
      </c>
      <c r="D185" s="1">
        <v>1</v>
      </c>
      <c r="F185" s="55">
        <f t="shared" si="4"/>
        <v>0.64915342210003524</v>
      </c>
      <c r="G185" s="55">
        <f t="shared" si="5"/>
        <v>-0.43208619252677166</v>
      </c>
    </row>
    <row r="186" spans="1:7" x14ac:dyDescent="0.25">
      <c r="A186" s="1">
        <v>183</v>
      </c>
      <c r="B186" s="55">
        <v>120.47638603696099</v>
      </c>
      <c r="C186" s="1">
        <v>0</v>
      </c>
      <c r="D186" s="1">
        <v>1</v>
      </c>
      <c r="F186" s="55">
        <f t="shared" si="4"/>
        <v>0.64064713650422755</v>
      </c>
      <c r="G186" s="55">
        <f t="shared" si="5"/>
        <v>-0.44527646270917404</v>
      </c>
    </row>
    <row r="187" spans="1:7" x14ac:dyDescent="0.25">
      <c r="A187" s="1">
        <v>184</v>
      </c>
      <c r="B187" s="55">
        <v>121.39630390143738</v>
      </c>
      <c r="C187" s="1">
        <v>0</v>
      </c>
      <c r="D187" s="1">
        <v>1</v>
      </c>
      <c r="F187" s="55">
        <f t="shared" si="4"/>
        <v>0.63903052688656214</v>
      </c>
      <c r="G187" s="55">
        <f t="shared" si="5"/>
        <v>-0.44780305284027311</v>
      </c>
    </row>
    <row r="188" spans="1:7" x14ac:dyDescent="0.25">
      <c r="A188" s="1">
        <v>185</v>
      </c>
      <c r="B188" s="55">
        <v>121.39630390143738</v>
      </c>
      <c r="C188" s="1">
        <v>0</v>
      </c>
      <c r="D188" s="1">
        <v>1</v>
      </c>
      <c r="F188" s="55">
        <f t="shared" si="4"/>
        <v>0.63903052688656214</v>
      </c>
      <c r="G188" s="55">
        <f t="shared" si="5"/>
        <v>-0.44780305284027311</v>
      </c>
    </row>
    <row r="189" spans="1:7" x14ac:dyDescent="0.25">
      <c r="A189" s="1">
        <v>186</v>
      </c>
      <c r="B189" s="55">
        <v>124.05749486652978</v>
      </c>
      <c r="C189" s="1">
        <v>0</v>
      </c>
      <c r="D189" s="1">
        <v>1</v>
      </c>
      <c r="F189" s="55">
        <f t="shared" si="4"/>
        <v>0.63442093449341619</v>
      </c>
      <c r="G189" s="55">
        <f t="shared" si="5"/>
        <v>-0.45504261031973292</v>
      </c>
    </row>
    <row r="190" spans="1:7" x14ac:dyDescent="0.25">
      <c r="A190" s="1">
        <v>187</v>
      </c>
      <c r="B190" s="55">
        <v>124.05749486652978</v>
      </c>
      <c r="C190" s="1">
        <v>0</v>
      </c>
      <c r="D190" s="1">
        <v>1</v>
      </c>
      <c r="F190" s="55">
        <f t="shared" si="4"/>
        <v>0.63442093449341619</v>
      </c>
      <c r="G190" s="55">
        <f t="shared" si="5"/>
        <v>-0.45504261031973292</v>
      </c>
    </row>
    <row r="191" spans="1:7" x14ac:dyDescent="0.25">
      <c r="A191" s="1">
        <v>188</v>
      </c>
      <c r="B191" s="55">
        <v>125.83162217659138</v>
      </c>
      <c r="C191" s="1">
        <v>0</v>
      </c>
      <c r="D191" s="1">
        <v>1</v>
      </c>
      <c r="F191" s="55">
        <f t="shared" si="4"/>
        <v>0.63140242606387298</v>
      </c>
      <c r="G191" s="55">
        <f t="shared" si="5"/>
        <v>-0.45981186050916106</v>
      </c>
    </row>
    <row r="192" spans="1:7" x14ac:dyDescent="0.25">
      <c r="A192" s="1">
        <v>189</v>
      </c>
      <c r="B192" s="55">
        <v>126.68583162217659</v>
      </c>
      <c r="C192" s="1">
        <v>0</v>
      </c>
      <c r="D192" s="1">
        <v>1</v>
      </c>
      <c r="F192" s="55">
        <f t="shared" si="4"/>
        <v>0.6299644151661119</v>
      </c>
      <c r="G192" s="55">
        <f t="shared" si="5"/>
        <v>-0.46209194505514661</v>
      </c>
    </row>
    <row r="193" spans="1:7" x14ac:dyDescent="0.25">
      <c r="A193" s="1">
        <v>190</v>
      </c>
      <c r="B193" s="55">
        <v>127.21149897330595</v>
      </c>
      <c r="C193" s="1">
        <v>0</v>
      </c>
      <c r="D193" s="1">
        <v>1</v>
      </c>
      <c r="F193" s="55">
        <f t="shared" si="4"/>
        <v>0.62908440107339036</v>
      </c>
      <c r="G193" s="55">
        <f t="shared" si="5"/>
        <v>-0.4634898483368563</v>
      </c>
    </row>
    <row r="194" spans="1:7" x14ac:dyDescent="0.25">
      <c r="A194" s="1">
        <v>191</v>
      </c>
      <c r="B194" s="55">
        <v>128.42710472279262</v>
      </c>
      <c r="C194" s="1">
        <v>0</v>
      </c>
      <c r="D194" s="1">
        <v>1</v>
      </c>
      <c r="F194" s="55">
        <f t="shared" si="4"/>
        <v>0.627063613425761</v>
      </c>
      <c r="G194" s="55">
        <f t="shared" si="5"/>
        <v>-0.4667072866762158</v>
      </c>
    </row>
    <row r="195" spans="1:7" x14ac:dyDescent="0.25">
      <c r="A195" s="1">
        <v>192</v>
      </c>
      <c r="B195" s="55">
        <v>130.36550308008214</v>
      </c>
      <c r="C195" s="1">
        <v>0</v>
      </c>
      <c r="D195" s="1">
        <v>1</v>
      </c>
      <c r="F195" s="55">
        <f t="shared" si="4"/>
        <v>0.62388201538732613</v>
      </c>
      <c r="G195" s="55">
        <f t="shared" si="5"/>
        <v>-0.47179400639511604</v>
      </c>
    </row>
    <row r="196" spans="1:7" x14ac:dyDescent="0.25">
      <c r="A196" s="1">
        <v>193</v>
      </c>
      <c r="B196" s="55">
        <v>131.44969199178644</v>
      </c>
      <c r="C196" s="1">
        <v>0</v>
      </c>
      <c r="D196" s="1">
        <v>1</v>
      </c>
      <c r="F196" s="55">
        <f t="shared" ref="F196:F208" si="6">IF(C196=0,Theta+(1-Theta)*EXP(-Lambda*B196),(1-Theta)*Lambda*EXP(-Lambda*B196))</f>
        <v>0.6221240666843566</v>
      </c>
      <c r="G196" s="55">
        <f t="shared" si="5"/>
        <v>-0.47461574201052104</v>
      </c>
    </row>
    <row r="197" spans="1:7" x14ac:dyDescent="0.25">
      <c r="A197" s="1">
        <v>194</v>
      </c>
      <c r="B197" s="55">
        <v>134.80082135523614</v>
      </c>
      <c r="C197" s="1">
        <v>0</v>
      </c>
      <c r="D197" s="1">
        <v>1</v>
      </c>
      <c r="F197" s="55">
        <f t="shared" si="6"/>
        <v>0.61678666299561136</v>
      </c>
      <c r="G197" s="55">
        <f t="shared" ref="G197:G208" si="7">LN(F197)</f>
        <v>-0.48323207986625838</v>
      </c>
    </row>
    <row r="198" spans="1:7" x14ac:dyDescent="0.25">
      <c r="A198" s="1">
        <v>195</v>
      </c>
      <c r="B198" s="55">
        <v>135.3264887063655</v>
      </c>
      <c r="C198" s="1">
        <v>0</v>
      </c>
      <c r="D198" s="1">
        <v>1</v>
      </c>
      <c r="F198" s="55">
        <f t="shared" si="6"/>
        <v>0.61596244576075043</v>
      </c>
      <c r="G198" s="55">
        <f t="shared" si="7"/>
        <v>-0.48456928198114502</v>
      </c>
    </row>
    <row r="199" spans="1:7" x14ac:dyDescent="0.25">
      <c r="A199" s="1">
        <v>196</v>
      </c>
      <c r="B199" s="55">
        <v>135.49075975359344</v>
      </c>
      <c r="C199" s="1">
        <v>0</v>
      </c>
      <c r="D199" s="1">
        <v>1</v>
      </c>
      <c r="F199" s="55">
        <f t="shared" si="6"/>
        <v>0.61570559426795879</v>
      </c>
      <c r="G199" s="55">
        <f t="shared" si="7"/>
        <v>-0.48498636107740706</v>
      </c>
    </row>
    <row r="200" spans="1:7" x14ac:dyDescent="0.25">
      <c r="A200" s="1">
        <v>197</v>
      </c>
      <c r="B200" s="55">
        <v>138.21765913757702</v>
      </c>
      <c r="C200" s="1">
        <v>0</v>
      </c>
      <c r="D200" s="1">
        <v>1</v>
      </c>
      <c r="F200" s="55">
        <f t="shared" si="6"/>
        <v>0.61149123778081038</v>
      </c>
      <c r="G200" s="55">
        <f t="shared" si="7"/>
        <v>-0.49185465301593601</v>
      </c>
    </row>
    <row r="201" spans="1:7" x14ac:dyDescent="0.25">
      <c r="A201" s="1">
        <v>198</v>
      </c>
      <c r="B201" s="55">
        <v>141.60164271047228</v>
      </c>
      <c r="C201" s="1">
        <v>0</v>
      </c>
      <c r="D201" s="1">
        <v>1</v>
      </c>
      <c r="F201" s="55">
        <f t="shared" si="6"/>
        <v>0.60638872654343423</v>
      </c>
      <c r="G201" s="55">
        <f t="shared" si="7"/>
        <v>-0.50023403561927582</v>
      </c>
    </row>
    <row r="202" spans="1:7" x14ac:dyDescent="0.25">
      <c r="A202" s="1">
        <v>199</v>
      </c>
      <c r="B202" s="55">
        <v>144.22997946611909</v>
      </c>
      <c r="C202" s="1">
        <v>0</v>
      </c>
      <c r="D202" s="1">
        <v>1</v>
      </c>
      <c r="F202" s="55">
        <f t="shared" si="6"/>
        <v>0.60252066860762854</v>
      </c>
      <c r="G202" s="55">
        <f t="shared" si="7"/>
        <v>-0.5066333094627693</v>
      </c>
    </row>
    <row r="203" spans="1:7" x14ac:dyDescent="0.25">
      <c r="A203" s="1">
        <v>200</v>
      </c>
      <c r="B203" s="55">
        <v>147.15400410677617</v>
      </c>
      <c r="C203" s="1">
        <v>0</v>
      </c>
      <c r="D203" s="1">
        <v>1</v>
      </c>
      <c r="F203" s="55">
        <f t="shared" si="6"/>
        <v>0.59831279450737407</v>
      </c>
      <c r="G203" s="55">
        <f t="shared" si="7"/>
        <v>-0.51364159404566589</v>
      </c>
    </row>
    <row r="204" spans="1:7" x14ac:dyDescent="0.25">
      <c r="A204" s="1">
        <v>201</v>
      </c>
      <c r="B204" s="55">
        <v>147.58110882956879</v>
      </c>
      <c r="C204" s="1">
        <v>0</v>
      </c>
      <c r="D204" s="1">
        <v>1</v>
      </c>
      <c r="F204" s="55">
        <f t="shared" si="6"/>
        <v>0.59770643198334161</v>
      </c>
      <c r="G204" s="55">
        <f t="shared" si="7"/>
        <v>-0.51465556198623696</v>
      </c>
    </row>
    <row r="205" spans="1:7" x14ac:dyDescent="0.25">
      <c r="A205" s="1">
        <v>202</v>
      </c>
      <c r="B205" s="55">
        <v>153.36344969199178</v>
      </c>
      <c r="C205" s="1">
        <v>0</v>
      </c>
      <c r="D205" s="1">
        <v>1</v>
      </c>
      <c r="F205" s="55">
        <f t="shared" si="6"/>
        <v>0.58969966947448116</v>
      </c>
      <c r="G205" s="55">
        <f t="shared" si="7"/>
        <v>-0.52814190647357828</v>
      </c>
    </row>
    <row r="206" spans="1:7" x14ac:dyDescent="0.25">
      <c r="A206" s="1">
        <v>203</v>
      </c>
      <c r="B206" s="55">
        <v>154.02053388090349</v>
      </c>
      <c r="C206" s="1">
        <v>0</v>
      </c>
      <c r="D206" s="1">
        <v>1</v>
      </c>
      <c r="F206" s="55">
        <f t="shared" si="6"/>
        <v>0.58881323155128484</v>
      </c>
      <c r="G206" s="55">
        <f t="shared" si="7"/>
        <v>-0.52964623975596081</v>
      </c>
    </row>
    <row r="207" spans="1:7" x14ac:dyDescent="0.25">
      <c r="A207" s="1">
        <v>204</v>
      </c>
      <c r="B207" s="55">
        <v>161.83983572895278</v>
      </c>
      <c r="C207" s="1">
        <v>0</v>
      </c>
      <c r="D207" s="1">
        <v>1</v>
      </c>
      <c r="F207" s="55">
        <f t="shared" si="6"/>
        <v>0.57861771011174512</v>
      </c>
      <c r="G207" s="55">
        <f t="shared" si="7"/>
        <v>-0.54711327835038548</v>
      </c>
    </row>
    <row r="208" spans="1:7" x14ac:dyDescent="0.25">
      <c r="A208" s="1">
        <v>205</v>
      </c>
      <c r="B208" s="55">
        <v>182.83367556468173</v>
      </c>
      <c r="C208" s="1">
        <v>0</v>
      </c>
      <c r="D208" s="1">
        <v>1</v>
      </c>
      <c r="F208" s="55">
        <f t="shared" si="6"/>
        <v>0.55422404468873121</v>
      </c>
      <c r="G208" s="55">
        <f t="shared" si="7"/>
        <v>-0.59018626119212358</v>
      </c>
    </row>
  </sheetData>
  <mergeCells count="1">
    <mergeCell ref="A1:H1"/>
  </mergeCells>
  <pageMargins left="0.7" right="0.7" top="0.75" bottom="0.75" header="0.3" footer="0.3"/>
  <pageSetup orientation="portrait" horizontalDpi="4294967293" verticalDpi="0" r:id="rId1"/>
</worksheet>
</file>

<file path=docMetadata/LabelInfo.xml><?xml version="1.0" encoding="utf-8"?>
<clbl:labelList xmlns:clbl="http://schemas.microsoft.com/office/2020/mipLabelMetadata">
  <clbl:label id="{2d40fa44-05dd-4301-91b0-81b668a97c30}" enabled="1" method="Standard" siteId="{4a33c544-865e-44a4-836f-bc51800f6c5e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Data</vt:lpstr>
      <vt:lpstr>RCS-test</vt:lpstr>
      <vt:lpstr>RCS-Plot</vt:lpstr>
      <vt:lpstr>Survival-Test</vt:lpstr>
      <vt:lpstr>Survival-Plot</vt:lpstr>
      <vt:lpstr>Data Cure</vt:lpstr>
      <vt:lpstr>Cure Test</vt:lpstr>
      <vt:lpstr>Cure Plot</vt:lpstr>
      <vt:lpstr>Guyot Algorithm</vt:lpstr>
      <vt:lpstr>Data Cure Estimate</vt:lpstr>
      <vt:lpstr>Lambda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Moynahan</dc:creator>
  <cp:lastModifiedBy>Aaron Moynahan</cp:lastModifiedBy>
  <dcterms:created xsi:type="dcterms:W3CDTF">2026-03-06T13:00:24Z</dcterms:created>
  <dcterms:modified xsi:type="dcterms:W3CDTF">2026-03-22T15:01:13Z</dcterms:modified>
</cp:coreProperties>
</file>